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9b8013db9134d3d" /></Relationships>
</file>

<file path=xl/workbook.xml><?xml version="1.0" encoding="utf-8"?>
<x:workbook xmlns:x="http://schemas.openxmlformats.org/spreadsheetml/2006/main">
  <x:sheets>
    <x:sheet xmlns:r="http://schemas.openxmlformats.org/officeDocument/2006/relationships" name="Master Dataset" sheetId="1" r:id="R279035bac70e4602"/>
    <x:sheet xmlns:r="http://schemas.openxmlformats.org/officeDocument/2006/relationships" name="Scope &amp; Schema" sheetId="2" r:id="R46d4ab64eb5440d5"/>
    <x:sheet xmlns:r="http://schemas.openxmlformats.org/officeDocument/2006/relationships" name="CSV Source Archive" sheetId="3" r:id="Rb60e90f6796148e7"/>
    <x:sheet xmlns:r="http://schemas.openxmlformats.org/officeDocument/2006/relationships" name="Coverage Audit" sheetId="4" r:id="R47c608f772c14ab0"/>
    <x:sheet xmlns:r="http://schemas.openxmlformats.org/officeDocument/2006/relationships" name="Geometry Pilot" sheetId="5" r:id="R82be282a97304809"/>
    <x:sheet xmlns:r="http://schemas.openxmlformats.org/officeDocument/2006/relationships" name="Geometry Test Log" sheetId="6" r:id="Ra5d5f71b26af47a3"/>
    <x:sheet xmlns:r="http://schemas.openxmlformats.org/officeDocument/2006/relationships" name="Centroid Extraction" sheetId="7" r:id="R5fd74d0c561d4dbf"/>
    <x:sheet xmlns:r="http://schemas.openxmlformats.org/officeDocument/2006/relationships" name="Source Visual Audit" sheetId="8" r:id="Re9aedfc7aac946f5"/>
    <x:sheet xmlns:r="http://schemas.openxmlformats.org/officeDocument/2006/relationships" name="Measured Centroids" sheetId="9" r:id="R6ef8927c71634d24"/>
    <x:sheet xmlns:r="http://schemas.openxmlformats.org/officeDocument/2006/relationships" name="Measured Geometry" sheetId="10" r:id="R073f99514a7d4d04"/>
    <x:sheet xmlns:r="http://schemas.openxmlformats.org/officeDocument/2006/relationships" name="Contextual Controls" sheetId="11" r:id="R35fb501272784540"/>
    <x:sheet xmlns:r="http://schemas.openxmlformats.org/officeDocument/2006/relationships" name="Source Integrity v1.0" sheetId="12" r:id="R0be4481170b2434c"/>
    <x:sheet xmlns:r="http://schemas.openxmlformats.org/officeDocument/2006/relationships" name="Geometry Refit v1.0" sheetId="13" r:id="Rf96a137d2fad4187"/>
    <x:sheet xmlns:r="http://schemas.openxmlformats.org/officeDocument/2006/relationships" name="Experiment Log v1.0" sheetId="14" r:id="Rbf77dc6acc8944da"/>
    <x:sheet xmlns:r="http://schemas.openxmlformats.org/officeDocument/2006/relationships" name="Pixel Centroids v1.1" sheetId="15" r:id="R12fe0fa5be2a46e0"/>
    <x:sheet xmlns:r="http://schemas.openxmlformats.org/officeDocument/2006/relationships" name="Pixel Thresholds v1.1" sheetId="16" r:id="R626305d8f8b44b02"/>
    <x:sheet xmlns:r="http://schemas.openxmlformats.org/officeDocument/2006/relationships" name="Auxiliary Controls v1.1" sheetId="17" r:id="Rd3655bade75049d8"/>
    <x:sheet xmlns:r="http://schemas.openxmlformats.org/officeDocument/2006/relationships" name="Pixel Transform Fits v1.1" sheetId="18" r:id="R5f7c726f743a40cd"/>
    <x:sheet xmlns:r="http://schemas.openxmlformats.org/officeDocument/2006/relationships" name="Decoder Audit v1.1" sheetId="19" r:id="Rda8eb98aae004ec7"/>
    <x:sheet xmlns:r="http://schemas.openxmlformats.org/officeDocument/2006/relationships" name="Workbook Audit v1.2" sheetId="20" r:id="R946f8a3b7d1641e9"/>
    <x:sheet xmlns:r="http://schemas.openxmlformats.org/officeDocument/2006/relationships" name="Geometry Refit v1.2" sheetId="21" r:id="Re7272ea7b31d43e1"/>
    <x:sheet xmlns:r="http://schemas.openxmlformats.org/officeDocument/2006/relationships" name="Cluster Signatures v1.2" sheetId="22" r:id="R00195c7facbd422d"/>
    <x:sheet xmlns:r="http://schemas.openxmlformats.org/officeDocument/2006/relationships" name="Threshold Sensitivity v1.2" sheetId="23" r:id="R93b46fef659b484d"/>
    <x:sheet xmlns:r="http://schemas.openxmlformats.org/officeDocument/2006/relationships" name="Auxiliary Controls v1.2" sheetId="24" r:id="R5ba1ba1f48504a30"/>
    <x:sheet xmlns:r="http://schemas.openxmlformats.org/officeDocument/2006/relationships" name="Null Distribution v1.2" sheetId="25" r:id="Rc0dbe88b21c94fd6"/>
    <x:sheet xmlns:r="http://schemas.openxmlformats.org/officeDocument/2006/relationships" name="Decoder Crosscheck v1.2" sheetId="26" r:id="R840114ccde484a90"/>
    <x:sheet xmlns:r="http://schemas.openxmlformats.org/officeDocument/2006/relationships" name="Experiment Log v1.2" sheetId="27" r:id="Rbad1d277178d401c"/>
    <x:sheet xmlns:r="http://schemas.openxmlformats.org/officeDocument/2006/relationships" name="Coverage Audit v1.2" sheetId="28" r:id="R3c18c4ad040040d0"/>
    <x:sheet xmlns:r="http://schemas.openxmlformats.org/officeDocument/2006/relationships" name="Cipher Correlation v1.2" sheetId="29" r:id="R9eeb47fe915c4f55"/>
    <x:sheet xmlns:r="http://schemas.openxmlformats.org/officeDocument/2006/relationships" name="Mirror Audit v1.3" sheetId="30" r:id="R9157821d5a484632"/>
    <x:sheet xmlns:r="http://schemas.openxmlformats.org/officeDocument/2006/relationships" name="Source Integrity v1.4" sheetId="31" r:id="Ra6d087c251df46cb"/>
    <x:sheet xmlns:r="http://schemas.openxmlformats.org/officeDocument/2006/relationships" name="Pipeline Audit v1.5" sheetId="32" r:id="Rd439893f1a324c3d"/>
    <x:sheet xmlns:r="http://schemas.openxmlformats.org/officeDocument/2006/relationships" name="Coordinate Refit v1.6" sheetId="33" r:id="R99edd329e8a1481e"/>
    <x:sheet xmlns:r="http://schemas.openxmlformats.org/officeDocument/2006/relationships" name="Source Acquisition v1.6" sheetId="34" r:id="R68865a193d3a4503"/>
    <x:sheet xmlns:r="http://schemas.openxmlformats.org/officeDocument/2006/relationships" name="Threshold Match v1.7" sheetId="35" r:id="Rf29c905691994881"/>
    <x:sheet xmlns:r="http://schemas.openxmlformats.org/officeDocument/2006/relationships" name="Shape Controls v1.8" sheetId="36" r:id="R1848104971744d70"/>
  </x:sheets>
</x:workbook>
</file>

<file path=xl/sharedStrings.xml><?xml version="1.0" encoding="utf-8"?>
<x:sst xmlns:x="http://schemas.openxmlformats.org/spreadsheetml/2006/main"/>
</file>

<file path=xl/styles.xml><?xml version="1.0" encoding="utf-8"?>
<x:styleSheet xmlns:x="http://schemas.openxmlformats.org/spreadsheetml/2006/main">
  <x:numFmts count="7">
    <x:numFmt numFmtId="164" formatCode="0.000000"/>
    <x:numFmt numFmtId="165" formatCode="0.00000000"/>
    <x:numFmt numFmtId="166" formatCode="0.0000%"/>
    <x:numFmt numFmtId="167" formatCode="0.0"/>
    <x:numFmt numFmtId="168" formatCode="0.000"/>
    <x:numFmt numFmtId="200" formatCode="0.00"/>
    <x:numFmt numFmtId="201" formatCode="0.0000"/>
  </x:numFmts>
  <x:fonts count="31">
    <x:font>
      <x:sz val="11"/>
      <x:name val="Carlito"/>
    </x:font>
    <x:font>
      <x:b/>
      <x:sz val="11"/>
      <x:color rgb="FFFFFFFF"/>
      <x:name val="Carlito"/>
    </x:font>
    <x:font>
      <x:b/>
      <x:sz val="14"/>
      <x:color rgb="FFFFFFFF"/>
      <x:name val="Carlito"/>
    </x:font>
    <x:font>
      <x:b/>
      <x:sz val="11"/>
      <x:color rgb="FF263746"/>
      <x:name val="Carlito"/>
    </x:font>
    <x:font>
      <x:b/>
      <x:sz val="11"/>
      <x:color rgb="FF374151"/>
      <x:name val="Carlito"/>
    </x:font>
    <x:font>
      <x:b/>
      <x:color rgb="FFFFFFFF"/>
    </x:font>
    <x:font>
      <x:b/>
    </x:font>
    <x:font>
      <x:b/>
      <x:sz val="15"/>
      <x:color rgb="FFFFFFFF"/>
      <x:name val="Carlito"/>
    </x:font>
    <x:font>
      <x:i/>
      <x:sz val="11"/>
      <x:color rgb="FF7F6000"/>
      <x:name val="Carlito"/>
    </x:font>
    <x:font>
      <x:b/>
      <x:sz val="11"/>
      <x:color rgb="FF1F1F1F"/>
      <x:name val="Carlito"/>
    </x:font>
    <x:font>
      <x:b/>
      <x:sz val="11"/>
      <x:name val="Carlito"/>
    </x:font>
    <x:font>
      <x:b/>
      <x:sz val="11"/>
      <x:color rgb="FF15324B"/>
      <x:name val="Carlito"/>
    </x:font>
    <x:font>
      <x:b/>
      <x:sz val="11"/>
      <x:color rgb="FF7F6000"/>
      <x:name val="Carlito"/>
    </x:font>
    <x:font>
      <x:sz val="10"/>
      <x:color rgb="FF17365D"/>
      <x:name val="Carlito"/>
    </x:font>
    <x:font>
      <x:b/>
      <x:sz val="11"/>
      <x:color rgb="FF111827"/>
      <x:name val="Carlito"/>
    </x:font>
    <x:font>
      <x:i/>
      <x:sz val="11"/>
      <x:color rgb="FF333333"/>
      <x:name val="Carlito"/>
    </x:font>
    <x:font>
      <x:b/>
      <x:sz val="11"/>
      <x:color rgb="FF17365D"/>
      <x:name val="Carlito"/>
    </x:font>
    <x:font>
      <x:i/>
      <x:sz val="10"/>
      <x:color rgb="FF23364D"/>
      <x:name val="Carlito"/>
    </x:font>
    <x:font>
      <x:b/>
      <x:sz val="10"/>
      <x:color rgb="FFFFFFFF"/>
      <x:name val="Carlito"/>
    </x:font>
    <x:font>
      <x:b/>
      <x:sz val="11"/>
      <x:color rgb="FF23364D"/>
      <x:name val="Carlito"/>
    </x:font>
    <x:font>
      <x:i/>
      <x:sz val="10"/>
      <x:color rgb="FF253247"/>
      <x:name val="Carlito"/>
    </x:font>
    <x:font>
      <x:b/>
      <x:sz val="11"/>
      <x:color rgb="FF253247"/>
      <x:name val="Carlito"/>
    </x:font>
    <x:font>
      <x:b/>
      <x:sz val="14"/>
    </x:font>
    <x:font>
      <x:b/>
      <x:color rgb="FFFFFFFF"/>
    </x:font>
    <x:font>
      <x:i/>
      <x:sz val="11"/>
      <x:color rgb="FF334155"/>
      <x:name val="Carlito"/>
    </x:font>
    <x:font>
      <x:b/>
      <x:sz val="11"/>
      <x:color rgb="FF20354A"/>
      <x:name val="Carlito"/>
    </x:font>
    <x:font>
      <x:b/>
      <x:sz val="11"/>
      <x:color rgb="FF334155"/>
      <x:name val="Carlito"/>
    </x:font>
    <x:font>
      <x:i/>
      <x:sz val="10"/>
      <x:color rgb="FF374151"/>
      <x:name val="Carlito"/>
    </x:font>
    <x:font>
      <x:b/>
      <x:sz val="9"/>
      <x:color rgb="FFFFFFFF"/>
      <x:name val="Carlito"/>
    </x:font>
    <x:font>
      <x:b/>
      <x:sz val="16"/>
      <x:color rgb="FFFFFFFF"/>
      <x:name val="Carlito"/>
    </x:font>
    <x:font>
      <x:b/>
      <x:sz val="11"/>
      <x:color rgb="FF1E3A8A"/>
      <x:name val="Carlito"/>
    </x:font>
  </x:fonts>
  <x:fills count="54">
    <x:fill>
      <x:patternFill patternType="none"/>
    </x:fill>
    <x:fill>
      <x:patternFill patternType="gray125"/>
    </x:fill>
    <x:fill>
      <x:patternFill patternType="solid">
        <x:fgColor rgb="FF263746"/>
      </x:patternFill>
    </x:fill>
    <x:fill>
      <x:patternFill patternType="solid">
        <x:fgColor rgb="FFE8EEF2"/>
      </x:patternFill>
    </x:fill>
    <x:fill>
      <x:patternFill patternType="solid">
        <x:fgColor rgb="FF1F4E78"/>
      </x:patternFill>
    </x:fill>
    <x:fill>
      <x:patternFill patternType="solid">
        <x:fgColor rgb="FFE5E7EB"/>
      </x:patternFill>
    </x:fill>
    <x:fill>
      <x:patternFill patternType="solid">
        <x:fgColor rgb="FF7F1D1D"/>
      </x:patternFill>
    </x:fill>
    <x:fill>
      <x:patternFill patternType="solid">
        <x:fgColor rgb="FFD9EAF7"/>
      </x:patternFill>
    </x:fill>
    <x:fill>
      <x:patternFill patternType="solid">
        <x:fgColor rgb="FF243247"/>
      </x:patternFill>
    </x:fill>
    <x:fill>
      <x:patternFill patternType="solid">
        <x:fgColor rgb="FFFFF2CC"/>
      </x:patternFill>
    </x:fill>
    <x:fill>
      <x:patternFill patternType="solid">
        <x:fgColor rgb="FFD9E2F3"/>
      </x:patternFill>
    </x:fill>
    <x:fill>
      <x:patternFill patternType="solid">
        <x:fgColor rgb="FF4472C4"/>
      </x:patternFill>
    </x:fill>
    <x:fill>
      <x:patternFill patternType="solid">
        <x:fgColor rgb="FF5B6573"/>
      </x:patternFill>
    </x:fill>
    <x:fill>
      <x:patternFill patternType="solid">
        <x:fgColor rgb="FFD9EAF7"/>
      </x:patternFill>
    </x:fill>
    <x:fill>
      <x:patternFill patternType="solid">
        <x:fgColor rgb="FF1F4E78"/>
      </x:patternFill>
    </x:fill>
    <x:fill>
      <x:patternFill patternType="solid">
        <x:fgColor rgb="FF15324B"/>
      </x:patternFill>
    </x:fill>
    <x:fill>
      <x:patternFill patternType="solid">
        <x:fgColor rgb="FFFFF2CC"/>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4472C4"/>
      </x:patternFill>
    </x:fill>
    <x:fill>
      <x:patternFill patternType="solid">
        <x:fgColor rgb="FFD9E2F3"/>
      </x:patternFill>
    </x:fill>
    <x:fill>
      <x:patternFill patternType="solid">
        <x:fgColor rgb="FF0F766E"/>
      </x:patternFill>
    </x:fill>
    <x:fill>
      <x:patternFill patternType="solid">
        <x:fgColor rgb="FF1F2937"/>
      </x:patternFill>
    </x:fill>
    <x:fill>
      <x:patternFill patternType="solid">
        <x:fgColor rgb="FFE5E7EB"/>
      </x:patternFill>
    </x:fill>
    <x:fill>
      <x:patternFill patternType="solid">
        <x:fgColor rgb="FF17365D"/>
      </x:patternFill>
    </x:fill>
    <x:fill>
      <x:patternFill patternType="solid">
        <x:fgColor rgb="FFF3F6FA"/>
      </x:patternFill>
    </x:fill>
    <x:fill>
      <x:patternFill patternType="solid">
        <x:fgColor rgb="FFD9EAF7"/>
      </x:patternFill>
    </x:fill>
    <x:fill>
      <x:patternFill patternType="solid">
        <x:fgColor rgb="FF305496"/>
      </x:patternFill>
    </x:fill>
    <x:fill>
      <x:patternFill patternType="solid">
        <x:fgColor rgb="FFFFF2CC"/>
      </x:patternFill>
    </x:fill>
    <x:fill>
      <x:patternFill patternType="solid">
        <x:fgColor rgb="FF17365D"/>
      </x:patternFill>
    </x:fill>
    <x:fill>
      <x:patternFill patternType="solid">
        <x:fgColor rgb="FFEAF0F7"/>
      </x:patternFill>
    </x:fill>
    <x:fill>
      <x:patternFill patternType="solid">
        <x:fgColor rgb="FFD9E2F3"/>
      </x:patternFill>
    </x:fill>
    <x:fill>
      <x:patternFill patternType="solid">
        <x:fgColor rgb="FF4472C4"/>
      </x:patternFill>
    </x:fill>
    <x:fill>
      <x:patternFill patternType="solid">
        <x:fgColor rgb="FFF3F6FA"/>
      </x:patternFill>
    </x:fill>
    <x:fill>
      <x:patternFill patternType="solid">
        <x:fgColor rgb="FFFFF2CC"/>
      </x:patternFill>
    </x:fill>
    <x:fill>
      <x:patternFill patternType="solid">
        <x:fgColor rgb="FFD9EAF7"/>
      </x:patternFill>
    </x:fill>
    <x:fill>
      <x:patternFill patternType="solid">
        <x:fgColor rgb="FF172033"/>
      </x:patternFill>
    </x:fill>
    <x:fill>
      <x:patternFill patternType="solid">
        <x:fgColor rgb="FFE8EEF5"/>
      </x:patternFill>
    </x:fill>
    <x:fill>
      <x:patternFill patternType="solid">
        <x:fgColor rgb="FF35465E"/>
      </x:patternFill>
    </x:fill>
    <x:fill>
      <x:patternFill patternType="solid">
        <x:fgColor rgb="FF24364B"/>
      </x:patternFill>
    </x:fill>
    <x:fill>
      <x:patternFill patternType="solid">
        <x:fgColor rgb="FFD9EAF7"/>
      </x:patternFill>
    </x:fill>
    <x:fill>
      <x:patternFill patternType="solid">
        <x:fgColor rgb="FF20354A"/>
      </x:patternFill>
    </x:fill>
    <x:fill>
      <x:patternFill patternType="solid">
        <x:fgColor rgb="FFF1F5F9"/>
      </x:patternFill>
    </x:fill>
    <x:fill>
      <x:patternFill patternType="solid">
        <x:fgColor rgb="FF36566F"/>
      </x:patternFill>
    </x:fill>
    <x:fill>
      <x:patternFill patternType="solid">
        <x:fgColor rgb="FFDCE6F1"/>
      </x:patternFill>
    </x:fill>
    <x:fill>
      <x:patternFill patternType="solid">
        <x:fgColor rgb="FF1F2937"/>
      </x:patternFill>
    </x:fill>
    <x:fill>
      <x:patternFill patternType="solid">
        <x:fgColor rgb="FFF3F4F6"/>
      </x:patternFill>
    </x:fill>
    <x:fill>
      <x:patternFill patternType="solid">
        <x:fgColor rgb="FF374151"/>
      </x:patternFill>
    </x:fill>
    <x:fill>
      <x:patternFill patternType="solid">
        <x:fgColor rgb="FF1F2937"/>
      </x:patternFill>
    </x:fill>
    <x:fill>
      <x:patternFill patternType="solid">
        <x:fgColor rgb="FFE5E7EB"/>
      </x:patternFill>
    </x:fill>
    <x:fill>
      <x:patternFill patternType="solid">
        <x:fgColor rgb="FFDBEAFE"/>
      </x:patternFill>
    </x:fill>
    <x:fill>
      <x:patternFill patternType="solid">
        <x:fgColor rgb="FF374151"/>
      </x:patternFill>
    </x:fill>
  </x:fills>
  <x:borders count="2">
    <x:border/>
    <x:border/>
  </x:borders>
  <x:cellStyleXfs count="1">
    <x:xf numFmtId="0" fontId="0" fillId="0" borderId="1"/>
  </x:cellStyleXfs>
  <x:cellXfs count="53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1" fontId="0" fillId="0" borderId="0" xfId="0" applyAlignment="1">
      <x:alignment wrapText="1"/>
    </x:xf>
    <x:xf numFmtId="1" fontId="0" fillId="0" borderId="1" xfId="0" applyAlignment="1">
      <x:alignment wrapText="1"/>
    </x:xf>
    <x:xf numFmtId="0" fontId="0" fillId="0" borderId="0" xfId="0" applyAlignment="1">
      <x:alignment horizontal="center" wrapText="1"/>
    </x:xf>
    <x:xf numFmtId="0" fontId="0" fillId="0" borderId="1"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2" borderId="1" xfId="0" applyAlignment="1">
      <x:alignment wrapText="1"/>
    </x:xf>
    <x:xf numFmtId="0" fontId="2" fillId="2" borderId="1" xfId="0" applyAlignment="1">
      <x:alignment wrapText="1"/>
    </x:xf>
    <x:xf numFmtId="0" fontId="2" fillId="2" borderId="1"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3" borderId="1" xfId="0" applyAlignment="1">
      <x:alignment wrapText="1"/>
    </x:xf>
    <x:xf numFmtId="0" fontId="3" fillId="3" borderId="1" xfId="0" applyAlignment="1">
      <x:alignment wrapText="1"/>
    </x:xf>
    <x:xf numFmtId="0" fontId="3" fillId="3" borderId="1" xfId="0" applyAlignment="1">
      <x:alignment vertical="top" wrapText="1"/>
    </x:xf>
    <x:xf numFmtId="0" fontId="0" fillId="0" borderId="0" xfId="0"/>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1" fontId="0" fillId="0" borderId="0" xfId="0" applyAlignment="1">
      <x:alignment vertical="top" wrapText="1"/>
    </x:xf>
    <x:xf numFmtId="0" fontId="2" fillId="4" borderId="1" xfId="0" applyAlignment="1">
      <x:alignment vertical="top" wrapText="1"/>
    </x:xf>
    <x:xf numFmtId="0" fontId="2" fillId="4" borderId="1" xfId="0" applyAlignment="1">
      <x:alignment vertical="top"/>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0" borderId="0" xfId="0" applyAlignment="1">
      <x:alignment wrapText="1"/>
    </x:xf>
    <x:xf numFmtId="1" fontId="0" fillId="0" borderId="0" xfId="0" applyAlignment="1">
      <x:alignment wrapText="1"/>
    </x:xf>
    <x:xf numFmtId="0" fontId="0" fillId="0" borderId="0" xfId="0" applyAlignment="1">
      <x:alignment horizontal="center" wrapText="1"/>
    </x:xf>
    <x:xf numFmtId="0" fontId="0" fillId="2" borderId="0" xfId="0" applyAlignment="1">
      <x:alignment wrapText="1"/>
    </x:xf>
    <x:xf numFmtId="0" fontId="2" fillId="2" borderId="0" xfId="0" applyAlignment="1">
      <x:alignment wrapText="1"/>
    </x:xf>
    <x:xf numFmtId="0" fontId="2" fillId="2" borderId="0" xfId="0" applyAlignment="1">
      <x:alignment vertical="center" wrapText="1"/>
    </x:xf>
    <x:xf numFmtId="0" fontId="0" fillId="3" borderId="0" xfId="0" applyAlignment="1">
      <x:alignment wrapText="1"/>
    </x:xf>
    <x:xf numFmtId="0" fontId="3" fillId="3" borderId="0" xfId="0" applyAlignment="1">
      <x:alignment wrapText="1"/>
    </x:xf>
    <x:xf numFmtId="0" fontId="3" fillId="3" borderId="0" xfId="0" applyAlignment="1">
      <x:alignment vertical="top" wrapText="1"/>
    </x:xf>
    <x:xf numFmtId="0" fontId="0" fillId="4" borderId="0" xfId="0"/>
    <x:xf numFmtId="0" fontId="1" fillId="4" borderId="0" xfId="0"/>
    <x:xf numFmtId="0" fontId="1" fillId="4" borderId="0" xfId="0" applyAlignment="1">
      <x:alignment wrapText="1"/>
    </x:xf>
    <x:xf numFmtId="0" fontId="1" fillId="4" borderId="0" xfId="0" applyAlignment="1">
      <x:alignment vertical="center" wrapText="1"/>
    </x:xf>
    <x:xf numFmtId="0" fontId="0" fillId="5" borderId="0" xfId="0"/>
    <x:xf numFmtId="0" fontId="4" fillId="5" borderId="0" xfId="0"/>
    <x:xf numFmtId="0" fontId="4" fillId="5" borderId="0" xfId="0" applyAlignment="1">
      <x:alignment wrapText="1"/>
    </x:xf>
    <x:xf numFmtId="0" fontId="1" fillId="4" borderId="0" xfId="0" applyAlignment="1">
      <x:alignment horizontal="center" vertical="center" wrapText="1"/>
    </x:xf>
    <x:xf numFmtId="0" fontId="1" fillId="4" borderId="0" xfId="0" applyAlignment="1">
      <x:alignment horizontal="center" vertical="top" wrapText="1"/>
    </x:xf>
    <x:xf numFmtId="0" fontId="1" fillId="4" borderId="0" xfId="0" applyAlignment="1">
      <x:alignment vertical="top" wrapText="1"/>
    </x:xf>
    <x:xf numFmtId="1" fontId="0" fillId="0" borderId="0" xfId="0" applyAlignment="1">
      <x:alignment vertical="top" wrapText="1"/>
    </x:xf>
    <x:xf numFmtId="0" fontId="0" fillId="0" borderId="0" xfId="0" applyAlignment="1">
      <x:alignment vertical="top" wrapText="1"/>
    </x:xf>
    <x:xf numFmtId="0" fontId="0" fillId="0" borderId="0" xfId="0" applyAlignment="1">
      <x:alignment horizontal="center" vertical="top" wrapText="1"/>
    </x:xf>
    <x:xf numFmtId="0" fontId="2" fillId="4" borderId="0" xfId="0"/>
    <x:xf numFmtId="0" fontId="2" fillId="4" borderId="0" xfId="0" applyAlignment="1">
      <x:alignment vertical="top"/>
    </x:xf>
    <x:xf numFmtId="0" fontId="0" fillId="0" borderId="0" xfId="0" applyAlignment="1">
      <x:alignment vertical="top"/>
    </x:xf>
    <x:xf numFmtId="0" fontId="2" fillId="4" borderId="0" xfId="0" applyAlignment="1">
      <x:alignment vertical="center" wrapText="1"/>
    </x:xf>
    <x:xf numFmtId="0" fontId="2" fillId="4" borderId="0" xfId="0" applyAlignment="1">
      <x:alignment vertical="top" wrapText="1"/>
    </x:xf>
    <x:xf numFmtId="0" fontId="2" fillId="2" borderId="0" xfId="0" applyAlignment="1">
      <x:alignment vertical="top" wrapText="1"/>
    </x:xf>
    <x:xf numFmtId="0" fontId="5" fillId="6" borderId="0" xfId="0" applyAlignment="1">
      <x:alignment vertical="top" wrapText="1"/>
    </x:xf>
    <x:xf numFmtId="0" fontId="6" fillId="0" borderId="0" xfId="0" applyAlignment="1">
      <x:alignment vertical="top" wrapText="1"/>
    </x:xf>
    <x:xf numFmtId="0" fontId="6" fillId="7" borderId="0" xfId="0" applyAlignment="1">
      <x:alignment vertical="top" wrapText="1"/>
    </x:xf>
    <x:xf numFmtId="0" fontId="0" fillId="8" borderId="0" xfId="0"/>
    <x:xf numFmtId="0" fontId="7" fillId="8" borderId="0" xfId="0"/>
    <x:xf numFmtId="0" fontId="7" fillId="8" borderId="0" xfId="0" applyAlignment="1">
      <x:alignment vertical="center"/>
    </x:xf>
    <x:xf numFmtId="0" fontId="0" fillId="9" borderId="0" xfId="0"/>
    <x:xf numFmtId="0" fontId="8" fillId="9" borderId="0" xfId="0"/>
    <x:xf numFmtId="0" fontId="8" fillId="9" borderId="0" xfId="0" applyAlignment="1">
      <x:alignment wrapText="1"/>
    </x:xf>
    <x:xf numFmtId="0" fontId="8" fillId="9" borderId="0" xfId="0" applyAlignment="1">
      <x:alignment vertical="center" wrapText="1"/>
    </x:xf>
    <x:xf numFmtId="0" fontId="0" fillId="10" borderId="0" xfId="0"/>
    <x:xf numFmtId="0" fontId="9" fillId="10" borderId="0" xfId="0"/>
    <x:xf numFmtId="0" fontId="0" fillId="11" borderId="0" xfId="0"/>
    <x:xf numFmtId="0" fontId="1" fillId="11" borderId="0" xfId="0"/>
    <x:xf numFmtId="0" fontId="1" fillId="11" borderId="0" xfId="0" applyAlignment="1">
      <x:alignment wrapText="1"/>
    </x:xf>
    <x:xf numFmtId="0" fontId="1" fillId="11" borderId="0" xfId="0" applyAlignment="1">
      <x:alignment vertical="center" wrapText="1"/>
    </x:xf>
    <x:xf numFmtId="0" fontId="10" fillId="0" borderId="0" xfId="0" applyAlignment="1">
      <x:alignment wrapText="1"/>
    </x:xf>
    <x:xf numFmtId="0" fontId="1" fillId="11" borderId="0" xfId="0" applyAlignment="1">
      <x:alignment vertical="top" wrapText="1"/>
    </x:xf>
    <x:xf numFmtId="0" fontId="10" fillId="0" borderId="0" xfId="0" applyAlignment="1">
      <x:alignment vertical="top" wrapText="1"/>
    </x:xf>
    <x:xf numFmtId="164" fontId="0" fillId="0" borderId="0" xfId="0"/>
    <x:xf numFmtId="164" fontId="0" fillId="0" borderId="0" xfId="0" applyAlignment="1">
      <x:alignment wrapText="1"/>
    </x:xf>
    <x:xf numFmtId="164" fontId="0" fillId="0" borderId="0" xfId="0" applyAlignment="1">
      <x:alignment vertical="top" wrapText="1"/>
    </x:xf>
    <x:xf numFmtId="0" fontId="0" fillId="12" borderId="0" xfId="0"/>
    <x:xf numFmtId="0" fontId="1" fillId="12" borderId="0" xfId="0"/>
    <x:xf numFmtId="0" fontId="1" fillId="12" borderId="0" xfId="0" applyAlignment="1">
      <x:alignment wrapText="1"/>
    </x:xf>
    <x:xf numFmtId="0" fontId="1" fillId="12" borderId="0" xfId="0" applyAlignment="1">
      <x:alignment vertical="center" wrapText="1"/>
    </x:xf>
    <x:xf numFmtId="2" fontId="0" fillId="0" borderId="0" xfId="0"/>
    <x:xf numFmtId="2" fontId="0" fillId="0" borderId="0" xfId="0" applyAlignment="1">
      <x:alignment wrapText="1"/>
    </x:xf>
    <x:xf numFmtId="2" fontId="0" fillId="0" borderId="0" xfId="0" applyAlignment="1">
      <x:alignment vertical="top" wrapText="1"/>
    </x:xf>
    <x:xf numFmtId="0" fontId="0" fillId="13" borderId="0" xfId="0"/>
    <x:xf numFmtId="0" fontId="11" fillId="13" borderId="0" xfId="0"/>
    <x:xf numFmtId="0" fontId="11" fillId="13" borderId="0" xfId="0" applyAlignment="1">
      <x:alignment wrapText="1"/>
    </x:xf>
    <x:xf numFmtId="0" fontId="0" fillId="14" borderId="0" xfId="0"/>
    <x:xf numFmtId="0" fontId="1" fillId="14" borderId="0" xfId="0"/>
    <x:xf numFmtId="0" fontId="1" fillId="14" borderId="0" xfId="0" applyAlignment="1">
      <x:alignment wrapText="1"/>
    </x:xf>
    <x:xf numFmtId="0" fontId="1" fillId="14" borderId="0" xfId="0" applyAlignment="1">
      <x:alignment vertical="center" wrapText="1"/>
    </x:xf>
    <x:xf numFmtId="0" fontId="0" fillId="15" borderId="0" xfId="0"/>
    <x:xf numFmtId="0" fontId="2" fillId="15" borderId="0" xfId="0"/>
    <x:xf numFmtId="0" fontId="2" fillId="15" borderId="0" xfId="0" applyAlignment="1">
      <x:alignment wrapText="1"/>
    </x:xf>
    <x:xf numFmtId="0" fontId="2" fillId="15" borderId="0" xfId="0" applyAlignment="1">
      <x:alignment vertical="center" wrapText="1"/>
    </x:xf>
    <x:xf numFmtId="0" fontId="0" fillId="16" borderId="0" xfId="0"/>
    <x:xf numFmtId="0" fontId="12" fillId="16" borderId="0" xfId="0"/>
    <x:xf numFmtId="0" fontId="12" fillId="16" borderId="0" xfId="0" applyAlignment="1">
      <x:alignment wrapText="1"/>
    </x:xf>
    <x:xf numFmtId="0" fontId="12" fillId="16" borderId="0" xfId="0" applyAlignment="1">
      <x:alignment vertical="center" wrapText="1"/>
    </x:xf>
    <x:xf numFmtId="0" fontId="0" fillId="7" borderId="0" xfId="0"/>
    <x:xf numFmtId="0" fontId="11" fillId="7" borderId="0" xfId="0"/>
    <x:xf numFmtId="0" fontId="11" fillId="7" borderId="0" xfId="0" applyAlignment="1">
      <x:alignment wrapText="1"/>
    </x:xf>
    <x:xf numFmtId="0" fontId="12" fillId="9" borderId="0" xfId="0"/>
    <x:xf numFmtId="0" fontId="12" fillId="9" borderId="0" xfId="0" applyAlignment="1">
      <x:alignment wrapText="1"/>
    </x:xf>
    <x:xf numFmtId="0" fontId="12" fillId="9" borderId="0" xfId="0" applyAlignment="1">
      <x:alignment vertical="center" wrapText="1"/>
    </x:xf>
    <x:xf numFmtId="0" fontId="0" fillId="17" borderId="0" xfId="0"/>
    <x:xf numFmtId="0" fontId="11" fillId="17" borderId="0" xfId="0"/>
    <x:xf numFmtId="0" fontId="11" fillId="17" borderId="0" xfId="0" applyAlignment="1">
      <x:alignment wrapText="1"/>
    </x:xf>
    <x:xf numFmtId="0" fontId="0" fillId="18" borderId="0" xfId="0"/>
    <x:xf numFmtId="0" fontId="1" fillId="18" borderId="0" xfId="0"/>
    <x:xf numFmtId="0" fontId="1" fillId="18" borderId="0" xfId="0" applyAlignment="1">
      <x:alignment wrapText="1"/>
    </x:xf>
    <x:xf numFmtId="0" fontId="1" fillId="18" borderId="0" xfId="0" applyAlignment="1">
      <x:alignment vertical="center"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0" fillId="19" borderId="0" xfId="0"/>
    <x:xf numFmtId="0" fontId="7" fillId="19" borderId="0" xfId="0"/>
    <x:xf numFmtId="0" fontId="7" fillId="19" borderId="0" xfId="0" applyAlignment="1">
      <x:alignment vertical="center"/>
    </x:xf>
    <x:xf numFmtId="0" fontId="0" fillId="20" borderId="0" xfId="0"/>
    <x:xf numFmtId="0" fontId="13" fillId="20" borderId="0" xfId="0"/>
    <x:xf numFmtId="0" fontId="13" fillId="20" borderId="0" xfId="0" applyAlignment="1">
      <x:alignment wrapText="1"/>
    </x:xf>
    <x:xf numFmtId="0" fontId="13" fillId="20" borderId="0" xfId="0" applyAlignment="1">
      <x:alignment vertical="center" wrapText="1"/>
    </x:xf>
    <x:xf numFmtId="0" fontId="0" fillId="21" borderId="0" xfId="0"/>
    <x:xf numFmtId="0" fontId="1" fillId="21" borderId="0" xfId="0"/>
    <x:xf numFmtId="0" fontId="1" fillId="21" borderId="0" xfId="0" applyAlignment="1">
      <x:alignment wrapText="1"/>
    </x:xf>
    <x:xf numFmtId="0" fontId="1" fillId="21" borderId="0" xfId="0" applyAlignment="1">
      <x:alignment horizontal="center" wrapText="1"/>
    </x:xf>
    <x:xf numFmtId="0" fontId="1" fillId="21" borderId="0" xfId="0" applyAlignment="1">
      <x:alignment horizontal="center" vertical="center" wrapText="1"/>
    </x:xf>
    <x:xf numFmtId="0" fontId="0" fillId="22" borderId="0" xfId="0"/>
    <x:xf numFmtId="0" fontId="9" fillId="22" borderId="0" xfId="0"/>
    <x:xf numFmtId="0" fontId="9" fillId="22" borderId="0" xfId="0" applyAlignment="1">
      <x:alignment wrapText="1"/>
    </x:xf>
    <x:xf numFmtId="0" fontId="9" fillId="22" borderId="0" xfId="0" applyAlignment="1">
      <x:alignment vertical="center" wrapText="1"/>
    </x:xf>
    <x:xf numFmtId="167" fontId="0" fillId="0" borderId="0" xfId="0" applyAlignment="1">
      <x:alignment vertical="top" wrapText="1"/>
    </x:xf>
    <x:xf numFmtId="0" fontId="13" fillId="7" borderId="0" xfId="0"/>
    <x:xf numFmtId="0" fontId="13" fillId="7" borderId="0" xfId="0" applyAlignment="1">
      <x:alignment wrapText="1"/>
    </x:xf>
    <x:xf numFmtId="0" fontId="13" fillId="7" borderId="0" xfId="0" applyAlignment="1">
      <x:alignment vertical="center" wrapText="1"/>
    </x:xf>
    <x:xf numFmtId="0" fontId="1" fillId="11" borderId="0" xfId="0" applyAlignment="1">
      <x:alignment horizontal="center" wrapText="1"/>
    </x:xf>
    <x:xf numFmtId="0" fontId="1" fillId="11" borderId="0" xfId="0" applyAlignment="1">
      <x:alignment horizontal="center" vertical="center" wrapText="1"/>
    </x:xf>
    <x:xf numFmtId="0" fontId="9" fillId="10" borderId="0" xfId="0" applyAlignment="1">
      <x:alignment wrapText="1"/>
    </x:xf>
    <x:xf numFmtId="0" fontId="9" fillId="10" borderId="0" xfId="0" applyAlignment="1">
      <x:alignment vertical="center" wrapText="1"/>
    </x:xf>
    <x:xf numFmtId="0" fontId="0" fillId="23" borderId="0" xfId="0"/>
    <x:xf numFmtId="0" fontId="1" fillId="23" borderId="0" xfId="0"/>
    <x:xf numFmtId="0" fontId="1" fillId="23" borderId="0" xfId="0" applyAlignment="1">
      <x:alignment vertical="center"/>
    </x:xf>
    <x:xf numFmtId="0" fontId="0" fillId="24" borderId="0" xfId="0"/>
    <x:xf numFmtId="0" fontId="1" fillId="24" borderId="0" xfId="0"/>
    <x:xf numFmtId="0" fontId="1" fillId="24" borderId="0" xfId="0" applyAlignment="1">
      <x:alignment wrapText="1"/>
    </x:xf>
    <x:xf numFmtId="0" fontId="1" fillId="24" borderId="0" xfId="0" applyAlignment="1">
      <x:alignment horizontal="center" wrapText="1"/>
    </x:xf>
    <x:xf numFmtId="0" fontId="1" fillId="24" borderId="0" xfId="0" applyAlignment="1">
      <x:alignment horizontal="center" vertical="center" wrapText="1"/>
    </x:xf>
    <x:xf numFmtId="0" fontId="0" fillId="25" borderId="0" xfId="0"/>
    <x:xf numFmtId="0" fontId="14" fillId="25" borderId="0" xfId="0"/>
    <x:xf numFmtId="0" fontId="14" fillId="25" borderId="0" xfId="0" applyAlignment="1">
      <x:alignment wrapText="1"/>
    </x:xf>
    <x:xf numFmtId="0" fontId="0" fillId="26" borderId="0" xfId="0"/>
    <x:xf numFmtId="0" fontId="2" fillId="26" borderId="0" xfId="0"/>
    <x:xf numFmtId="0" fontId="2" fillId="26" borderId="0" xfId="0" applyAlignment="1">
      <x:alignment wrapText="1"/>
    </x:xf>
    <x:xf numFmtId="0" fontId="2" fillId="26" borderId="0" xfId="0" applyAlignment="1">
      <x:alignment vertical="center" wrapText="1"/>
    </x:xf>
    <x:xf numFmtId="0" fontId="0" fillId="27" borderId="0" xfId="0"/>
    <x:xf numFmtId="0" fontId="15" fillId="27" borderId="0" xfId="0"/>
    <x:xf numFmtId="0" fontId="15" fillId="27" borderId="0" xfId="0" applyAlignment="1">
      <x:alignment wrapText="1"/>
    </x:xf>
    <x:xf numFmtId="0" fontId="15" fillId="27" borderId="0" xfId="0" applyAlignment="1">
      <x:alignment vertical="center" wrapText="1"/>
    </x:xf>
    <x:xf numFmtId="0" fontId="0" fillId="28" borderId="0" xfId="0"/>
    <x:xf numFmtId="0" fontId="16" fillId="28" borderId="0" xfId="0"/>
    <x:xf numFmtId="0" fontId="16" fillId="28" borderId="0" xfId="0" applyAlignment="1">
      <x:alignment wrapText="1"/>
    </x:xf>
    <x:xf numFmtId="0" fontId="16" fillId="28" borderId="0" xfId="0" applyAlignment="1">
      <x:alignment vertical="center" wrapText="1"/>
    </x:xf>
    <x:xf numFmtId="0" fontId="0" fillId="29" borderId="0" xfId="0"/>
    <x:xf numFmtId="0" fontId="1" fillId="29" borderId="0" xfId="0"/>
    <x:xf numFmtId="0" fontId="1" fillId="29" borderId="0" xfId="0" applyAlignment="1">
      <x:alignment wrapText="1"/>
    </x:xf>
    <x:xf numFmtId="0" fontId="1" fillId="29" borderId="0" xfId="0" applyAlignment="1">
      <x:alignment vertical="center" wrapText="1"/>
    </x:xf>
    <x:xf numFmtId="0" fontId="0" fillId="30" borderId="0" xfId="0"/>
    <x:xf numFmtId="0" fontId="0" fillId="30" borderId="0" xfId="0" applyAlignment="1">
      <x:alignment wrapText="1"/>
    </x:xf>
    <x:xf numFmtId="0" fontId="0" fillId="30" borderId="0" xfId="0" applyAlignment="1">
      <x:alignment vertical="top" wrapText="1"/>
    </x:xf>
    <x:xf numFmtId="168" fontId="0" fillId="0" borderId="0" xfId="0" applyAlignment="1">
      <x:alignment wrapText="1"/>
    </x:xf>
    <x:xf numFmtId="0" fontId="14" fillId="5" borderId="0" xfId="0"/>
    <x:xf numFmtId="0" fontId="14" fillId="5" borderId="0" xfId="0" applyAlignment="1">
      <x:alignment wrapText="1"/>
    </x:xf>
    <x:xf numFmtId="0" fontId="2" fillId="19" borderId="0" xfId="0"/>
    <x:xf numFmtId="0" fontId="2" fillId="19" borderId="0" xfId="0" applyAlignment="1">
      <x:alignment wrapText="1"/>
    </x:xf>
    <x:xf numFmtId="0" fontId="2" fillId="19" borderId="0" xfId="0" applyAlignment="1">
      <x:alignment vertical="center" wrapText="1"/>
    </x:xf>
    <x:xf numFmtId="0" fontId="16" fillId="7" borderId="0" xfId="0"/>
    <x:xf numFmtId="0" fontId="16" fillId="7" borderId="0" xfId="0" applyAlignment="1">
      <x:alignment wrapText="1"/>
    </x:xf>
    <x:xf numFmtId="0" fontId="16" fillId="7" borderId="0" xfId="0" applyAlignment="1">
      <x:alignment vertical="center" wrapText="1"/>
    </x:xf>
    <x:xf numFmtId="0" fontId="0" fillId="9" borderId="0" xfId="0" applyAlignment="1">
      <x:alignment wrapText="1"/>
    </x:xf>
    <x:xf numFmtId="0" fontId="0" fillId="9" borderId="0" xfId="0" applyAlignment="1">
      <x:alignment vertical="top" wrapText="1"/>
    </x:xf>
    <x:xf numFmtId="0" fontId="0" fillId="31" borderId="0" xfId="0"/>
    <x:xf numFmtId="0" fontId="7" fillId="31" borderId="0" xfId="0"/>
    <x:xf numFmtId="0" fontId="7" fillId="31" borderId="0" xfId="0" applyAlignment="1">
      <x:alignment horizontal="left"/>
    </x:xf>
    <x:xf numFmtId="0" fontId="7" fillId="31" borderId="0" xfId="0" applyAlignment="1">
      <x:alignment horizontal="left" vertical="center"/>
    </x:xf>
    <x:xf numFmtId="0" fontId="0" fillId="32" borderId="0" xfId="0"/>
    <x:xf numFmtId="0" fontId="17" fillId="32" borderId="0" xfId="0"/>
    <x:xf numFmtId="0" fontId="17" fillId="32" borderId="0" xfId="0" applyAlignment="1">
      <x:alignment wrapText="1"/>
    </x:xf>
    <x:xf numFmtId="0" fontId="17" fillId="32" borderId="0" xfId="0" applyAlignment="1">
      <x:alignment vertical="center" wrapText="1"/>
    </x:xf>
    <x:xf numFmtId="0" fontId="0" fillId="33" borderId="0" xfId="0"/>
    <x:xf numFmtId="0" fontId="16" fillId="33" borderId="0" xfId="0"/>
    <x:xf numFmtId="0" fontId="16" fillId="33" borderId="0" xfId="0" applyAlignment="1">
      <x:alignment vertical="center"/>
    </x:xf>
    <x:xf numFmtId="0" fontId="0" fillId="34" borderId="0" xfId="0"/>
    <x:xf numFmtId="0" fontId="18" fillId="34" borderId="0" xfId="0"/>
    <x:xf numFmtId="0" fontId="18" fillId="34" borderId="0" xfId="0" applyAlignment="1">
      <x:alignment wrapText="1"/>
    </x:xf>
    <x:xf numFmtId="0" fontId="18" fillId="34" borderId="0" xfId="0" applyAlignment="1">
      <x:alignment horizontal="center" wrapText="1"/>
    </x:xf>
    <x:xf numFmtId="0" fontId="18" fillId="34" borderId="0" xfId="0" applyAlignment="1">
      <x:alignment horizontal="center" vertical="center" wrapText="1"/>
    </x:xf>
    <x:xf numFmtId="0" fontId="0" fillId="0" borderId="0" xfId="0"/>
    <x:xf numFmtId="0" fontId="0" fillId="0" borderId="0" xfId="0"/>
    <x:xf numFmtId="0" fontId="0" fillId="0" borderId="0" xfId="0" applyAlignment="1">
      <x:alignment wrapText="1"/>
    </x:xf>
    <x:xf numFmtId="0" fontId="0" fillId="0" borderId="0" xfId="0" applyAlignment="1">
      <x:alignment vertical="top" wrapText="1"/>
    </x:xf>
    <x:xf numFmtId="0" fontId="0" fillId="35" borderId="0" xfId="0"/>
    <x:xf numFmtId="0" fontId="19" fillId="35" borderId="0" xfId="0"/>
    <x:xf numFmtId="0" fontId="19" fillId="35" borderId="0" xfId="0" applyAlignment="1">
      <x:alignment wrapText="1"/>
    </x:xf>
    <x:xf numFmtId="0" fontId="19" fillId="35" borderId="0" xfId="0" applyAlignment="1">
      <x:alignment vertical="top" wrapText="1"/>
    </x:xf>
    <x:xf numFmtId="0" fontId="1" fillId="34" borderId="0" xfId="0"/>
    <x:xf numFmtId="0" fontId="1" fillId="34" borderId="0" xfId="0" applyAlignment="1">
      <x:alignment wrapText="1"/>
    </x:xf>
    <x:xf numFmtId="0" fontId="0" fillId="36" borderId="0" xfId="0"/>
    <x:xf numFmtId="0" fontId="0" fillId="36" borderId="0" xfId="0" applyAlignment="1">
      <x:alignment wrapText="1"/>
    </x:xf>
    <x:xf numFmtId="0" fontId="0" fillId="36" borderId="0" xfId="0" applyAlignment="1">
      <x:alignment vertical="center" wrapText="1"/>
    </x:xf>
    <x:xf numFmtId="0" fontId="0" fillId="35" borderId="0" xfId="0" applyAlignment="1">
      <x:alignment wrapText="1"/>
    </x:xf>
    <x:xf numFmtId="0" fontId="0" fillId="35" borderId="0" xfId="0" applyAlignment="1">
      <x:alignment vertical="top" wrapText="1"/>
    </x:xf>
    <x:xf numFmtId="0" fontId="1" fillId="31" borderId="0" xfId="0"/>
    <x:xf numFmtId="0" fontId="0" fillId="37" borderId="0" xfId="0"/>
    <x:xf numFmtId="0" fontId="16" fillId="37" borderId="0" xfId="0"/>
    <x:xf numFmtId="0" fontId="7" fillId="19" borderId="0" xfId="0" applyAlignment="1">
      <x:alignment horizontal="left"/>
    </x:xf>
    <x:xf numFmtId="0" fontId="7" fillId="19" borderId="0" xfId="0" applyAlignment="1">
      <x:alignment horizontal="left" vertical="center"/>
    </x:xf>
    <x:xf numFmtId="0" fontId="16" fillId="10" borderId="0" xfId="0"/>
    <x:xf numFmtId="0" fontId="16" fillId="10" borderId="0" xfId="0" applyAlignment="1">
      <x:alignment vertical="center"/>
    </x:xf>
    <x:xf numFmtId="0" fontId="18" fillId="11" borderId="0" xfId="0"/>
    <x:xf numFmtId="0" fontId="18" fillId="11" borderId="0" xfId="0" applyAlignment="1">
      <x:alignment wrapText="1"/>
    </x:xf>
    <x:xf numFmtId="0" fontId="18" fillId="11" borderId="0" xfId="0" applyAlignment="1">
      <x:alignment horizontal="center" wrapText="1"/>
    </x:xf>
    <x:xf numFmtId="0" fontId="18" fillId="11" borderId="0" xfId="0" applyAlignment="1">
      <x:alignment horizontal="center" vertical="center" wrapText="1"/>
    </x:xf>
    <x:xf numFmtId="0" fontId="19" fillId="27" borderId="0" xfId="0"/>
    <x:xf numFmtId="0" fontId="19" fillId="27" borderId="0" xfId="0" applyAlignment="1">
      <x:alignment wrapText="1"/>
    </x:xf>
    <x:xf numFmtId="0" fontId="19" fillId="27" borderId="0" xfId="0" applyAlignment="1">
      <x:alignment vertical="top" wrapText="1"/>
    </x:xf>
    <x:xf numFmtId="0" fontId="0" fillId="9" borderId="0" xfId="0" applyAlignment="1">
      <x:alignment vertical="center" wrapText="1"/>
    </x:xf>
    <x:xf numFmtId="0" fontId="0" fillId="27" borderId="0" xfId="0" applyAlignment="1">
      <x:alignment wrapText="1"/>
    </x:xf>
    <x:xf numFmtId="0" fontId="0" fillId="27" borderId="0" xfId="0" applyAlignment="1">
      <x:alignment vertical="top" wrapText="1"/>
    </x:xf>
    <x:xf numFmtId="0" fontId="1" fillId="19" borderId="0" xfId="0"/>
    <x:xf numFmtId="0" fontId="0" fillId="38" borderId="0" xfId="0"/>
    <x:xf numFmtId="0" fontId="2" fillId="38" borderId="0" xfId="0"/>
    <x:xf numFmtId="0" fontId="2" fillId="38" borderId="0" xfId="0" applyAlignment="1">
      <x:alignment vertical="center"/>
    </x:xf>
    <x:xf numFmtId="0" fontId="0" fillId="39" borderId="0" xfId="0"/>
    <x:xf numFmtId="0" fontId="20" fillId="39" borderId="0" xfId="0"/>
    <x:xf numFmtId="0" fontId="20" fillId="39" borderId="0" xfId="0" applyAlignment="1">
      <x:alignment wrapText="1"/>
    </x:xf>
    <x:xf numFmtId="0" fontId="20" fillId="39" borderId="0" xfId="0" applyAlignment="1">
      <x:alignment vertical="center" wrapText="1"/>
    </x:xf>
    <x:xf numFmtId="0" fontId="0" fillId="40" borderId="0" xfId="0"/>
    <x:xf numFmtId="0" fontId="18" fillId="40" borderId="0" xfId="0"/>
    <x:xf numFmtId="0" fontId="18" fillId="40" borderId="0" xfId="0" applyAlignment="1">
      <x:alignment wrapText="1"/>
    </x:xf>
    <x:xf numFmtId="0" fontId="18" fillId="40" borderId="0" xfId="0" applyAlignment="1">
      <x:alignment vertical="center" wrapText="1"/>
    </x:xf>
    <x:xf numFmtId="0" fontId="2" fillId="38" borderId="0" xfId="0" applyAlignment="1">
      <x:alignment vertical="center" wrapText="1"/>
    </x:xf>
    <x:xf numFmtId="0" fontId="21" fillId="39" borderId="0" xfId="0"/>
    <x:xf numFmtId="0" fontId="21" fillId="39" borderId="0" xfId="0" applyAlignment="1">
      <x:alignment wrapText="1"/>
    </x:xf>
    <x:xf numFmtId="2" fontId="0" fillId="0" borderId="0" xfId="0" applyAlignment="1">
      <x:alignment vertical="top" wrapText="1"/>
    </x:xf>
    <x:xf numFmtId="0" fontId="7" fillId="8" borderId="1" xfId="0" applyAlignment="1">
      <x:alignment vertical="center"/>
    </x:xf>
    <x:xf numFmtId="0" fontId="8" fillId="9" borderId="1" xfId="0" applyAlignment="1">
      <x:alignment vertical="center" wrapText="1"/>
    </x:xf>
    <x:xf numFmtId="0" fontId="9" fillId="10" borderId="1" xfId="0"/>
    <x:xf numFmtId="164" fontId="0" fillId="0" borderId="0" xfId="0"/>
    <x:xf numFmtId="0" fontId="0" fillId="0" borderId="1" xfId="0" applyAlignment="1">
      <x:alignment vertical="top" wrapText="1"/>
    </x:xf>
    <x:xf numFmtId="164" fontId="0" fillId="0" borderId="0" xfId="0" applyAlignment="1">
      <x:alignment vertical="top" wrapText="1"/>
    </x:xf>
    <x:xf numFmtId="0" fontId="11" fillId="13" borderId="1" xfId="0" applyAlignment="1">
      <x:alignment wrapText="1"/>
    </x:xf>
    <x:xf numFmtId="0" fontId="11" fillId="17" borderId="1" xfId="0" applyAlignment="1">
      <x:alignment wrapText="1"/>
    </x:xf>
    <x:xf numFmtId="165" fontId="0" fillId="0" borderId="0" xfId="0" applyAlignment="1">
      <x:alignment vertical="top" wrapText="1"/>
    </x:xf>
    <x:xf numFmtId="49" fontId="0" fillId="0" borderId="0" xfId="0" applyAlignment="1">
      <x:alignment vertical="top" wrapText="1"/>
    </x:xf>
    <x:xf numFmtId="166" fontId="0" fillId="0" borderId="0" xfId="0" applyAlignment="1">
      <x:alignment vertical="top" wrapText="1"/>
    </x:xf>
    <x:xf numFmtId="0" fontId="9" fillId="22" borderId="1" xfId="0" applyAlignment="1">
      <x:alignment vertical="center" wrapText="1"/>
    </x:xf>
    <x:xf numFmtId="0" fontId="1" fillId="23" borderId="1" xfId="0" applyAlignment="1">
      <x:alignment vertical="center"/>
    </x:xf>
    <x:xf numFmtId="0" fontId="16" fillId="28" borderId="1" xfId="0" applyAlignment="1">
      <x:alignment vertical="center" wrapText="1"/>
    </x:xf>
    <x:xf numFmtId="0" fontId="2" fillId="15" borderId="1" xfId="0" applyAlignment="1">
      <x:alignment vertical="center" wrapText="1"/>
    </x:xf>
    <x:xf numFmtId="0" fontId="12" fillId="9" borderId="1" xfId="0" applyAlignment="1">
      <x:alignment vertical="center" wrapText="1"/>
    </x:xf>
    <x:xf numFmtId="0" fontId="7" fillId="19" borderId="1" xfId="0" applyAlignment="1">
      <x:alignment vertical="center"/>
    </x:xf>
    <x:xf numFmtId="0" fontId="13" fillId="7" borderId="1" xfId="0" applyAlignment="1">
      <x:alignment vertical="center" wrapText="1"/>
    </x:xf>
    <x:xf numFmtId="0" fontId="13" fillId="20" borderId="1" xfId="0" applyAlignment="1">
      <x:alignment vertical="center" wrapText="1"/>
    </x:xf>
    <x:xf numFmtId="167" fontId="0" fillId="0" borderId="0" xfId="0" applyAlignment="1">
      <x:alignment vertical="top" wrapText="1"/>
    </x:xf>
    <x:xf numFmtId="0" fontId="14" fillId="25" borderId="1" xfId="0" applyAlignment="1">
      <x:alignment wrapText="1"/>
    </x:xf>
    <x:xf numFmtId="0" fontId="2" fillId="26" borderId="1" xfId="0" applyAlignment="1">
      <x:alignment vertical="center" wrapText="1"/>
    </x:xf>
    <x:xf numFmtId="0" fontId="15" fillId="27" borderId="1" xfId="0" applyAlignment="1">
      <x:alignment vertical="center" wrapText="1"/>
    </x:xf>
    <x:xf numFmtId="168" fontId="0" fillId="0" borderId="0" xfId="0" applyAlignment="1">
      <x:alignment wrapText="1"/>
    </x:xf>
    <x:xf numFmtId="164" fontId="0" fillId="0" borderId="0" xfId="0" applyAlignment="1">
      <x:alignment wrapText="1"/>
    </x:xf>
    <x:xf numFmtId="0" fontId="0" fillId="30" borderId="1" xfId="0" applyAlignment="1">
      <x:alignment vertical="top" wrapText="1"/>
    </x:xf>
    <x:xf numFmtId="0" fontId="7" fillId="31" borderId="1" xfId="0" applyAlignment="1">
      <x:alignment horizontal="left" vertical="center"/>
    </x:xf>
    <x:xf numFmtId="0" fontId="17" fillId="32" borderId="1" xfId="0" applyAlignment="1">
      <x:alignment vertical="center" wrapText="1"/>
    </x:xf>
    <x:xf numFmtId="0" fontId="16" fillId="33" borderId="1" xfId="0" applyAlignment="1">
      <x:alignment vertical="center"/>
    </x:xf>
    <x:xf numFmtId="0" fontId="16" fillId="33" borderId="1" xfId="0"/>
    <x:xf numFmtId="0" fontId="0" fillId="36" borderId="1" xfId="0" applyAlignment="1">
      <x:alignment vertical="center" wrapText="1"/>
    </x:xf>
    <x:xf numFmtId="0" fontId="0" fillId="35" borderId="1" xfId="0" applyAlignment="1">
      <x:alignment vertical="top" wrapText="1"/>
    </x:xf>
    <x:xf numFmtId="0" fontId="2" fillId="38" borderId="1" xfId="0" applyAlignment="1">
      <x:alignment vertical="center" wrapText="1"/>
    </x:xf>
    <x:xf numFmtId="0" fontId="20" fillId="39" borderId="1" xfId="0" applyAlignment="1">
      <x:alignment vertical="center" wrapText="1"/>
    </x:xf>
    <x:xf numFmtId="0" fontId="21" fillId="39" borderId="1" xfId="0"/>
    <x:xf numFmtId="0" fontId="21" fillId="39" borderId="1" xfId="0" applyAlignment="1">
      <x:alignment wrapText="1"/>
    </x:xf>
    <x:xf numFmtId="0" fontId="2" fillId="38" borderId="1" xfId="0" applyAlignment="1">
      <x:alignment vertical="center"/>
    </x:xf>
    <x:xf numFmtId="0" fontId="22" fillId="0" borderId="0" xfId="0" applyAlignment="1">
      <x:alignment vertical="top" wrapText="1"/>
    </x:xf>
    <x:xf numFmtId="0" fontId="23" fillId="41" borderId="0" xfId="0" applyAlignment="1">
      <x:alignment vertical="top" wrapText="1"/>
    </x:xf>
    <x:xf numFmtId="0" fontId="6" fillId="42"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1" fontId="0" fillId="0"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1"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4" borderId="0" xfId="0" applyNumberFormat="1" applyFont="1" applyFill="1" applyBorder="1" applyAlignment="1">
      <x:alignment vertical="center" wrapText="1"/>
    </x:xf>
    <x:xf numFmtId="0" fontId="2" fillId="4"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8" fillId="9"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0" fillId="11" borderId="0" xfId="0" applyNumberFormat="1" applyFont="1" applyFill="1" applyBorder="1"/>
    <x:xf numFmtId="0" fontId="1" fillId="11" borderId="0" xfId="0" applyNumberFormat="1" applyFont="1" applyFill="1" applyBorder="1"/>
    <x:xf numFmtId="0" fontId="1" fillId="11" borderId="0" xfId="0" applyNumberFormat="1" applyFont="1" applyFill="1" applyBorder="1" applyAlignment="1">
      <x:alignment wrapText="1"/>
    </x:xf>
    <x:xf numFmtId="0" fontId="1" fillId="11" borderId="0" xfId="0" applyNumberFormat="1" applyFont="1" applyFill="1" applyBorder="1" applyAlignment="1">
      <x:alignment vertical="center" wrapText="1"/>
    </x:xf>
    <x:xf numFmtId="0" fontId="10" fillId="0" borderId="0" xfId="0" applyNumberFormat="1" applyFont="1" applyFill="1" applyBorder="1" applyAlignment="1">
      <x:alignment wrapText="1"/>
    </x:xf>
    <x:xf numFmtId="0" fontId="1" fillId="11" borderId="0"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164" fontId="0" fillId="0" borderId="0" xfId="0" applyNumberFormat="1" applyFont="1" applyFill="1" applyBorder="1"/>
    <x:xf numFmtId="164"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2" borderId="0" xfId="0" applyNumberFormat="1" applyFont="1" applyFill="1" applyBorder="1"/>
    <x:xf numFmtId="0" fontId="1" fillId="12" borderId="0" xfId="0" applyNumberFormat="1" applyFont="1" applyFill="1" applyBorder="1"/>
    <x:xf numFmtId="0" fontId="1" fillId="12" borderId="0" xfId="0" applyNumberFormat="1" applyFont="1" applyFill="1" applyBorder="1" applyAlignment="1">
      <x:alignment wrapText="1"/>
    </x:xf>
    <x:xf numFmtId="0" fontId="1" fillId="12" borderId="0" xfId="0" applyNumberFormat="1" applyFont="1" applyFill="1" applyBorder="1" applyAlignment="1">
      <x:alignment vertical="center" wrapText="1"/>
    </x:xf>
    <x:xf numFmtId="2" fontId="0" fillId="0" borderId="0" xfId="0" applyNumberFormat="1" applyFont="1" applyFill="1" applyBorder="1"/>
    <x:xf numFmtId="2" fontId="0" fillId="0" borderId="0" xfId="0" applyNumberFormat="1" applyFont="1" applyFill="1" applyBorder="1" applyAlignment="1">
      <x:alignment wrapText="1"/>
    </x:xf>
    <x:xf numFmtId="2" fontId="0" fillId="0" borderId="0" xfId="0" applyNumberFormat="1" applyFont="1" applyFill="1" applyBorder="1" applyAlignment="1">
      <x:alignment vertical="top" wrapText="1"/>
    </x:xf>
    <x:xf numFmtId="0" fontId="0" fillId="7" borderId="0" xfId="0" applyNumberFormat="1" applyFont="1" applyFill="1" applyBorder="1"/>
    <x:xf numFmtId="0" fontId="11" fillId="7" borderId="0" xfId="0" applyNumberFormat="1" applyFont="1" applyFill="1" applyBorder="1"/>
    <x:xf numFmtId="0" fontId="11" fillId="7" borderId="0" xfId="0" applyNumberFormat="1" applyFont="1" applyFill="1" applyBorder="1" applyAlignment="1">
      <x:alignment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vertical="center" wrapText="1"/>
    </x:xf>
    <x:xf numFmtId="0" fontId="12" fillId="9" borderId="0" xfId="0" applyNumberFormat="1" applyFont="1" applyFill="1" applyBorder="1"/>
    <x:xf numFmtId="0" fontId="12" fillId="9" borderId="0" xfId="0" applyNumberFormat="1" applyFont="1" applyFill="1" applyBorder="1" applyAlignment="1">
      <x:alignment wrapText="1"/>
    </x:xf>
    <x:xf numFmtId="0" fontId="12" fillId="9" borderId="0" xfId="0" applyNumberFormat="1" applyFont="1" applyFill="1" applyBorder="1" applyAlignment="1">
      <x:alignment vertical="center" wrapText="1"/>
    </x:xf>
    <x:xf numFmtId="165" fontId="0" fillId="0" borderId="0" xfId="0" applyNumberFormat="1" applyFont="1" applyFill="1" applyBorder="1" applyAlignment="1">
      <x:alignment vertical="top" wrapText="1"/>
    </x:xf>
    <x:xf numFmtId="49" fontId="0" fillId="0" borderId="0" xfId="0" applyNumberFormat="1" applyFont="1" applyFill="1" applyBorder="1" applyAlignment="1">
      <x:alignment vertical="top" wrapText="1"/>
    </x:xf>
    <x:xf numFmtId="166" fontId="0" fillId="0" borderId="0"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0" xfId="0" applyNumberFormat="1" applyFont="1" applyFill="1" applyBorder="1" applyAlignment="1">
      <x:alignment vertical="center"/>
    </x:xf>
    <x:xf numFmtId="0" fontId="13" fillId="7" borderId="0" xfId="0" applyNumberFormat="1" applyFont="1" applyFill="1" applyBorder="1"/>
    <x:xf numFmtId="0" fontId="13" fillId="7" borderId="0" xfId="0" applyNumberFormat="1" applyFont="1" applyFill="1" applyBorder="1" applyAlignment="1">
      <x:alignment wrapText="1"/>
    </x:xf>
    <x:xf numFmtId="0" fontId="13" fillId="7" borderId="0" xfId="0" applyNumberFormat="1" applyFont="1" applyFill="1" applyBorder="1" applyAlignment="1">
      <x:alignment vertical="center" wrapText="1"/>
    </x:xf>
    <x:xf numFmtId="0" fontId="1" fillId="11" borderId="0" xfId="0" applyNumberFormat="1" applyFont="1" applyFill="1" applyBorder="1" applyAlignment="1">
      <x:alignment horizontal="center" wrapText="1"/>
    </x:xf>
    <x:xf numFmtId="0" fontId="1" fillId="11" borderId="0" xfId="0" applyNumberFormat="1" applyFont="1" applyFill="1" applyBorder="1" applyAlignment="1">
      <x:alignment horizontal="center" vertical="center" wrapText="1"/>
    </x:xf>
    <x:xf numFmtId="0" fontId="9" fillId="10" borderId="0" xfId="0" applyNumberFormat="1" applyFont="1" applyFill="1" applyBorder="1" applyAlignment="1">
      <x:alignment wrapText="1"/>
    </x:xf>
    <x:xf numFmtId="0" fontId="9" fillId="10" borderId="0" xfId="0" applyNumberFormat="1" applyFont="1" applyFill="1" applyBorder="1" applyAlignment="1">
      <x:alignment vertical="center" wrapText="1"/>
    </x:xf>
    <x:xf numFmtId="167" fontId="0" fillId="0" borderId="0" xfId="0" applyNumberFormat="1" applyFont="1" applyFill="1" applyBorder="1" applyAlignment="1">
      <x:alignment vertical="top" wrapText="1"/>
    </x:xf>
    <x:xf numFmtId="0" fontId="0" fillId="23" borderId="0" xfId="0" applyNumberFormat="1" applyFont="1" applyFill="1" applyBorder="1"/>
    <x:xf numFmtId="0" fontId="1" fillId="23" borderId="0" xfId="0" applyNumberFormat="1" applyFont="1" applyFill="1" applyBorder="1"/>
    <x:xf numFmtId="0" fontId="1" fillId="23" borderId="0" xfId="0" applyNumberFormat="1" applyFont="1" applyFill="1" applyBorder="1" applyAlignment="1">
      <x:alignment vertical="center"/>
    </x:xf>
    <x:xf numFmtId="0" fontId="0" fillId="24" borderId="0" xfId="0" applyNumberFormat="1" applyFont="1" applyFill="1" applyBorder="1"/>
    <x:xf numFmtId="0" fontId="1" fillId="24" borderId="0" xfId="0" applyNumberFormat="1" applyFont="1" applyFill="1" applyBorder="1"/>
    <x:xf numFmtId="0" fontId="1" fillId="24" borderId="0" xfId="0" applyNumberFormat="1" applyFont="1" applyFill="1" applyBorder="1" applyAlignment="1">
      <x:alignment wrapText="1"/>
    </x:xf>
    <x:xf numFmtId="0" fontId="1" fillId="24" borderId="0" xfId="0" applyNumberFormat="1" applyFont="1" applyFill="1" applyBorder="1" applyAlignment="1">
      <x:alignment horizontal="center" wrapText="1"/>
    </x:xf>
    <x:xf numFmtId="0" fontId="1" fillId="24" borderId="0" xfId="0" applyNumberFormat="1" applyFont="1" applyFill="1" applyBorder="1" applyAlignment="1">
      <x:alignment horizontal="center" vertical="center" wrapText="1"/>
    </x:xf>
    <x:xf numFmtId="0" fontId="14" fillId="5" borderId="0" xfId="0" applyNumberFormat="1" applyFont="1" applyFill="1" applyBorder="1"/>
    <x:xf numFmtId="0" fontId="14" fillId="5" borderId="0" xfId="0" applyNumberFormat="1" applyFont="1" applyFill="1" applyBorder="1" applyAlignment="1">
      <x:alignment wrapText="1"/>
    </x:xf>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vertical="center" wrapText="1"/>
    </x:xf>
    <x:xf numFmtId="0" fontId="0" fillId="27" borderId="0" xfId="0" applyNumberFormat="1" applyFont="1" applyFill="1" applyBorder="1"/>
    <x:xf numFmtId="0" fontId="15" fillId="27" borderId="0" xfId="0" applyNumberFormat="1" applyFont="1" applyFill="1" applyBorder="1"/>
    <x:xf numFmtId="0" fontId="15" fillId="27" borderId="0" xfId="0" applyNumberFormat="1" applyFont="1" applyFill="1" applyBorder="1" applyAlignment="1">
      <x:alignment wrapText="1"/>
    </x:xf>
    <x:xf numFmtId="0" fontId="15" fillId="27" borderId="0" xfId="0" applyNumberFormat="1" applyFont="1" applyFill="1" applyBorder="1" applyAlignment="1">
      <x:alignment vertical="center" wrapText="1"/>
    </x:xf>
    <x:xf numFmtId="0" fontId="16" fillId="7" borderId="0" xfId="0" applyNumberFormat="1" applyFont="1" applyFill="1" applyBorder="1"/>
    <x:xf numFmtId="0" fontId="16" fillId="7" borderId="0" xfId="0" applyNumberFormat="1" applyFont="1" applyFill="1" applyBorder="1" applyAlignment="1">
      <x:alignment wrapText="1"/>
    </x:xf>
    <x:xf numFmtId="0" fontId="16" fillId="7" borderId="0"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wrapText="1"/>
    </x:xf>
    <x:xf numFmtId="0" fontId="1" fillId="29" borderId="0" xfId="0" applyNumberFormat="1" applyFont="1" applyFill="1" applyBorder="1" applyAlignment="1">
      <x:alignment vertical="center" wrapText="1"/>
    </x:xf>
    <x:xf numFmtId="0" fontId="0" fillId="9" borderId="0" xfId="0" applyNumberFormat="1" applyFont="1" applyFill="1" applyBorder="1" applyAlignment="1">
      <x:alignment wrapText="1"/>
    </x:xf>
    <x:xf numFmtId="0" fontId="0" fillId="9" borderId="0" xfId="0" applyNumberFormat="1" applyFont="1" applyFill="1" applyBorder="1" applyAlignment="1">
      <x:alignment vertical="top" wrapText="1"/>
    </x:xf>
    <x:xf numFmtId="168" fontId="0" fillId="0" borderId="0" xfId="0" applyNumberFormat="1" applyFont="1" applyFill="1" applyBorder="1" applyAlignment="1">
      <x:alignment wrapText="1"/>
    </x:xf>
    <x:xf numFmtId="0" fontId="7" fillId="19" borderId="0" xfId="0" applyNumberFormat="1" applyFont="1" applyFill="1" applyBorder="1" applyAlignment="1">
      <x:alignment horizontal="left"/>
    </x:xf>
    <x:xf numFmtId="0" fontId="7" fillId="19" borderId="0" xfId="0" applyNumberFormat="1" applyFont="1" applyFill="1" applyBorder="1" applyAlignment="1">
      <x:alignment horizontal="left" vertical="center"/>
    </x:xf>
    <x:xf numFmtId="0" fontId="0" fillId="32" borderId="0" xfId="0" applyNumberFormat="1" applyFont="1" applyFill="1" applyBorder="1"/>
    <x:xf numFmtId="0" fontId="17" fillId="32" borderId="0" xfId="0" applyNumberFormat="1" applyFont="1" applyFill="1" applyBorder="1"/>
    <x:xf numFmtId="0" fontId="17" fillId="32" borderId="0" xfId="0" applyNumberFormat="1" applyFont="1" applyFill="1" applyBorder="1" applyAlignment="1">
      <x:alignment wrapText="1"/>
    </x:xf>
    <x:xf numFmtId="0" fontId="17" fillId="32" borderId="0" xfId="0" applyNumberFormat="1" applyFont="1" applyFill="1" applyBorder="1" applyAlignment="1">
      <x:alignment vertical="center" wrapText="1"/>
    </x:xf>
    <x:xf numFmtId="0" fontId="16" fillId="10" borderId="0" xfId="0" applyNumberFormat="1" applyFont="1" applyFill="1" applyBorder="1"/>
    <x:xf numFmtId="0" fontId="16" fillId="10" borderId="0" xfId="0" applyNumberFormat="1" applyFont="1" applyFill="1" applyBorder="1" applyAlignment="1">
      <x:alignment vertical="center"/>
    </x:xf>
    <x:xf numFmtId="0" fontId="18" fillId="11" borderId="0" xfId="0" applyNumberFormat="1" applyFont="1" applyFill="1" applyBorder="1"/>
    <x:xf numFmtId="0" fontId="18" fillId="11" borderId="0" xfId="0" applyNumberFormat="1" applyFont="1" applyFill="1" applyBorder="1" applyAlignment="1">
      <x:alignment wrapText="1"/>
    </x:xf>
    <x:xf numFmtId="0" fontId="18" fillId="11" borderId="0" xfId="0" applyNumberFormat="1" applyFont="1" applyFill="1" applyBorder="1" applyAlignment="1">
      <x:alignment horizontal="center" wrapText="1"/>
    </x:xf>
    <x:xf numFmtId="0" fontId="18" fillId="11" borderId="0" xfId="0" applyNumberFormat="1" applyFont="1" applyFill="1" applyBorder="1" applyAlignment="1">
      <x:alignment horizontal="center" vertical="center" wrapText="1"/>
    </x:xf>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top" wrapText="1"/>
    </x:xf>
    <x:xf numFmtId="0" fontId="0" fillId="9" borderId="0" xfId="0" applyNumberFormat="1" applyFont="1" applyFill="1" applyBorder="1" applyAlignment="1">
      <x:alignment vertical="center" wrapText="1"/>
    </x:xf>
    <x:xf numFmtId="0" fontId="0" fillId="27" borderId="0" xfId="0" applyNumberFormat="1" applyFont="1" applyFill="1" applyBorder="1" applyAlignment="1">
      <x:alignment wrapText="1"/>
    </x:xf>
    <x:xf numFmtId="0" fontId="0" fillId="27" borderId="0" xfId="0" applyNumberFormat="1" applyFont="1" applyFill="1" applyBorder="1" applyAlignment="1">
      <x:alignment vertical="top" wrapText="1"/>
    </x:xf>
    <x:xf numFmtId="0" fontId="1" fillId="19" borderId="0" xfId="0" applyNumberFormat="1" applyFont="1" applyFill="1" applyBorder="1"/>
    <x:xf numFmtId="0" fontId="0" fillId="38" borderId="0" xfId="0" applyNumberFormat="1" applyFont="1" applyFill="1" applyBorder="1"/>
    <x:xf numFmtId="0" fontId="2" fillId="38" borderId="0" xfId="0" applyNumberFormat="1" applyFont="1" applyFill="1" applyBorder="1"/>
    <x:xf numFmtId="0" fontId="2" fillId="38" borderId="0" xfId="0" applyNumberFormat="1" applyFont="1" applyFill="1" applyBorder="1" applyAlignment="1">
      <x:alignment vertical="center"/>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0" fillId="40" borderId="0" xfId="0" applyNumberFormat="1" applyFont="1" applyFill="1" applyBorder="1"/>
    <x:xf numFmtId="0" fontId="18" fillId="40" borderId="0" xfId="0" applyNumberFormat="1" applyFont="1" applyFill="1" applyBorder="1"/>
    <x:xf numFmtId="0" fontId="18" fillId="40" borderId="0" xfId="0" applyNumberFormat="1" applyFont="1" applyFill="1" applyBorder="1" applyAlignment="1">
      <x:alignment wrapText="1"/>
    </x:xf>
    <x:xf numFmtId="0" fontId="18" fillId="40" borderId="0" xfId="0" applyNumberFormat="1" applyFont="1" applyFill="1" applyBorder="1" applyAlignment="1">
      <x:alignment vertical="center" wrapText="1"/>
    </x:xf>
    <x:xf numFmtId="0" fontId="2" fillId="38" borderId="0" xfId="0" applyNumberFormat="1" applyFont="1" applyFill="1" applyBorder="1" applyAlignment="1">
      <x:alignment vertical="center" wrapText="1"/>
    </x:xf>
    <x:xf numFmtId="0" fontId="21" fillId="39" borderId="0" xfId="0" applyNumberFormat="1" applyFont="1" applyFill="1" applyBorder="1"/>
    <x:xf numFmtId="0" fontId="21" fillId="39" borderId="0" xfId="0" applyNumberFormat="1" applyFont="1" applyFill="1" applyBorder="1" applyAlignment="1">
      <x:alignment wrapText="1"/>
    </x:xf>
    <x:xf numFmtId="0" fontId="22" fillId="0" borderId="0" xfId="0" applyNumberFormat="1" applyFont="1" applyFill="1" applyBorder="1" applyAlignment="1">
      <x:alignment vertical="top" wrapText="1"/>
    </x:xf>
    <x:xf numFmtId="0" fontId="5" fillId="41" borderId="0" xfId="0" applyNumberFormat="1" applyFont="1" applyFill="1" applyBorder="1" applyAlignment="1">
      <x:alignment vertical="top" wrapText="1"/>
    </x:xf>
    <x:xf numFmtId="0" fontId="0" fillId="43" borderId="0" xfId="0" applyNumberFormat="1" applyFont="1" applyFill="1" applyBorder="1"/>
    <x:xf numFmtId="0" fontId="2" fillId="43" borderId="0" xfId="0" applyNumberFormat="1" applyFont="1" applyFill="1" applyBorder="1"/>
    <x:xf numFmtId="0" fontId="2" fillId="43" borderId="0" xfId="0" applyNumberFormat="1" applyFont="1" applyFill="1" applyBorder="1" applyAlignment="1">
      <x:alignment horizontal="left"/>
    </x:xf>
    <x:xf numFmtId="0" fontId="2" fillId="43" borderId="0" xfId="0" applyNumberFormat="1" applyFont="1" applyFill="1" applyBorder="1" applyAlignment="1">
      <x:alignment horizontal="left" vertical="center"/>
    </x:xf>
    <x:xf numFmtId="0" fontId="0" fillId="44" borderId="0" xfId="0" applyNumberFormat="1" applyFont="1" applyFill="1" applyBorder="1"/>
    <x:xf numFmtId="0" fontId="24" fillId="44" borderId="0" xfId="0" applyNumberFormat="1" applyFont="1" applyFill="1" applyBorder="1"/>
    <x:xf numFmtId="0" fontId="24" fillId="44" borderId="0" xfId="0" applyNumberFormat="1" applyFont="1" applyFill="1" applyBorder="1" applyAlignment="1">
      <x:alignment wrapText="1"/>
    </x:xf>
    <x:xf numFmtId="0" fontId="24" fillId="44" borderId="0" xfId="0" applyNumberFormat="1" applyFont="1" applyFill="1" applyBorder="1" applyAlignment="1">
      <x:alignment vertical="center" wrapText="1"/>
    </x:xf>
    <x:xf numFmtId="0" fontId="0" fillId="45" borderId="0" xfId="0" applyNumberFormat="1" applyFont="1" applyFill="1" applyBorder="1"/>
    <x:xf numFmtId="0" fontId="1" fillId="45" borderId="0" xfId="0" applyNumberFormat="1" applyFont="1" applyFill="1" applyBorder="1"/>
    <x:xf numFmtId="0" fontId="1" fillId="45" borderId="0" xfId="0" applyNumberFormat="1" applyFont="1" applyFill="1" applyBorder="1" applyAlignment="1">
      <x:alignment wrapText="1"/>
    </x:xf>
    <x:xf numFmtId="0" fontId="1" fillId="45" borderId="0" xfId="0" applyNumberFormat="1" applyFont="1" applyFill="1" applyBorder="1" applyAlignment="1">
      <x:alignment horizontal="center" wrapText="1"/>
    </x:xf>
    <x:xf numFmtId="0" fontId="1" fillId="45" borderId="0" xfId="0" applyNumberFormat="1" applyFont="1" applyFill="1" applyBorder="1" applyAlignment="1">
      <x:alignment horizontal="center" vertical="center" wrapText="1"/>
    </x:xf>
    <x:xf numFmtId="0" fontId="0" fillId="46" borderId="0" xfId="0" applyNumberFormat="1" applyFont="1" applyFill="1" applyBorder="1"/>
    <x:xf numFmtId="0" fontId="25" fillId="46" borderId="0" xfId="0" applyNumberFormat="1" applyFont="1" applyFill="1" applyBorder="1"/>
    <x:xf numFmtId="0" fontId="25" fillId="46" borderId="0" xfId="0" applyNumberFormat="1" applyFont="1" applyFill="1" applyBorder="1" applyAlignment="1">
      <x:alignment wrapText="1"/>
    </x:xf>
    <x:xf numFmtId="0" fontId="25" fillId="46" borderId="0" xfId="0" applyNumberFormat="1" applyFont="1" applyFill="1" applyBorder="1" applyAlignment="1">
      <x:alignment horizontal="left" wrapText="1"/>
    </x:xf>
    <x:xf numFmtId="0" fontId="25" fillId="46" borderId="0" xfId="0" applyNumberFormat="1" applyFont="1" applyFill="1" applyBorder="1" applyAlignment="1">
      <x:alignment horizontal="left" vertical="center" wrapText="1"/>
    </x:xf>
    <x:xf numFmtId="0" fontId="26" fillId="44" borderId="0" xfId="0" applyNumberFormat="1" applyFont="1" applyFill="1" applyBorder="1"/>
    <x:xf numFmtId="0" fontId="26" fillId="44" borderId="0" xfId="0" applyNumberFormat="1" applyFont="1" applyFill="1" applyBorder="1" applyAlignment="1">
      <x:alignment wrapText="1"/>
    </x:xf>
    <x:xf numFmtId="0" fontId="26" fillId="44" borderId="0" xfId="0" applyNumberFormat="1" applyFont="1" applyFill="1" applyBorder="1" applyAlignment="1">
      <x:alignment vertical="center" wrapText="1"/>
    </x:xf>
    <x:xf numFmtId="0" fontId="0" fillId="47" borderId="0" xfId="0" applyNumberFormat="1" applyFont="1" applyFill="1" applyBorder="1"/>
    <x:xf numFmtId="0" fontId="2" fillId="47" borderId="0" xfId="0" applyNumberFormat="1" applyFont="1" applyFill="1" applyBorder="1"/>
    <x:xf numFmtId="0" fontId="2" fillId="47" borderId="0" xfId="0" applyNumberFormat="1" applyFont="1" applyFill="1" applyBorder="1" applyAlignment="1">
      <x:alignment wrapText="1"/>
    </x:xf>
    <x:xf numFmtId="0" fontId="2" fillId="47" borderId="0" xfId="0" applyNumberFormat="1" applyFont="1" applyFill="1" applyBorder="1" applyAlignment="1">
      <x:alignment vertical="center" wrapText="1"/>
    </x:xf>
    <x:xf numFmtId="0" fontId="0" fillId="48" borderId="0" xfId="0" applyNumberFormat="1" applyFont="1" applyFill="1" applyBorder="1"/>
    <x:xf numFmtId="0" fontId="27" fillId="48" borderId="0" xfId="0" applyNumberFormat="1" applyFont="1" applyFill="1" applyBorder="1"/>
    <x:xf numFmtId="0" fontId="27" fillId="48" borderId="0" xfId="0" applyNumberFormat="1" applyFont="1" applyFill="1" applyBorder="1" applyAlignment="1">
      <x:alignment wrapText="1"/>
    </x:xf>
    <x:xf numFmtId="0" fontId="27" fillId="48" borderId="0" xfId="0" applyNumberFormat="1" applyFont="1" applyFill="1" applyBorder="1" applyAlignment="1">
      <x:alignment vertical="center" wrapText="1"/>
    </x:xf>
    <x:xf numFmtId="0" fontId="0" fillId="49" borderId="0" xfId="0" applyNumberFormat="1" applyFont="1" applyFill="1" applyBorder="1"/>
    <x:xf numFmtId="0" fontId="18" fillId="49" borderId="0" xfId="0" applyNumberFormat="1" applyFont="1" applyFill="1" applyBorder="1"/>
    <x:xf numFmtId="0" fontId="18" fillId="49" borderId="0" xfId="0" applyNumberFormat="1" applyFont="1" applyFill="1" applyBorder="1" applyAlignment="1">
      <x:alignment wrapText="1"/>
    </x:xf>
    <x:xf numFmtId="0" fontId="18" fillId="49" borderId="0" xfId="0" applyNumberFormat="1" applyFont="1" applyFill="1" applyBorder="1" applyAlignment="1">
      <x:alignment horizontal="center" wrapText="1"/>
    </x:xf>
    <x:xf numFmtId="0" fontId="18" fillId="49" borderId="0" xfId="0" applyNumberFormat="1" applyFont="1" applyFill="1" applyBorder="1" applyAlignment="1">
      <x:alignment horizontal="center" vertical="center" wrapText="1"/>
    </x:xf>
    <x:xf numFmtId="0" fontId="1" fillId="47" borderId="0" xfId="0" applyNumberFormat="1" applyFont="1" applyFill="1" applyBorder="1"/>
    <x:xf numFmtId="0" fontId="1" fillId="47" borderId="0" xfId="0" applyNumberFormat="1" applyFont="1" applyFill="1" applyBorder="1" applyAlignment="1">
      <x:alignment vertical="center"/>
    </x:xf>
    <x:xf numFmtId="0" fontId="28" fillId="49" borderId="0" xfId="0" applyNumberFormat="1" applyFont="1" applyFill="1" applyBorder="1"/>
    <x:xf numFmtId="0" fontId="28" fillId="49" borderId="0" xfId="0" applyNumberFormat="1" applyFont="1" applyFill="1" applyBorder="1" applyAlignment="1">
      <x:alignment wrapText="1"/>
    </x:xf>
    <x:xf numFmtId="0" fontId="28" fillId="49" borderId="0" xfId="0" applyNumberFormat="1" applyFont="1" applyFill="1" applyBorder="1" applyAlignment="1">
      <x:alignment horizontal="center" wrapText="1"/>
    </x:xf>
    <x:xf numFmtId="0" fontId="28" fillId="49"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164"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164" fontId="0" fillId="0" borderId="0" xfId="0" applyNumberFormat="1" applyFont="1" applyFill="1" applyBorder="1" applyAlignment="1">
      <x:alignment vertical="center"/>
    </x:xf>
    <x:xf numFmtId="0" fontId="2" fillId="24" borderId="0" xfId="0" applyNumberFormat="1" applyFont="1" applyFill="1" applyBorder="1"/>
    <x:xf numFmtId="0" fontId="2" fillId="24" borderId="0" xfId="0" applyNumberFormat="1" applyFont="1" applyFill="1" applyBorder="1" applyAlignment="1">
      <x:alignment wrapText="1"/>
    </x:xf>
    <x:xf numFmtId="0" fontId="2" fillId="24" borderId="0" xfId="0" applyNumberFormat="1" applyFont="1" applyFill="1" applyBorder="1" applyAlignment="1">
      <x:alignment vertical="center" wrapText="1"/>
    </x:xf>
    <x:xf numFmtId="0" fontId="1" fillId="24" borderId="0" xfId="0" applyNumberFormat="1" applyFont="1" applyFill="1" applyBorder="1" applyAlignment="1">
      <x:alignment vertical="center"/>
    </x:xf>
    <x:xf numFmtId="0" fontId="0" fillId="50" borderId="0" xfId="0" applyNumberFormat="1" applyFont="1" applyFill="1" applyBorder="1"/>
    <x:xf numFmtId="0" fontId="29" fillId="50" borderId="0" xfId="0" applyNumberFormat="1" applyFont="1" applyFill="1" applyBorder="1"/>
    <x:xf numFmtId="0" fontId="29" fillId="50" borderId="0" xfId="0" applyNumberFormat="1" applyFont="1" applyFill="1" applyBorder="1" applyAlignment="1">
      <x:alignment horizontal="left"/>
    </x:xf>
    <x:xf numFmtId="0" fontId="29" fillId="50" borderId="0" xfId="0" applyNumberFormat="1" applyFont="1" applyFill="1" applyBorder="1" applyAlignment="1">
      <x:alignment horizontal="left" vertical="center"/>
    </x:xf>
    <x:xf numFmtId="0" fontId="0" fillId="51" borderId="0" xfId="0" applyNumberFormat="1" applyFont="1" applyFill="1" applyBorder="1"/>
    <x:xf numFmtId="0" fontId="27" fillId="51" borderId="0" xfId="0" applyNumberFormat="1" applyFont="1" applyFill="1" applyBorder="1"/>
    <x:xf numFmtId="0" fontId="27" fillId="51" borderId="0" xfId="0" applyNumberFormat="1" applyFont="1" applyFill="1" applyBorder="1" applyAlignment="1">
      <x:alignment wrapText="1"/>
    </x:xf>
    <x:xf numFmtId="0" fontId="27" fillId="51" borderId="0" xfId="0" applyNumberFormat="1" applyFont="1" applyFill="1" applyBorder="1" applyAlignment="1">
      <x:alignment vertical="center" wrapText="1"/>
    </x:xf>
    <x:xf numFmtId="0" fontId="0" fillId="52" borderId="0" xfId="0" applyNumberFormat="1" applyFont="1" applyFill="1" applyBorder="1"/>
    <x:xf numFmtId="0" fontId="30" fillId="52" borderId="0" xfId="0" applyNumberFormat="1" applyFont="1" applyFill="1" applyBorder="1"/>
    <x:xf numFmtId="0" fontId="30" fillId="52" borderId="0" xfId="0" applyNumberFormat="1" applyFont="1" applyFill="1" applyBorder="1" applyAlignment="1">
      <x:alignment vertical="center"/>
    </x:xf>
    <x:xf numFmtId="0" fontId="0" fillId="53" borderId="0" xfId="0" applyNumberFormat="1" applyFont="1" applyFill="1" applyBorder="1"/>
    <x:xf numFmtId="0" fontId="18" fillId="53" borderId="0" xfId="0" applyNumberFormat="1" applyFont="1" applyFill="1" applyBorder="1"/>
    <x:xf numFmtId="0" fontId="18" fillId="53" borderId="0" xfId="0" applyNumberFormat="1" applyFont="1" applyFill="1" applyBorder="1" applyAlignment="1">
      <x:alignment wrapText="1"/>
    </x:xf>
    <x:xf numFmtId="0" fontId="18" fillId="53" borderId="0" xfId="0" applyNumberFormat="1" applyFont="1" applyFill="1" applyBorder="1" applyAlignment="1">
      <x:alignment horizontal="center" wrapText="1"/>
    </x:xf>
    <x:xf numFmtId="0" fontId="18" fillId="53" borderId="0" xfId="0" applyNumberFormat="1" applyFont="1" applyFill="1" applyBorder="1" applyAlignment="1">
      <x:alignment horizontal="center" vertical="center" wrapText="1"/>
    </x:xf>
    <x:xf numFmtId="0" fontId="14"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4167f445e126459c" /><Relationship Type="http://schemas.openxmlformats.org/officeDocument/2006/relationships/theme" Target="/xl/theme/theme1.xml" Id="R2f0e1d2382d84911" /><Relationship Type="http://schemas.openxmlformats.org/officeDocument/2006/relationships/sharedStrings" Target="/xl/sharedStrings.xml" Id="R242a40d530964756" /><Relationship Type="http://schemas.openxmlformats.org/officeDocument/2006/relationships/worksheet" Target="/xl/worksheets/sheet1.xml" Id="R279035bac70e4602" /><Relationship Type="http://schemas.openxmlformats.org/officeDocument/2006/relationships/worksheet" Target="/xl/worksheets/sheet2.xml" Id="R46d4ab64eb5440d5" /><Relationship Type="http://schemas.openxmlformats.org/officeDocument/2006/relationships/worksheet" Target="/xl/worksheets/sheet3.xml" Id="Rb60e90f6796148e7" /><Relationship Type="http://schemas.openxmlformats.org/officeDocument/2006/relationships/worksheet" Target="/xl/worksheets/sheet4.xml" Id="R47c608f772c14ab0" /><Relationship Type="http://schemas.openxmlformats.org/officeDocument/2006/relationships/worksheet" Target="/xl/worksheets/sheet5.xml" Id="R82be282a97304809" /><Relationship Type="http://schemas.openxmlformats.org/officeDocument/2006/relationships/worksheet" Target="/xl/worksheets/sheet6.xml" Id="Ra5d5f71b26af47a3" /><Relationship Type="http://schemas.openxmlformats.org/officeDocument/2006/relationships/worksheet" Target="/xl/worksheets/sheet7.xml" Id="R5fd74d0c561d4dbf" /><Relationship Type="http://schemas.openxmlformats.org/officeDocument/2006/relationships/worksheet" Target="/xl/worksheets/sheet8.xml" Id="Re9aedfc7aac946f5" /><Relationship Type="http://schemas.openxmlformats.org/officeDocument/2006/relationships/worksheet" Target="/xl/worksheets/sheet9.xml" Id="R6ef8927c71634d24" /><Relationship Type="http://schemas.openxmlformats.org/officeDocument/2006/relationships/worksheet" Target="/xl/worksheets/sheet10.xml" Id="R073f99514a7d4d04" /><Relationship Type="http://schemas.openxmlformats.org/officeDocument/2006/relationships/worksheet" Target="/xl/worksheets/sheet11.xml" Id="R35fb501272784540" /><Relationship Type="http://schemas.openxmlformats.org/officeDocument/2006/relationships/worksheet" Target="/xl/worksheets/sheet12.xml" Id="R0be4481170b2434c" /><Relationship Type="http://schemas.openxmlformats.org/officeDocument/2006/relationships/worksheet" Target="/xl/worksheets/sheet13.xml" Id="Rf96a137d2fad4187" /><Relationship Type="http://schemas.openxmlformats.org/officeDocument/2006/relationships/worksheet" Target="/xl/worksheets/sheet14.xml" Id="Rbf77dc6acc8944da" /><Relationship Type="http://schemas.openxmlformats.org/officeDocument/2006/relationships/worksheet" Target="/xl/worksheets/sheet15.xml" Id="R12fe0fa5be2a46e0" /><Relationship Type="http://schemas.openxmlformats.org/officeDocument/2006/relationships/worksheet" Target="/xl/worksheets/sheet16.xml" Id="R626305d8f8b44b02" /><Relationship Type="http://schemas.openxmlformats.org/officeDocument/2006/relationships/worksheet" Target="/xl/worksheets/sheet17.xml" Id="Rd3655bade75049d8" /><Relationship Type="http://schemas.openxmlformats.org/officeDocument/2006/relationships/worksheet" Target="/xl/worksheets/sheet18.xml" Id="R5f7c726f743a40cd" /><Relationship Type="http://schemas.openxmlformats.org/officeDocument/2006/relationships/worksheet" Target="/xl/worksheets/sheet19.xml" Id="Rda8eb98aae004ec7" /><Relationship Type="http://schemas.openxmlformats.org/officeDocument/2006/relationships/worksheet" Target="/xl/worksheets/sheet20.xml" Id="R946f8a3b7d1641e9" /><Relationship Type="http://schemas.openxmlformats.org/officeDocument/2006/relationships/worksheet" Target="/xl/worksheets/sheet21.xml" Id="Re7272ea7b31d43e1" /><Relationship Type="http://schemas.openxmlformats.org/officeDocument/2006/relationships/worksheet" Target="/xl/worksheets/sheet22.xml" Id="R00195c7facbd422d" /><Relationship Type="http://schemas.openxmlformats.org/officeDocument/2006/relationships/worksheet" Target="/xl/worksheets/sheet23.xml" Id="R93b46fef659b484d" /><Relationship Type="http://schemas.openxmlformats.org/officeDocument/2006/relationships/worksheet" Target="/xl/worksheets/sheet24.xml" Id="R5ba1ba1f48504a30" /><Relationship Type="http://schemas.openxmlformats.org/officeDocument/2006/relationships/worksheet" Target="/xl/worksheets/sheet25.xml" Id="Rc0dbe88b21c94fd6" /><Relationship Type="http://schemas.openxmlformats.org/officeDocument/2006/relationships/worksheet" Target="/xl/worksheets/sheet26.xml" Id="R840114ccde484a90" /><Relationship Type="http://schemas.openxmlformats.org/officeDocument/2006/relationships/worksheet" Target="/xl/worksheets/sheet27.xml" Id="Rbad1d277178d401c" /><Relationship Type="http://schemas.openxmlformats.org/officeDocument/2006/relationships/worksheet" Target="/xl/worksheets/sheet28.xml" Id="R3c18c4ad040040d0" /><Relationship Type="http://schemas.openxmlformats.org/officeDocument/2006/relationships/worksheet" Target="/xl/worksheets/sheet29.xml" Id="R9eeb47fe915c4f55" /><Relationship Type="http://schemas.openxmlformats.org/officeDocument/2006/relationships/worksheet" Target="/xl/worksheets/sheet30.xml" Id="R9157821d5a484632" /><Relationship Type="http://schemas.openxmlformats.org/officeDocument/2006/relationships/worksheet" Target="/xl/worksheets/sheet31.xml" Id="Ra6d087c251df46cb" /><Relationship Type="http://schemas.openxmlformats.org/officeDocument/2006/relationships/worksheet" Target="/xl/worksheets/sheet32.xml" Id="Rd439893f1a324c3d" /><Relationship Type="http://schemas.openxmlformats.org/officeDocument/2006/relationships/worksheet" Target="/xl/worksheets/sheet33.xml" Id="R99edd329e8a1481e" /><Relationship Type="http://schemas.openxmlformats.org/officeDocument/2006/relationships/worksheet" Target="/xl/worksheets/sheet34.xml" Id="R68865a193d3a4503" /><Relationship Type="http://schemas.openxmlformats.org/officeDocument/2006/relationships/worksheet" Target="/xl/worksheets/sheet35.xml" Id="Rf29c905691994881" /><Relationship Type="http://schemas.openxmlformats.org/officeDocument/2006/relationships/worksheet" Target="/xl/worksheets/sheet36.xml" Id="R1848104971744d70" /></Relationships>
</file>

<file path=xl/tables/table1.xml><?xml version="1.0" encoding="utf-8"?>
<x:table xmlns:x="http://schemas.openxmlformats.org/spreadsheetml/2006/main" id="1" name="LiberPrimusMaster" displayName="LiberPrimusMaster" ref="A1:AD65" headerRowCount="1" totalsRowCount="0" totalsRowShown="0">
  <x:tableColumns count="30">
    <x:tableColumn id="1" name="page"/>
    <x:tableColumn id="2" name="image_filename"/>
    <x:tableColumn id="3" name="feature_id"/>
    <x:tableColumn id="4" name="feature_origin"/>
    <x:tableColumn id="5" name="annotation_color"/>
    <x:tableColumn id="6" name="annotation_number"/>
    <x:tableColumn id="7" name="object_type"/>
    <x:tableColumn id="8" name="raw_description"/>
    <x:tableColumn id="9" name="dot_count"/>
    <x:tableColumn id="10" name="internal_dots"/>
    <x:tableColumn id="11" name="external_dots"/>
    <x:tableColumn id="12" name="infinity_count"/>
    <x:tableColumn id="13" name="line_count"/>
    <x:tableColumn id="14" name="vertex_count"/>
    <x:tableColumn id="15" name="endpoint_count"/>
    <x:tableColumn id="16" name="intersection_count"/>
    <x:tableColumn id="17" name="orientation"/>
    <x:tableColumn id="18" name="symmetry"/>
    <x:tableColumn id="19" name="rotation"/>
    <x:tableColumn id="20" name="reflection"/>
    <x:tableColumn id="21" name="geometric_shape"/>
    <x:tableColumn id="22" name="x_position_normalized"/>
    <x:tableColumn id="23" name="y_position_normalized"/>
    <x:tableColumn id="24" name="related_text_or_location"/>
    <x:tableColumn id="25" name="hypothesis"/>
    <x:tableColumn id="26" name="confidence"/>
    <x:tableColumn id="27" name="verification_status"/>
    <x:tableColumn id="28" name="source_scan_url"/>
    <x:tableColumn id="29" name="annotated_image_url"/>
    <x:tableColumn id="30"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bdd1ba3d90f4d27" /></Relationships>
</file>

<file path=xl/worksheets/sheet1.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12" style="232" customWidth="1"/>
    <x:col min="2" max="2" width="16" style="232" customWidth="1"/>
    <x:col min="3" max="3" width="18" style="232" customWidth="1"/>
    <x:col min="4" max="4" width="32" style="232" customWidth="1"/>
    <x:col min="5" max="5" width="28" style="232" customWidth="1"/>
    <x:col min="6" max="6" width="34" style="232" customWidth="1"/>
    <x:col min="7" max="7" width="30" style="232" customWidth="1"/>
    <x:col min="8" max="8" width="68" style="232" customWidth="1"/>
    <x:col min="9" max="9" width="14" style="232" customWidth="1"/>
    <x:col min="10" max="10" width="14" style="232" customWidth="1"/>
    <x:col min="11" max="11" width="14" style="232" customWidth="1"/>
    <x:col min="12" max="12" width="14" style="232" customWidth="1"/>
    <x:col min="13" max="13" width="14" style="232" customWidth="1"/>
    <x:col min="14" max="14" width="14" style="232" customWidth="1"/>
    <x:col min="15" max="15" width="14" style="232" customWidth="1"/>
    <x:col min="16" max="16" width="16" style="232" customWidth="1"/>
    <x:col min="17" max="17" width="28" style="232" customWidth="1"/>
    <x:col min="18" max="18" width="35" style="232" customWidth="1"/>
    <x:col min="19" max="19" width="16" style="232" customWidth="1"/>
    <x:col min="20" max="20" width="16" style="232" customWidth="1"/>
    <x:col min="21" max="21" width="36" style="232" customWidth="1"/>
    <x:col min="22" max="22" width="18" style="232" customWidth="1"/>
    <x:col min="23" max="23" width="18" style="232" customWidth="1"/>
    <x:col min="24" max="24" width="34" style="232" customWidth="1"/>
    <x:col min="25" max="25" width="58" style="232" customWidth="1"/>
    <x:col min="26" max="26" width="15" style="232" customWidth="1"/>
    <x:col min="27" max="27" width="36" style="232" customWidth="1"/>
    <x:col min="28" max="28" width="58" style="232" customWidth="1"/>
    <x:col min="29" max="29" width="58" style="232" customWidth="1"/>
    <x:col min="30" max="30" width="70" style="232" customWidth="1"/>
    <x:col min="31" max="31" width="14" style="232" customWidth="1"/>
    <x:col min="32" max="32" width="16" style="232" customWidth="1"/>
    <x:col min="33" max="33" width="16" style="232" customWidth="1"/>
    <x:col min="34" max="34" width="16" style="232" customWidth="1"/>
    <x:col min="35" max="35" width="15" style="232" customWidth="1"/>
    <x:col min="36" max="36" width="24" style="232" customWidth="1"/>
    <x:col min="37" max="37" width="14" style="232" customWidth="1"/>
    <x:col min="38" max="38" width="30" style="232" customWidth="1"/>
    <x:col min="39" max="39" width="18" style="232" customWidth="1"/>
    <x:col min="40" max="40" width="16" style="232" customWidth="1"/>
    <x:col min="41" max="41" width="18" style="232" customWidth="1"/>
    <x:col min="42" max="42" width="52" style="232" customWidth="1"/>
    <x:col min="43" max="43" width="26" style="232" customWidth="1"/>
    <x:col min="44" max="44" width="70" style="232" customWidth="1"/>
    <x:col min="45" max="45" width="62" style="232" customWidth="1"/>
    <x:col min="46" max="46" width="28" style="232" customWidth="1"/>
    <x:col min="47" max="47" width="48" style="232" customWidth="1"/>
  </x:cols>
  <x:sheetData>
    <x:row r="1" s="232" customFormat="1" ht="32" customHeight="1">
      <x:c r="A1" s="79" t="inlineStr">
        <x:is>
          <x:t xml:space="preserve">page</x:t>
        </x:is>
      </x:c>
      <x:c r="B1" s="79" t="inlineStr">
        <x:is>
          <x:t xml:space="preserve">image_filename</x:t>
        </x:is>
      </x:c>
      <x:c r="C1" s="79" t="inlineStr">
        <x:is>
          <x:t xml:space="preserve">feature_id</x:t>
        </x:is>
      </x:c>
      <x:c r="D1" s="79" t="inlineStr">
        <x:is>
          <x:t xml:space="preserve">feature_origin</x:t>
        </x:is>
      </x:c>
      <x:c r="E1" s="79" t="inlineStr">
        <x:is>
          <x:t xml:space="preserve">annotation_color</x:t>
        </x:is>
      </x:c>
      <x:c r="F1" s="79" t="inlineStr">
        <x:is>
          <x:t xml:space="preserve">annotation_number</x:t>
        </x:is>
      </x:c>
      <x:c r="G1" s="79" t="inlineStr">
        <x:is>
          <x:t xml:space="preserve">object_type</x:t>
        </x:is>
      </x:c>
      <x:c r="H1" s="79" t="inlineStr">
        <x:is>
          <x:t xml:space="preserve">raw_description</x:t>
        </x:is>
      </x:c>
      <x:c r="I1" s="79" t="inlineStr">
        <x:is>
          <x:t xml:space="preserve">dot_count</x:t>
        </x:is>
      </x:c>
      <x:c r="J1" s="79" t="inlineStr">
        <x:is>
          <x:t xml:space="preserve">internal_dots</x:t>
        </x:is>
      </x:c>
      <x:c r="K1" s="79" t="inlineStr">
        <x:is>
          <x:t xml:space="preserve">external_dots</x:t>
        </x:is>
      </x:c>
      <x:c r="L1" s="79" t="inlineStr">
        <x:is>
          <x:t xml:space="preserve">infinity_count</x:t>
        </x:is>
      </x:c>
      <x:c r="M1" s="79" t="inlineStr">
        <x:is>
          <x:t xml:space="preserve">line_count</x:t>
        </x:is>
      </x:c>
      <x:c r="N1" s="79" t="inlineStr">
        <x:is>
          <x:t xml:space="preserve">vertex_count</x:t>
        </x:is>
      </x:c>
      <x:c r="O1" s="79" t="inlineStr">
        <x:is>
          <x:t xml:space="preserve">endpoint_count</x:t>
        </x:is>
      </x:c>
      <x:c r="P1" s="79" t="inlineStr">
        <x:is>
          <x:t xml:space="preserve">intersection_count</x:t>
        </x:is>
      </x:c>
      <x:c r="Q1" s="79" t="inlineStr">
        <x:is>
          <x:t xml:space="preserve">orientation</x:t>
        </x:is>
      </x:c>
      <x:c r="R1" s="79" t="inlineStr">
        <x:is>
          <x:t xml:space="preserve">symmetry</x:t>
        </x:is>
      </x:c>
      <x:c r="S1" s="79" t="inlineStr">
        <x:is>
          <x:t xml:space="preserve">rotation</x:t>
        </x:is>
      </x:c>
      <x:c r="T1" s="79" t="inlineStr">
        <x:is>
          <x:t xml:space="preserve">reflection</x:t>
        </x:is>
      </x:c>
      <x:c r="U1" s="79" t="inlineStr">
        <x:is>
          <x:t xml:space="preserve">geometric_shape</x:t>
        </x:is>
      </x:c>
      <x:c r="V1" s="79" t="inlineStr">
        <x:is>
          <x:t xml:space="preserve">x_position_normalized</x:t>
        </x:is>
      </x:c>
      <x:c r="W1" s="79" t="inlineStr">
        <x:is>
          <x:t xml:space="preserve">y_position_normalized</x:t>
        </x:is>
      </x:c>
      <x:c r="X1" s="79" t="inlineStr">
        <x:is>
          <x:t xml:space="preserve">related_text_or_location</x:t>
        </x:is>
      </x:c>
      <x:c r="Y1" s="79" t="inlineStr">
        <x:is>
          <x:t xml:space="preserve">hypothesis</x:t>
        </x:is>
      </x:c>
      <x:c r="Z1" s="79" t="inlineStr">
        <x:is>
          <x:t xml:space="preserve">confidence</x:t>
        </x:is>
      </x:c>
      <x:c r="AA1" s="79" t="inlineStr">
        <x:is>
          <x:t xml:space="preserve">verification_status</x:t>
        </x:is>
      </x:c>
      <x:c r="AB1" s="79" t="inlineStr">
        <x:is>
          <x:t xml:space="preserve">source_scan_url</x:t>
        </x:is>
      </x:c>
      <x:c r="AC1" s="79" t="inlineStr">
        <x:is>
          <x:t xml:space="preserve">annotated_image_url</x:t>
        </x:is>
      </x:c>
      <x:c r="AD1" s="79" t="inlineStr">
        <x:is>
          <x:t xml:space="preserve">notes</x:t>
        </x:is>
      </x:c>
      <x:c r="AE1" s="80" t="inlineStr">
        <x:is>
          <x:t xml:space="preserve">petal_count</x:t>
        </x:is>
      </x:c>
      <x:c r="AF1" s="80" t="inlineStr">
        <x:is>
          <x:t xml:space="preserve">filled_petal_count</x:t>
        </x:is>
      </x:c>
      <x:c r="AG1" s="80" t="inlineStr">
        <x:is>
          <x:t xml:space="preserve">unfilled_petal_count</x:t>
        </x:is>
      </x:c>
      <x:c r="AH1" s="80" t="inlineStr">
        <x:is>
          <x:t xml:space="preserve">page_scope</x:t>
        </x:is>
      </x:c>
      <x:c r="AI1" s="80" t="inlineStr">
        <x:is>
          <x:t xml:space="preserve">source_csv_page_raw</x:t>
        </x:is>
      </x:c>
      <x:c r="AJ1" s="80" t="inlineStr">
        <x:is>
          <x:t xml:space="preserve">source_csv_record_id</x:t>
        </x:is>
      </x:c>
      <x:c r="AK1" s="80" t="inlineStr">
        <x:is>
          <x:t xml:space="preserve">source_csv_record_ordinal</x:t>
        </x:is>
      </x:c>
      <x:c r="AL1" s="80" t="inlineStr">
        <x:is>
          <x:t xml:space="preserve">source_csv_visual_object_raw</x:t>
        </x:is>
      </x:c>
      <x:c r="AM1" s="80" t="inlineStr">
        <x:is>
          <x:t xml:space="preserve">source_csv_cross_jewels_raw</x:t>
        </x:is>
      </x:c>
      <x:c r="AN1" s="80" t="inlineStr">
        <x:is>
          <x:t xml:space="preserve">source_csv_external_dots_raw</x:t>
        </x:is>
      </x:c>
      <x:c r="AO1" s="80" t="inlineStr">
        <x:is>
          <x:t xml:space="preserve">source_csv_infinity_symbols_raw</x:t>
        </x:is>
      </x:c>
      <x:c r="AP1" s="80" t="inlineStr">
        <x:is>
          <x:t xml:space="preserve">source_csv_orientation_raw</x:t>
        </x:is>
      </x:c>
      <x:c r="AQ1" s="80" t="inlineStr">
        <x:is>
          <x:t xml:space="preserve">source_csv_constellation_dots_raw</x:t>
        </x:is>
      </x:c>
      <x:c r="AR1" s="80" t="inlineStr">
        <x:is>
          <x:t xml:space="preserve">source_csv_notes_raw</x:t>
        </x:is>
      </x:c>
      <x:c r="AS1" s="80" t="inlineStr">
        <x:is>
          <x:t xml:space="preserve">source_csv_lines_new_raw</x:t>
        </x:is>
      </x:c>
      <x:c r="AT1" s="80" t="inlineStr">
        <x:is>
          <x:t xml:space="preserve">source_csv_record_status</x:t>
        </x:is>
      </x:c>
      <x:c r="AU1" s="80" t="inlineStr">
        <x:is>
          <x:t xml:space="preserve">annotated_image_status</x:t>
        </x:is>
      </x:c>
    </x:row>
    <x:row r="2" s="232" customFormat="1" ht="32" customHeight="1">
      <x:c r="A2" s="81" t="inlineStr">
        <x:is>
          <x:t xml:space="preserve">09–15</x:t>
        </x:is>
      </x:c>
      <x:c r="B2" s="234" t="n"/>
      <x:c r="C2" s="234" t="inlineStr">
        <x:is>
          <x:t xml:space="preserve">LP09-15-F01</x:t>
        </x:is>
      </x:c>
      <x:c r="D2" s="234" t="inlineStr">
        <x:is>
          <x:t xml:space="preserve">CSV source spreadsheet; feature-level representation</x:t>
        </x:is>
      </x:c>
      <x:c r="E2" s="234" t="n"/>
      <x:c r="F2" s="234" t="n"/>
      <x:c r="G2" s="234" t="inlineStr">
        <x:is>
          <x:t xml:space="preserve">cross-page tree/root branching reference</x:t>
        </x:is>
      </x:c>
      <x:c r="H2" s="234" t="inlineStr">
        <x:is>
          <x:t xml:space="preserve">Source CSV repeats this historical note on pages 25–30: object=root/tree structure; geometry=branching/root system; Fibonacci association=YES — documented hypothesis; known branch positions=2,3,5,6,8,10,11,13; status=historical/documented clue; associated with the 2016 puzzle/Fibonacci interpretation. No page-specific 09–15 counts or transcriptions are supplied by this CSV.</x:t>
        </x:is>
      </x:c>
      <x:c r="I2" s="83" t="n"/>
      <x:c r="J2" s="83" t="n"/>
      <x:c r="K2" s="83" t="n"/>
      <x:c r="L2" s="83" t="n"/>
      <x:c r="M2" s="83" t="n"/>
      <x:c r="N2" s="83" t="n"/>
      <x:c r="O2" s="83" t="n"/>
      <x:c r="P2" s="83" t="n"/>
      <x:c r="Q2" s="234" t="n"/>
      <x:c r="R2" s="234" t="n"/>
      <x:c r="S2" s="234" t="n"/>
      <x:c r="T2" s="234" t="n"/>
      <x:c r="U2" s="234" t="n"/>
      <x:c r="V2" s="234" t="n"/>
      <x:c r="W2" s="234" t="n"/>
      <x:c r="X2" s="234" t="inlineStr">
        <x:is>
          <x:t xml:space="preserve">Cross-page note embedded in the CSV records for pages 25–30</x:t>
        </x:is>
      </x:c>
      <x:c r="Y2" s="234" t="inlineStr">
        <x:is>
          <x:t xml:space="preserve">Fibonacci relation is documented as a hypothesis in the source CSV; not independently validated here.</x:t>
        </x:is>
      </x:c>
      <x:c r="Z2" s="234" t="inlineStr">
        <x:is>
          <x:t xml:space="preserve">low</x:t>
        </x:is>
      </x:c>
      <x:c r="AA2" s="234" t="inlineStr">
        <x:is>
          <x:t xml:space="preserve">HISTORICAL_NOTE_ONLY_NOT_PAGE_TRANSCRIBED</x:t>
        </x:is>
      </x:c>
      <x:c r="AB2" s="234" t="inlineStr">
        <x:is>
          <x:t xml:space="preserve">https://github.com/mrroot01011001/Cicada-3301-/tree/main/liber-primus/pages</x:t>
        </x:is>
      </x:c>
      <x:c r="AC2" s="234" t="n"/>
      <x:c r="AD2" s="234" t="inlineStr">
        <x:is>
          <x:t xml:space="preserve">Range is referenced in the source notes, not present as seven individual page records. Do not infer per-page branch counts.</x:t>
        </x:is>
      </x:c>
      <x:c r="AE2" s="234" t="n"/>
      <x:c r="AF2" s="234" t="n"/>
      <x:c r="AG2" s="234" t="n"/>
      <x:c r="AH2" s="234" t="inlineStr">
        <x:is>
          <x:t xml:space="preserve">page_range_reference</x:t>
        </x:is>
      </x:c>
      <x:c r="AI2" s="234" t="n"/>
      <x:c r="AJ2" s="234" t="inlineStr">
        <x:is>
          <x:t xml:space="preserve">CSV-D009;CSV-D010;CSV-D011;CSV-D012;CSV-D013;CSV-D014</x:t>
        </x:is>
      </x:c>
      <x:c r="AK2" s="234" t="n"/>
      <x:c r="AL2" s="234" t="n"/>
      <x:c r="AM2" s="234" t="n"/>
      <x:c r="AN2" s="234" t="n"/>
      <x:c r="AO2" s="234" t="n"/>
      <x:c r="AP2" s="234" t="n"/>
      <x:c r="AQ2" s="234" t="n"/>
      <x:c r="AR2" s="234" t="n"/>
      <x:c r="AS2" s="234" t="n"/>
      <x:c r="AT2" s="234" t="inlineStr">
        <x:is>
          <x:t xml:space="preserve">CROSS_PAGE_REFERENCE_ONLY</x:t>
        </x:is>
      </x:c>
      <x:c r="AU2" s="234" t="inlineStr">
        <x:is>
          <x:t xml:space="preserve">NO_PAGE_RANGE_IMAGE_IN_ANNOTATED_REPOSITORY</x:t>
        </x:is>
      </x:c>
    </x:row>
    <x:row r="3" s="232" customFormat="1" ht="32" customHeight="1">
      <x:c r="A3" s="81" t="n">
        <x:v>17</x:v>
      </x:c>
      <x:c r="B3" s="234" t="inlineStr">
        <x:is>
          <x:t xml:space="preserve">17.jpg</x:t>
        </x:is>
      </x:c>
      <x:c r="C3" s="234" t="inlineStr">
        <x:is>
          <x:t xml:space="preserve">LP017-F01</x:t>
        </x:is>
      </x:c>
      <x:c r="D3" s="234" t="inlineStr">
        <x:is>
          <x:t xml:space="preserve">original artwork + user annotation</x:t>
        </x:is>
      </x:c>
      <x:c r="E3" s="234" t="inlineStr">
        <x:is>
          <x:t xml:space="preserve">red label above</x:t>
        </x:is>
      </x:c>
      <x:c r="F3" s="234" t="inlineStr">
        <x:is>
          <x:t xml:space="preserve">1</x:t>
        </x:is>
      </x:c>
      <x:c r="G3" s="234" t="inlineStr">
        <x:is>
          <x:t xml:space="preserve">infinity symbol</x:t>
        </x:is>
      </x:c>
      <x:c r="H3" s="234" t="inlineStr">
        <x:is>
          <x:t xml:space="preserve">Infinity-like mark centered above the first text line.</x:t>
        </x:is>
      </x:c>
      <x:c r="I3" s="83" t="n"/>
      <x:c r="J3" s="83" t="n"/>
      <x:c r="K3" s="83" t="n"/>
      <x:c r="L3" s="83" t="n">
        <x:v>1</x:v>
      </x:c>
      <x:c r="M3" s="83" t="n"/>
      <x:c r="N3" s="83" t="n"/>
      <x:c r="O3" s="83" t="n"/>
      <x:c r="P3" s="83" t="n"/>
      <x:c r="Q3" s="234" t="n"/>
      <x:c r="R3" s="234" t="n"/>
      <x:c r="S3" s="234" t="n"/>
      <x:c r="T3" s="234" t="n"/>
      <x:c r="U3" s="234" t="n"/>
      <x:c r="V3" s="234" t="n"/>
      <x:c r="W3" s="234" t="n"/>
      <x:c r="X3" s="234" t="inlineStr">
        <x:is>
          <x:t xml:space="preserve">top center</x:t>
        </x:is>
      </x:c>
      <x:c r="Y3" s="234" t="n"/>
      <x:c r="Z3" s="234" t="inlineStr">
        <x:is>
          <x:t xml:space="preserve">high</x:t>
        </x:is>
      </x:c>
      <x:c r="AA3" s="234" t="inlineStr">
        <x:is>
          <x:t xml:space="preserve">ANNOTATION_VISIBLE</x:t>
        </x:is>
      </x:c>
      <x:c r="AB3" s="234" t="inlineStr">
        <x:is>
          <x:t xml:space="preserve">https://github.com/mrroot01011001/Cicada-3301-/blob/main/liber-primus/pages/17.jpg</x:t>
        </x:is>
      </x:c>
      <x:c r="AC3" s="234" t="inlineStr">
        <x:is>
          <x:t xml:space="preserve">https://github.com/mrfentmen/annotated-pages/blob/main/17.jpg</x:t>
        </x:is>
      </x:c>
      <x:c r="AD3" s="234" t="inlineStr">
        <x:is>
          <x:t xml:space="preserve">The number 1 is a user-added label; coordinates not yet measured.</x:t>
        </x:is>
      </x:c>
      <x:c r="AE3" s="234" t="n"/>
      <x:c r="AF3" s="234" t="n"/>
      <x:c r="AG3" s="234" t="n"/>
      <x:c r="AH3" s="234" t="inlineStr">
        <x:is>
          <x:t xml:space="preserve">single_page</x:t>
        </x:is>
      </x:c>
      <x:c r="AI3" s="234" t="inlineStr">
        <x:is>
          <x:t xml:space="preserve">17.JPG</x:t>
        </x:is>
      </x:c>
      <x:c r="AJ3" s="234" t="inlineStr">
        <x:is>
          <x:t xml:space="preserve">CSV-D001</x:t>
        </x:is>
      </x:c>
      <x:c r="AK3" s="234" t="n">
        <x:v>1</x:v>
      </x:c>
      <x:c r="AL3" s="234" t="inlineStr">
        <x:is>
          <x:t xml:space="preserve">CROSS</x:t>
        </x:is>
      </x:c>
      <x:c r="AM3" s="234" t="inlineStr">
        <x:is>
          <x:t xml:space="preserve">6</x:t>
        </x:is>
      </x:c>
      <x:c r="AN3" s="234" t="inlineStr">
        <x:is>
          <x:t xml:space="preserve">6</x:t>
        </x:is>
      </x:c>
      <x:c r="AO3" s="234" t="inlineStr">
        <x:is>
          <x:t xml:space="preserve">2</x:t>
        </x:is>
      </x:c>
      <x:c r="AP3" s="234" t="inlineStr">
        <x:is>
          <x:t xml:space="preserve">180 DEGREE FLIP WITH TRANSLATAION , FIRST ONE ON THE TOP RIGHT OF THE PAGE SECOND ONE IS BOTTOME LEFT OF THE PAGE</x:t>
        </x:is>
      </x:c>
      <x:c r="AQ3" s="234" t="inlineStr">
        <x:is>
          <x:t xml:space="preserve">0</x:t>
        </x:is>
      </x:c>
      <x:c r="AR3" s="234" t="inlineStr">
        <x:is>
          <x:t xml:space="preserve">2 CROSSES EACH HAVE 3 DOTS ON THE OUTSIDE AND 3 ON THE INSIDE</x:t>
        </x:is>
      </x:c>
      <x:c r="AS3" s="234" t="n"/>
      <x:c r="AT3" s="234" t="inlineStr">
        <x:is>
          <x:t xml:space="preserve">POPULATED_SOURCE_RECORD</x:t>
        </x:is>
      </x:c>
      <x:c r="AU3" s="234" t="inlineStr">
        <x:is>
          <x:t xml:space="preserve">ANNOTATED_IMAGE_AVAILABLE</x:t>
        </x:is>
      </x:c>
    </x:row>
    <x:row r="4" s="232" customFormat="1" ht="32" customHeight="1">
      <x:c r="A4" s="81" t="n">
        <x:v>17</x:v>
      </x:c>
      <x:c r="B4" s="234" t="inlineStr">
        <x:is>
          <x:t xml:space="preserve">17.jpg</x:t>
        </x:is>
      </x:c>
      <x:c r="C4" s="234" t="inlineStr">
        <x:is>
          <x:t xml:space="preserve">LP017-F02</x:t>
        </x:is>
      </x:c>
      <x:c r="D4" s="234" t="inlineStr">
        <x:is>
          <x:t xml:space="preserve">original artwork + user annotation</x:t>
        </x:is>
      </x:c>
      <x:c r="E4" s="234" t="inlineStr">
        <x:is>
          <x:t xml:space="preserve">red label below</x:t>
        </x:is>
      </x:c>
      <x:c r="F4" s="234" t="inlineStr">
        <x:is>
          <x:t xml:space="preserve">2</x:t>
        </x:is>
      </x:c>
      <x:c r="G4" s="234" t="inlineStr">
        <x:is>
          <x:t xml:space="preserve">infinity symbol</x:t>
        </x:is>
      </x:c>
      <x:c r="H4" s="234" t="inlineStr">
        <x:is>
          <x:t xml:space="preserve">Infinity-like mark centered below the last text line.</x:t>
        </x:is>
      </x:c>
      <x:c r="I4" s="83" t="n"/>
      <x:c r="J4" s="83" t="n"/>
      <x:c r="K4" s="83" t="n"/>
      <x:c r="L4" s="83" t="n">
        <x:v>1</x:v>
      </x:c>
      <x:c r="M4" s="83" t="n"/>
      <x:c r="N4" s="83" t="n"/>
      <x:c r="O4" s="83" t="n"/>
      <x:c r="P4" s="83" t="n"/>
      <x:c r="Q4" s="234" t="n"/>
      <x:c r="R4" s="234" t="n"/>
      <x:c r="S4" s="234" t="n"/>
      <x:c r="T4" s="234" t="n"/>
      <x:c r="U4" s="234" t="n"/>
      <x:c r="V4" s="234" t="n"/>
      <x:c r="W4" s="234" t="n"/>
      <x:c r="X4" s="234" t="inlineStr">
        <x:is>
          <x:t xml:space="preserve">bottom center</x:t>
        </x:is>
      </x:c>
      <x:c r="Y4" s="234" t="n"/>
      <x:c r="Z4" s="234" t="inlineStr">
        <x:is>
          <x:t xml:space="preserve">high</x:t>
        </x:is>
      </x:c>
      <x:c r="AA4" s="234" t="inlineStr">
        <x:is>
          <x:t xml:space="preserve">ANNOTATION_VISIBLE</x:t>
        </x:is>
      </x:c>
      <x:c r="AB4" s="234" t="inlineStr">
        <x:is>
          <x:t xml:space="preserve">https://github.com/mrroot01011001/Cicada-3301-/blob/main/liber-primus/pages/17.jpg</x:t>
        </x:is>
      </x:c>
      <x:c r="AC4" s="234" t="inlineStr">
        <x:is>
          <x:t xml:space="preserve">https://github.com/mrfentmen/annotated-pages/blob/main/17.jpg</x:t>
        </x:is>
      </x:c>
      <x:c r="AD4" s="234" t="inlineStr">
        <x:is>
          <x:t xml:space="preserve">The number 2 is a user-added label; coordinates not yet measured.</x:t>
        </x:is>
      </x:c>
      <x:c r="AE4" s="234" t="n"/>
      <x:c r="AF4" s="234" t="n"/>
      <x:c r="AG4" s="234" t="n"/>
      <x:c r="AH4" s="234" t="inlineStr">
        <x:is>
          <x:t xml:space="preserve">single_page</x:t>
        </x:is>
      </x:c>
      <x:c r="AI4" s="234" t="inlineStr">
        <x:is>
          <x:t xml:space="preserve">17.JPG</x:t>
        </x:is>
      </x:c>
      <x:c r="AJ4" s="234" t="inlineStr">
        <x:is>
          <x:t xml:space="preserve">CSV-D001</x:t>
        </x:is>
      </x:c>
      <x:c r="AK4" s="234" t="n">
        <x:v>1</x:v>
      </x:c>
      <x:c r="AL4" s="234" t="inlineStr">
        <x:is>
          <x:t xml:space="preserve">CROSS</x:t>
        </x:is>
      </x:c>
      <x:c r="AM4" s="234" t="inlineStr">
        <x:is>
          <x:t xml:space="preserve">6</x:t>
        </x:is>
      </x:c>
      <x:c r="AN4" s="234" t="inlineStr">
        <x:is>
          <x:t xml:space="preserve">6</x:t>
        </x:is>
      </x:c>
      <x:c r="AO4" s="234" t="inlineStr">
        <x:is>
          <x:t xml:space="preserve">2</x:t>
        </x:is>
      </x:c>
      <x:c r="AP4" s="234" t="inlineStr">
        <x:is>
          <x:t xml:space="preserve">180 DEGREE FLIP WITH TRANSLATAION , FIRST ONE ON THE TOP RIGHT OF THE PAGE SECOND ONE IS BOTTOME LEFT OF THE PAGE</x:t>
        </x:is>
      </x:c>
      <x:c r="AQ4" s="234" t="inlineStr">
        <x:is>
          <x:t xml:space="preserve">0</x:t>
        </x:is>
      </x:c>
      <x:c r="AR4" s="234" t="inlineStr">
        <x:is>
          <x:t xml:space="preserve">2 CROSSES EACH HAVE 3 DOTS ON THE OUTSIDE AND 3 ON THE INSIDE</x:t>
        </x:is>
      </x:c>
      <x:c r="AS4" s="234" t="n"/>
      <x:c r="AT4" s="234" t="inlineStr">
        <x:is>
          <x:t xml:space="preserve">POPULATED_SOURCE_RECORD</x:t>
        </x:is>
      </x:c>
      <x:c r="AU4" s="234" t="inlineStr">
        <x:is>
          <x:t xml:space="preserve">ANNOTATED_IMAGE_AVAILABLE</x:t>
        </x:is>
      </x:c>
    </x:row>
    <x:row r="5" s="232" customFormat="1" ht="32" customHeight="1">
      <x:c r="A5" s="81" t="n">
        <x:v>17</x:v>
      </x:c>
      <x:c r="B5" s="234" t="inlineStr">
        <x:is>
          <x:t xml:space="preserve">17.jpg</x:t>
        </x:is>
      </x:c>
      <x:c r="C5" s="234" t="inlineStr">
        <x:is>
          <x:t xml:space="preserve">LP017-F03</x:t>
        </x:is>
      </x:c>
      <x:c r="D5" s="234" t="inlineStr">
        <x:is>
          <x:t xml:space="preserve">original artwork + user annotation</x:t>
        </x:is>
      </x:c>
      <x:c r="E5" s="234" t="inlineStr">
        <x:is>
          <x:t xml:space="preserve">cyan/blue and yellow-green labels</x:t>
        </x:is>
      </x:c>
      <x:c r="F5" s="234" t="inlineStr">
        <x:is>
          <x:t xml:space="preserve">small numbered labels present; exact placement sequence needs crop review</x:t>
        </x:is>
      </x:c>
      <x:c r="G5" s="234" t="inlineStr">
        <x:is>
          <x:t xml:space="preserve">cross-like ornament</x:t>
        </x:is>
      </x:c>
      <x:c r="H5" s="234" t="inlineStr">
        <x:is>
          <x:t xml:space="preserve">Dark, rough Orthodox-style cross on the left side, with small bright labels positioned at several bars/points.</x:t>
        </x:is>
      </x:c>
      <x:c r="I5" s="83" t="n">
        <x:v>6</x:v>
      </x:c>
      <x:c r="J5" s="83" t="n">
        <x:v>3</x:v>
      </x:c>
      <x:c r="K5" s="83" t="n">
        <x:v>3</x:v>
      </x:c>
      <x:c r="L5" s="83" t="n"/>
      <x:c r="M5" s="83" t="n"/>
      <x:c r="N5" s="83" t="n"/>
      <x:c r="O5" s="83" t="n"/>
      <x:c r="P5" s="83" t="n"/>
      <x:c r="Q5" s="234" t="n"/>
      <x:c r="R5" s="234" t="n"/>
      <x:c r="S5" s="234" t="n"/>
      <x:c r="T5" s="234" t="n"/>
      <x:c r="U5" s="234" t="n"/>
      <x:c r="V5" s="234" t="n"/>
      <x:c r="W5" s="234" t="n"/>
      <x:c r="X5" s="234" t="inlineStr">
        <x:is>
          <x:t xml:space="preserve">left margin</x:t>
        </x:is>
      </x:c>
      <x:c r="Y5" s="234" t="inlineStr">
        <x:is>
          <x:t xml:space="preserve">The numbered points may encode distinct parts of the cross; no extraction rule tested.</x:t>
        </x:is>
      </x:c>
      <x:c r="Z5" s="234" t="inlineStr">
        <x:is>
          <x:t xml:space="preserve">medium</x:t>
        </x:is>
      </x:c>
      <x:c r="AA5" s="234" t="inlineStr">
        <x:is>
          <x:t xml:space="preserve">ANNOTATION_VISIBLE</x:t>
        </x:is>
      </x:c>
      <x:c r="AB5" s="234" t="inlineStr">
        <x:is>
          <x:t xml:space="preserve">https://github.com/mrroot01011001/Cicada-3301-/blob/main/liber-primus/pages/17.jpg</x:t>
        </x:is>
      </x:c>
      <x:c r="AC5" s="234" t="inlineStr">
        <x:is>
          <x:t xml:space="preserve">https://github.com/mrfentmen/annotated-pages/blob/main/17.jpg</x:t>
        </x:is>
      </x:c>
      <x:c r="AD5" s="234" t="inlineStr">
        <x:is>
          <x:t xml:space="preserve">Do not interpret the labels as original printed content. Internal jewel-like marks versus labels are not fully distinguished yet. CSV source records 3 internal and 3 external marks per cross (6 marks per cross); copied from source spreadsheet, not coordinate-measured.</x:t>
        </x:is>
      </x:c>
      <x:c r="AE5" s="234"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is>
          <x:t xml:space="preserve">CROSS</x:t>
        </x:is>
      </x:c>
      <x:c r="AM5" s="234" t="inlineStr">
        <x:is>
          <x:t xml:space="preserve">6</x:t>
        </x:is>
      </x:c>
      <x:c r="AN5" s="234" t="inlineStr">
        <x:is>
          <x:t xml:space="preserve">6</x:t>
        </x:is>
      </x:c>
      <x:c r="AO5" s="234" t="inlineStr">
        <x:is>
          <x:t xml:space="preserve">2</x:t>
        </x:is>
      </x:c>
      <x:c r="AP5" s="234" t="inlineStr">
        <x:is>
          <x:t xml:space="preserve">180 DEGREE FLIP WITH TRANSLATAION , FIRST ONE ON THE TOP RIGHT OF THE PAGE SECOND ONE IS BOTTOME LEFT OF THE PAGE</x:t>
        </x:is>
      </x:c>
      <x:c r="AQ5" s="234" t="inlineStr">
        <x:is>
          <x:t xml:space="preserve">0</x:t>
        </x:is>
      </x:c>
      <x:c r="AR5" s="234" t="inlineStr">
        <x:is>
          <x:t xml:space="preserve">2 CROSSES EACH HAVE 3 DOTS ON THE OUTSIDE AND 3 ON THE INSIDE</x:t>
        </x:is>
      </x:c>
      <x:c r="AS5" s="234" t="n"/>
      <x:c r="AT5" s="234" t="inlineStr">
        <x:is>
          <x:t xml:space="preserve">POPULATED_SOURCE_RECORD</x:t>
        </x:is>
      </x:c>
      <x:c r="AU5" s="234" t="inlineStr">
        <x:is>
          <x:t xml:space="preserve">ANNOTATED_IMAGE_AVAILABLE</x:t>
        </x:is>
      </x:c>
    </x:row>
    <x:row r="6" s="232" customFormat="1" ht="32" customHeight="1">
      <x:c r="A6" s="81" t="n">
        <x:v>17</x:v>
      </x:c>
      <x:c r="B6" s="234" t="inlineStr">
        <x:is>
          <x:t xml:space="preserve">17.jpg</x:t>
        </x:is>
      </x:c>
      <x:c r="C6" s="234" t="inlineStr">
        <x:is>
          <x:t xml:space="preserve">LP017-F04</x:t>
        </x:is>
      </x:c>
      <x:c r="D6" s="234" t="inlineStr">
        <x:is>
          <x:t xml:space="preserve">original artwork + user annotation</x:t>
        </x:is>
      </x:c>
      <x:c r="E6" s="234" t="inlineStr">
        <x:is>
          <x:t xml:space="preserve">cyan/blue and yellow-green labels</x:t>
        </x:is>
      </x:c>
      <x:c r="F6" s="234" t="inlineStr">
        <x:is>
          <x:t xml:space="preserve">small numbered labels present; exact placement sequence needs crop review</x:t>
        </x:is>
      </x:c>
      <x:c r="G6" s="234" t="inlineStr">
        <x:is>
          <x:t xml:space="preserve">cross-like ornament</x:t>
        </x:is>
      </x:c>
      <x:c r="H6" s="234" t="inlineStr">
        <x:is>
          <x:t xml:space="preserve">Dark, rough Orthodox-style cross on the right side, with multiple small bright numbered labels around its bars.</x:t>
        </x:is>
      </x:c>
      <x:c r="I6" s="83" t="n">
        <x:v>6</x:v>
      </x:c>
      <x:c r="J6" s="83" t="n">
        <x:v>3</x:v>
      </x:c>
      <x:c r="K6" s="83" t="n">
        <x:v>3</x:v>
      </x:c>
      <x:c r="L6" s="83" t="n"/>
      <x:c r="M6" s="83" t="n"/>
      <x:c r="N6" s="83" t="n"/>
      <x:c r="O6" s="83" t="n"/>
      <x:c r="P6" s="83" t="n"/>
      <x:c r="Q6" s="234" t="n"/>
      <x:c r="R6" s="234" t="n"/>
      <x:c r="S6" s="234" t="n"/>
      <x:c r="T6" s="234" t="n"/>
      <x:c r="U6" s="234" t="n"/>
      <x:c r="V6" s="234" t="n"/>
      <x:c r="W6" s="234" t="n"/>
      <x:c r="X6" s="234" t="inlineStr">
        <x:is>
          <x:t xml:space="preserve">right margin</x:t>
        </x:is>
      </x:c>
      <x:c r="Y6" s="234" t="inlineStr">
        <x:is>
          <x:t xml:space="preserve">May be comparable to the left cross, but equivalence is not yet measured.</x:t>
        </x:is>
      </x:c>
      <x:c r="Z6" s="234" t="inlineStr">
        <x:is>
          <x:t xml:space="preserve">medium</x:t>
        </x:is>
      </x:c>
      <x:c r="AA6" s="234" t="inlineStr">
        <x:is>
          <x:t xml:space="preserve">ANNOTATION_VISIBLE</x:t>
        </x:is>
      </x:c>
      <x:c r="AB6" s="234" t="inlineStr">
        <x:is>
          <x:t xml:space="preserve">https://github.com/mrroot01011001/Cicada-3301-/blob/main/liber-primus/pages/17.jpg</x:t>
        </x:is>
      </x:c>
      <x:c r="AC6" s="234" t="inlineStr">
        <x:is>
          <x:t xml:space="preserve">https://github.com/mrfentmen/annotated-pages/blob/main/17.jpg</x:t>
        </x:is>
      </x:c>
      <x:c r="AD6" s="234" t="inlineStr">
        <x:is>
          <x:t xml:space="preserve">Exact count of marked points and internal decorative marks remains unresolved. CSV source records 3 internal and 3 external marks per cross (6 marks per cross); copied from source spreadsheet, not coordinate-measured.</x:t>
        </x:is>
      </x:c>
      <x:c r="AE6" s="234" t="n"/>
      <x:c r="AF6" s="234" t="n"/>
      <x:c r="AG6" s="234" t="n"/>
      <x:c r="AH6" s="234" t="inlineStr">
        <x:is>
          <x:t xml:space="preserve">single_page</x:t>
        </x:is>
      </x:c>
      <x:c r="AI6" s="234" t="inlineStr">
        <x:is>
          <x:t xml:space="preserve">17.JPG</x:t>
        </x:is>
      </x:c>
      <x:c r="AJ6" s="234" t="inlineStr">
        <x:is>
          <x:t xml:space="preserve">CSV-D001</x:t>
        </x:is>
      </x:c>
      <x:c r="AK6" s="234" t="n">
        <x:v>1</x:v>
      </x:c>
      <x:c r="AL6" s="234" t="inlineStr">
        <x:is>
          <x:t xml:space="preserve">CROSS</x:t>
        </x:is>
      </x:c>
      <x:c r="AM6" s="234" t="inlineStr">
        <x:is>
          <x:t xml:space="preserve">6</x:t>
        </x:is>
      </x:c>
      <x:c r="AN6" s="234" t="inlineStr">
        <x:is>
          <x:t xml:space="preserve">6</x:t>
        </x:is>
      </x:c>
      <x:c r="AO6" s="234" t="inlineStr">
        <x:is>
          <x:t xml:space="preserve">2</x:t>
        </x:is>
      </x:c>
      <x:c r="AP6" s="234" t="inlineStr">
        <x:is>
          <x:t xml:space="preserve">180 DEGREE FLIP WITH TRANSLATAION , FIRST ONE ON THE TOP RIGHT OF THE PAGE SECOND ONE IS BOTTOME LEFT OF THE PAGE</x:t>
        </x:is>
      </x:c>
      <x:c r="AQ6" s="234" t="inlineStr">
        <x:is>
          <x:t xml:space="preserve">0</x:t>
        </x:is>
      </x:c>
      <x:c r="AR6" s="234" t="inlineStr">
        <x:is>
          <x:t xml:space="preserve">2 CROSSES EACH HAVE 3 DOTS ON THE OUTSIDE AND 3 ON THE INSIDE</x:t>
        </x:is>
      </x:c>
      <x:c r="AS6" s="234" t="n"/>
      <x:c r="AT6" s="234" t="inlineStr">
        <x:is>
          <x:t xml:space="preserve">POPULATED_SOURCE_RECORD</x:t>
        </x:is>
      </x:c>
      <x:c r="AU6" s="234" t="inlineStr">
        <x:is>
          <x:t xml:space="preserve">ANNOTATED_IMAGE_AVAILABLE</x:t>
        </x:is>
      </x:c>
    </x:row>
    <x:row r="7" s="232" customFormat="1" ht="32" customHeight="1">
      <x:c r="A7" s="81" t="n">
        <x:v>17</x:v>
      </x:c>
      <x:c r="B7" s="234" t="inlineStr">
        <x:is>
          <x:t xml:space="preserve">17.jpg</x:t>
        </x:is>
      </x:c>
      <x:c r="C7" s="234" t="inlineStr">
        <x:is>
          <x:t xml:space="preserve">LP017-F05</x:t>
        </x:is>
      </x:c>
      <x:c r="D7" s="234" t="inlineStr">
        <x:is>
          <x:t xml:space="preserve">original artwork</x:t>
        </x:is>
      </x:c>
      <x:c r="E7" s="234" t="inlineStr">
        <x:is>
          <x:t xml:space="preserve">red</x:t>
        </x:is>
      </x:c>
      <x:c r="F7" s="234" t="n"/>
      <x:c r="G7" s="234" t="inlineStr">
        <x:is>
          <x:t xml:space="preserve">oversized red initial rune</x:t>
        </x:is>
      </x:c>
      <x:c r="H7" s="234" t="inlineStr">
        <x:is>
          <x:t xml:space="preserve">Large red angular rune at the beginning of the text block.</x:t>
        </x:is>
      </x:c>
      <x:c r="I7" s="83" t="n"/>
      <x:c r="J7" s="83" t="n"/>
      <x:c r="K7" s="83" t="n"/>
      <x:c r="L7" s="83" t="n"/>
      <x:c r="M7" s="83" t="n"/>
      <x:c r="N7" s="83" t="n"/>
      <x:c r="O7" s="83" t="n"/>
      <x:c r="P7" s="83" t="n"/>
      <x:c r="Q7" s="234" t="n"/>
      <x:c r="R7" s="234" t="n"/>
      <x:c r="S7" s="234" t="n"/>
      <x:c r="T7" s="234" t="n"/>
      <x:c r="U7" s="234" t="n"/>
      <x:c r="V7" s="234" t="n"/>
      <x:c r="W7" s="234" t="n"/>
      <x:c r="X7" s="234" t="inlineStr">
        <x:is>
          <x:t xml:space="preserve">left of first paragraph</x:t>
        </x:is>
      </x:c>
      <x:c r="Y7" s="234" t="n"/>
      <x:c r="Z7" s="234" t="inlineStr">
        <x:is>
          <x:t xml:space="preserve">high</x:t>
        </x:is>
      </x:c>
      <x:c r="AA7" s="234" t="inlineStr">
        <x:is>
          <x:t xml:space="preserve">OBSERVED</x:t>
        </x:is>
      </x:c>
      <x:c r="AB7" s="234" t="inlineStr">
        <x:is>
          <x:t xml:space="preserve">https://github.com/mrroot01011001/Cicada-3301-/blob/main/liber-primus/pages/17.jpg</x:t>
        </x:is>
      </x:c>
      <x:c r="AC7" s="234" t="inlineStr">
        <x:is>
          <x:t xml:space="preserve">https://github.com/mrfentmen/annotated-pages/blob/main/17.jpg</x:t>
        </x:is>
      </x:c>
      <x:c r="AD7" s="234" t="inlineStr">
        <x:is>
          <x:t xml:space="preserve">Confirmed on the public scan; treat as page artwork, not as a user-added annotation.</x:t>
        </x:is>
      </x:c>
      <x:c r="AE7" s="234" t="n"/>
      <x:c r="AF7" s="234" t="n"/>
      <x:c r="AG7" s="234" t="n"/>
      <x:c r="AH7" s="234" t="inlineStr">
        <x:is>
          <x:t xml:space="preserve">single_page</x:t>
        </x:is>
      </x:c>
      <x:c r="AI7" s="234" t="inlineStr">
        <x:is>
          <x:t xml:space="preserve">17.JPG</x:t>
        </x:is>
      </x:c>
      <x:c r="AJ7" s="234" t="inlineStr">
        <x:is>
          <x:t xml:space="preserve">CSV-D001</x:t>
        </x:is>
      </x:c>
      <x:c r="AK7" s="234" t="n">
        <x:v>1</x:v>
      </x:c>
      <x:c r="AL7" s="234" t="inlineStr">
        <x:is>
          <x:t xml:space="preserve">CROSS</x:t>
        </x:is>
      </x:c>
      <x:c r="AM7" s="234" t="inlineStr">
        <x:is>
          <x:t xml:space="preserve">6</x:t>
        </x:is>
      </x:c>
      <x:c r="AN7" s="234" t="inlineStr">
        <x:is>
          <x:t xml:space="preserve">6</x:t>
        </x:is>
      </x:c>
      <x:c r="AO7" s="234" t="inlineStr">
        <x:is>
          <x:t xml:space="preserve">2</x:t>
        </x:is>
      </x:c>
      <x:c r="AP7" s="234" t="inlineStr">
        <x:is>
          <x:t xml:space="preserve">180 DEGREE FLIP WITH TRANSLATAION , FIRST ONE ON THE TOP RIGHT OF THE PAGE SECOND ONE IS BOTTOME LEFT OF THE PAGE</x:t>
        </x:is>
      </x:c>
      <x:c r="AQ7" s="234" t="inlineStr">
        <x:is>
          <x:t xml:space="preserve">0</x:t>
        </x:is>
      </x:c>
      <x:c r="AR7" s="234" t="inlineStr">
        <x:is>
          <x:t xml:space="preserve">2 CROSSES EACH HAVE 3 DOTS ON THE OUTSIDE AND 3 ON THE INSIDE</x:t>
        </x:is>
      </x:c>
      <x:c r="AS7" s="234" t="n"/>
      <x:c r="AT7" s="234" t="inlineStr">
        <x:is>
          <x:t xml:space="preserve">POPULATED_SOURCE_RECORD</x:t>
        </x:is>
      </x:c>
      <x:c r="AU7" s="234" t="inlineStr">
        <x:is>
          <x:t xml:space="preserve">ANNOTATED_IMAGE_AVAILABLE</x:t>
        </x:is>
      </x:c>
    </x:row>
    <x:row r="8" s="232" customFormat="1" ht="32" customHeight="1">
      <x:c r="A8" s="81" t="n">
        <x:v>18</x:v>
      </x:c>
      <x:c r="B8" s="234" t="inlineStr">
        <x:is>
          <x:t xml:space="preserve">18.jpg</x:t>
        </x:is>
      </x:c>
      <x:c r="C8" s="234" t="inlineStr">
        <x:is>
          <x:t xml:space="preserve">LP018-F01</x:t>
        </x:is>
      </x:c>
      <x:c r="D8" s="234" t="inlineStr">
        <x:is>
          <x:t xml:space="preserve">original artwork</x:t>
        </x:is>
      </x:c>
      <x:c r="E8" s="234" t="n"/>
      <x:c r="F8" s="234" t="n"/>
      <x:c r="G8" s="234" t="inlineStr">
        <x:is>
          <x:t xml:space="preserve">infinity symbol</x:t>
        </x:is>
      </x:c>
      <x:c r="H8" s="234" t="inlineStr">
        <x:is>
          <x:t xml:space="preserve">Small infinity-like mark above the text block.</x:t>
        </x:is>
      </x:c>
      <x:c r="I8" s="83" t="n"/>
      <x:c r="J8" s="83" t="n"/>
      <x:c r="K8" s="83" t="n"/>
      <x:c r="L8" s="83" t="n">
        <x:v>1</x:v>
      </x:c>
      <x:c r="M8" s="83" t="n"/>
      <x:c r="N8" s="83" t="n"/>
      <x:c r="O8" s="83" t="n"/>
      <x:c r="P8" s="83" t="n"/>
      <x:c r="Q8" s="234" t="n"/>
      <x:c r="R8" s="234" t="n"/>
      <x:c r="S8" s="234" t="n"/>
      <x:c r="T8" s="234" t="n"/>
      <x:c r="U8" s="234" t="n"/>
      <x:c r="V8" s="234" t="n"/>
      <x:c r="W8" s="234" t="n"/>
      <x:c r="X8" s="234" t="inlineStr">
        <x:is>
          <x:t xml:space="preserve">top center</x:t>
        </x:is>
      </x:c>
      <x:c r="Y8" s="234" t="n"/>
      <x:c r="Z8" s="234" t="inlineStr">
        <x:is>
          <x:t xml:space="preserve">high</x:t>
        </x:is>
      </x:c>
      <x:c r="AA8" s="234" t="inlineStr">
        <x:is>
          <x:t xml:space="preserve">OBSERVED</x:t>
        </x:is>
      </x:c>
      <x:c r="AB8" s="234" t="inlineStr">
        <x:is>
          <x:t xml:space="preserve">https://github.com/mrroot01011001/Cicada-3301-/blob/main/liber-primus/pages/18.jpg</x:t>
        </x:is>
      </x:c>
      <x:c r="AC8" s="234" t="inlineStr">
        <x:is>
          <x:t xml:space="preserve">https://github.com/mrfentmen/annotated-pages/blob/main/18.jpg</x:t>
        </x:is>
      </x:c>
      <x:c r="AD8" s="234" t="inlineStr">
        <x:is>
          <x:t xml:space="preserve">A tiny label may be present in the annotation image but is not reliably readable at this scale.</x:t>
        </x:is>
      </x:c>
      <x:c r="AE8" s="234" t="n"/>
      <x:c r="AF8" s="234" t="n"/>
      <x:c r="AG8" s="234" t="n"/>
      <x:c r="AH8" s="234" t="inlineStr">
        <x:is>
          <x:t xml:space="preserve">single_page</x:t>
        </x:is>
      </x:c>
      <x:c r="AI8" s="234" t="inlineStr">
        <x:is>
          <x:t xml:space="preserve">18.JPG</x:t>
        </x:is>
      </x:c>
      <x:c r="AJ8" s="234" t="inlineStr">
        <x:is>
          <x:t xml:space="preserve">CSV-D002</x:t>
        </x:is>
      </x:c>
      <x:c r="AK8" s="234" t="n">
        <x:v>2</x:v>
      </x:c>
      <x:c r="AL8" s="234" t="inlineStr">
        <x:is>
          <x:t xml:space="preserve">CROSS</x:t>
        </x:is>
      </x:c>
      <x:c r="AM8" s="234" t="inlineStr">
        <x:is>
          <x:t xml:space="preserve">6</x:t>
        </x:is>
      </x:c>
      <x:c r="AN8" s="234" t="inlineStr">
        <x:is>
          <x:t xml:space="preserve">6</x:t>
        </x:is>
      </x:c>
      <x:c r="AO8" s="234" t="inlineStr">
        <x:is>
          <x:t xml:space="preserve">2</x:t>
        </x:is>
      </x:c>
      <x:c r="AP8" s="234" t="inlineStr">
        <x:is>
          <x:t xml:space="preserve">180 DEGREE FLIP WITH TRANSLATAION , FIRST ONE ON THE TOP RIGHT OF THE PAGE SECOND ONE IS BOTTOME LEFT OF THE PAGE</x:t>
        </x:is>
      </x:c>
      <x:c r="AQ8" s="234" t="inlineStr">
        <x:is>
          <x:t xml:space="preserve">0</x:t>
        </x:is>
      </x:c>
      <x:c r="AR8" s="234" t="inlineStr">
        <x:is>
          <x:t xml:space="preserve">2 CROSSES EACH HAVE 3 DOTS ON THE OUTSIDE AND 3 ON THE INSIDE</x:t>
        </x:is>
      </x:c>
      <x:c r="AS8" s="234" t="n"/>
      <x:c r="AT8" s="234" t="inlineStr">
        <x:is>
          <x:t xml:space="preserve">POPULATED_SOURCE_RECORD</x:t>
        </x:is>
      </x:c>
      <x:c r="AU8" s="234" t="inlineStr">
        <x:is>
          <x:t xml:space="preserve">ANNOTATED_IMAGE_AVAILABLE</x:t>
        </x:is>
      </x:c>
    </x:row>
    <x:row r="9" s="232" customFormat="1" ht="32" customHeight="1">
      <x:c r="A9" s="81" t="n">
        <x:v>18</x:v>
      </x:c>
      <x:c r="B9" s="234" t="inlineStr">
        <x:is>
          <x:t xml:space="preserve">18.jpg</x:t>
        </x:is>
      </x:c>
      <x:c r="C9" s="234" t="inlineStr">
        <x:is>
          <x:t xml:space="preserve">LP018-F02</x:t>
        </x:is>
      </x:c>
      <x:c r="D9" s="234" t="inlineStr">
        <x:is>
          <x:t xml:space="preserve">original artwork</x:t>
        </x:is>
      </x:c>
      <x:c r="E9" s="234" t="n"/>
      <x:c r="F9" s="234" t="n"/>
      <x:c r="G9" s="234" t="inlineStr">
        <x:is>
          <x:t xml:space="preserve">infinity symbol</x:t>
        </x:is>
      </x:c>
      <x:c r="H9" s="234" t="inlineStr">
        <x:is>
          <x:t xml:space="preserve">Small infinity-like mark below the text block.</x:t>
        </x:is>
      </x:c>
      <x:c r="I9" s="83" t="n"/>
      <x:c r="J9" s="83" t="n"/>
      <x:c r="K9" s="83" t="n"/>
      <x:c r="L9" s="83" t="n">
        <x:v>1</x:v>
      </x:c>
      <x:c r="M9" s="83" t="n"/>
      <x:c r="N9" s="83" t="n"/>
      <x:c r="O9" s="83" t="n"/>
      <x:c r="P9" s="83" t="n"/>
      <x:c r="Q9" s="234" t="n"/>
      <x:c r="R9" s="234" t="n"/>
      <x:c r="S9" s="234" t="n"/>
      <x:c r="T9" s="234" t="n"/>
      <x:c r="U9" s="234" t="n"/>
      <x:c r="V9" s="234" t="n"/>
      <x:c r="W9" s="234" t="n"/>
      <x:c r="X9" s="234" t="inlineStr">
        <x:is>
          <x:t xml:space="preserve">bottom center</x:t>
        </x:is>
      </x:c>
      <x:c r="Y9" s="234" t="n"/>
      <x:c r="Z9" s="234" t="inlineStr">
        <x:is>
          <x:t xml:space="preserve">high</x:t>
        </x:is>
      </x:c>
      <x:c r="AA9" s="234" t="inlineStr">
        <x:is>
          <x:t xml:space="preserve">OBSERVED</x:t>
        </x:is>
      </x:c>
      <x:c r="AB9" s="234" t="inlineStr">
        <x:is>
          <x:t xml:space="preserve">https://github.com/mrroot01011001/Cicada-3301-/blob/main/liber-primus/pages/18.jpg</x:t>
        </x:is>
      </x:c>
      <x:c r="AC9" s="234" t="inlineStr">
        <x:is>
          <x:t xml:space="preserve">https://github.com/mrfentmen/annotated-pages/blob/main/18.jpg</x:t>
        </x:is>
      </x:c>
      <x:c r="AD9" s="234" t="inlineStr">
        <x:is>
          <x:t xml:space="preserve">Any nearby tiny label remains unresolved.</x:t>
        </x:is>
      </x:c>
      <x:c r="AE9" s="234" t="n"/>
      <x:c r="AF9" s="234" t="n"/>
      <x:c r="AG9" s="234" t="n"/>
      <x:c r="AH9" s="234" t="inlineStr">
        <x:is>
          <x:t xml:space="preserve">single_page</x:t>
        </x:is>
      </x:c>
      <x:c r="AI9" s="234" t="inlineStr">
        <x:is>
          <x:t xml:space="preserve">18.JPG</x:t>
        </x:is>
      </x:c>
      <x:c r="AJ9" s="234" t="inlineStr">
        <x:is>
          <x:t xml:space="preserve">CSV-D002</x:t>
        </x:is>
      </x:c>
      <x:c r="AK9" s="234" t="n">
        <x:v>2</x:v>
      </x:c>
      <x:c r="AL9" s="234" t="inlineStr">
        <x:is>
          <x:t xml:space="preserve">CROSS</x:t>
        </x:is>
      </x:c>
      <x:c r="AM9" s="234" t="inlineStr">
        <x:is>
          <x:t xml:space="preserve">6</x:t>
        </x:is>
      </x:c>
      <x:c r="AN9" s="234" t="inlineStr">
        <x:is>
          <x:t xml:space="preserve">6</x:t>
        </x:is>
      </x:c>
      <x:c r="AO9" s="234" t="inlineStr">
        <x:is>
          <x:t xml:space="preserve">2</x:t>
        </x:is>
      </x:c>
      <x:c r="AP9" s="234" t="inlineStr">
        <x:is>
          <x:t xml:space="preserve">180 DEGREE FLIP WITH TRANSLATAION , FIRST ONE ON THE TOP RIGHT OF THE PAGE SECOND ONE IS BOTTOME LEFT OF THE PAGE</x:t>
        </x:is>
      </x:c>
      <x:c r="AQ9" s="234" t="inlineStr">
        <x:is>
          <x:t xml:space="preserve">0</x:t>
        </x:is>
      </x:c>
      <x:c r="AR9" s="234" t="inlineStr">
        <x:is>
          <x:t xml:space="preserve">2 CROSSES EACH HAVE 3 DOTS ON THE OUTSIDE AND 3 ON THE INSIDE</x:t>
        </x:is>
      </x:c>
      <x:c r="AS9" s="234" t="n"/>
      <x:c r="AT9" s="234" t="inlineStr">
        <x:is>
          <x:t xml:space="preserve">POPULATED_SOURCE_RECORD</x:t>
        </x:is>
      </x:c>
      <x:c r="AU9" s="234" t="inlineStr">
        <x:is>
          <x:t xml:space="preserve">ANNOTATED_IMAGE_AVAILABLE</x:t>
        </x:is>
      </x:c>
    </x:row>
    <x:row r="10" s="232" customFormat="1" ht="32" customHeight="1">
      <x:c r="A10" s="81" t="n">
        <x:v>18</x:v>
      </x:c>
      <x:c r="B10" s="234" t="inlineStr">
        <x:is>
          <x:t xml:space="preserve">18.jpg</x:t>
        </x:is>
      </x:c>
      <x:c r="C10" s="234" t="inlineStr">
        <x:is>
          <x:t xml:space="preserve">LP018-F03</x:t>
        </x:is>
      </x:c>
      <x:c r="D10" s="234" t="inlineStr">
        <x:is>
          <x:t xml:space="preserve">original artwork</x:t>
        </x:is>
      </x:c>
      <x:c r="E10" s="234" t="inlineStr">
        <x:is>
          <x:t xml:space="preserve">faint tiny colored marks near cross</x:t>
        </x:is>
      </x:c>
      <x:c r="F10" s="234" t="inlineStr">
        <x:is>
          <x:t xml:space="preserve">possible small point labels; not transcribed</x:t>
        </x:is>
      </x:c>
      <x:c r="G10" s="234" t="inlineStr">
        <x:is>
          <x:t xml:space="preserve">cross-like ornament</x:t>
        </x:is>
      </x:c>
      <x:c r="H10" s="234" t="inlineStr">
        <x:is>
          <x:t xml:space="preserve">Rough cross with multiple horizontal bars on the left margin.</x:t>
        </x:is>
      </x:c>
      <x:c r="I10" s="83" t="n">
        <x:v>6</x:v>
      </x:c>
      <x:c r="J10" s="83" t="n">
        <x:v>3</x:v>
      </x:c>
      <x:c r="K10" s="83" t="n">
        <x:v>3</x:v>
      </x:c>
      <x:c r="L10" s="83" t="n"/>
      <x:c r="M10" s="83" t="n"/>
      <x:c r="N10" s="83" t="n"/>
      <x:c r="O10" s="83" t="n"/>
      <x:c r="P10" s="83" t="n"/>
      <x:c r="Q10" s="234" t="n"/>
      <x:c r="R10" s="234" t="n"/>
      <x:c r="S10" s="234" t="n"/>
      <x:c r="T10" s="234" t="n"/>
      <x:c r="U10" s="234" t="n"/>
      <x:c r="V10" s="234" t="n"/>
      <x:c r="W10" s="234" t="n"/>
      <x:c r="X10" s="234" t="inlineStr">
        <x:is>
          <x:t xml:space="preserve">left margin</x:t>
        </x:is>
      </x:c>
      <x:c r="Y10" s="234" t="n"/>
      <x:c r="Z10" s="234" t="inlineStr">
        <x:is>
          <x:t xml:space="preserve">medium</x:t>
        </x:is>
      </x:c>
      <x:c r="AA10" s="234" t="inlineStr">
        <x:is>
          <x:t xml:space="preserve">ANNOTATION_VISIBLE</x:t>
        </x:is>
      </x:c>
      <x:c r="AB10" s="234" t="inlineStr">
        <x:is>
          <x:t xml:space="preserve">https://github.com/mrroot01011001/Cicada-3301-/blob/main/liber-primus/pages/18.jpg</x:t>
        </x:is>
      </x:c>
      <x:c r="AC10" s="234" t="inlineStr">
        <x:is>
          <x:t xml:space="preserve">https://github.com/mrfentmen/annotated-pages/blob/main/18.jpg</x:t>
        </x:is>
      </x:c>
      <x:c r="AD10" s="234" t="inlineStr">
        <x:is>
          <x:t xml:space="preserve">Do not count internal details from this display alone. CSV source records 3 internal and 3 external marks per cross (6 marks per cross); copied from source spreadsheet, not coordinate-measured.</x:t>
        </x:is>
      </x:c>
      <x:c r="AE10" s="234" t="n"/>
      <x:c r="AF10" s="234" t="n"/>
      <x:c r="AG10" s="234" t="n"/>
      <x:c r="AH10" s="234" t="inlineStr">
        <x:is>
          <x:t xml:space="preserve">single_page</x:t>
        </x:is>
      </x:c>
      <x:c r="AI10" s="234" t="inlineStr">
        <x:is>
          <x:t xml:space="preserve">18.JPG</x:t>
        </x:is>
      </x:c>
      <x:c r="AJ10" s="234" t="inlineStr">
        <x:is>
          <x:t xml:space="preserve">CSV-D002</x:t>
        </x:is>
      </x:c>
      <x:c r="AK10" s="234" t="n">
        <x:v>2</x:v>
      </x:c>
      <x:c r="AL10" s="234" t="inlineStr">
        <x:is>
          <x:t xml:space="preserve">CROSS</x:t>
        </x:is>
      </x:c>
      <x:c r="AM10" s="234" t="inlineStr">
        <x:is>
          <x:t xml:space="preserve">6</x:t>
        </x:is>
      </x:c>
      <x:c r="AN10" s="234" t="inlineStr">
        <x:is>
          <x:t xml:space="preserve">6</x:t>
        </x:is>
      </x:c>
      <x:c r="AO10" s="234" t="inlineStr">
        <x:is>
          <x:t xml:space="preserve">2</x:t>
        </x:is>
      </x:c>
      <x:c r="AP10" s="234" t="inlineStr">
        <x:is>
          <x:t xml:space="preserve">180 DEGREE FLIP WITH TRANSLATAION , FIRST ONE ON THE TOP RIGHT OF THE PAGE SECOND ONE IS BOTTOME LEFT OF THE PAGE</x:t>
        </x:is>
      </x:c>
      <x:c r="AQ10" s="234" t="inlineStr">
        <x:is>
          <x:t xml:space="preserve">0</x:t>
        </x:is>
      </x:c>
      <x:c r="AR10" s="234" t="inlineStr">
        <x:is>
          <x:t xml:space="preserve">2 CROSSES EACH HAVE 3 DOTS ON THE OUTSIDE AND 3 ON THE INSIDE</x:t>
        </x:is>
      </x:c>
      <x:c r="AS10" s="234" t="n"/>
      <x:c r="AT10" s="234" t="inlineStr">
        <x:is>
          <x:t xml:space="preserve">POPULATED_SOURCE_RECORD</x:t>
        </x:is>
      </x:c>
      <x:c r="AU10" s="234" t="inlineStr">
        <x:is>
          <x:t xml:space="preserve">ANNOTATED_IMAGE_AVAILABLE</x:t>
        </x:is>
      </x:c>
    </x:row>
    <x:row r="11" s="232" customFormat="1" ht="32" customHeight="1">
      <x:c r="A11" s="81" t="n">
        <x:v>18</x:v>
      </x:c>
      <x:c r="B11" s="234" t="inlineStr">
        <x:is>
          <x:t xml:space="preserve">18.jpg</x:t>
        </x:is>
      </x:c>
      <x:c r="C11" s="234" t="inlineStr">
        <x:is>
          <x:t xml:space="preserve">LP018-F04</x:t>
        </x:is>
      </x:c>
      <x:c r="D11" s="234" t="inlineStr">
        <x:is>
          <x:t xml:space="preserve">original artwork</x:t>
        </x:is>
      </x:c>
      <x:c r="E11" s="234" t="inlineStr">
        <x:is>
          <x:t xml:space="preserve">faint tiny colored marks near cross</x:t>
        </x:is>
      </x:c>
      <x:c r="F11" s="234" t="inlineStr">
        <x:is>
          <x:t xml:space="preserve">possible small point labels; not transcribed</x:t>
        </x:is>
      </x:c>
      <x:c r="G11" s="234" t="inlineStr">
        <x:is>
          <x:t xml:space="preserve">cross-like ornament</x:t>
        </x:is>
      </x:c>
      <x:c r="H11" s="234" t="inlineStr">
        <x:is>
          <x:t xml:space="preserve">Rough cross with multiple horizontal bars on the right margin.</x:t>
        </x:is>
      </x:c>
      <x:c r="I11" s="83" t="n">
        <x:v>6</x:v>
      </x:c>
      <x:c r="J11" s="83" t="n">
        <x:v>3</x:v>
      </x:c>
      <x:c r="K11" s="83" t="n">
        <x:v>3</x:v>
      </x:c>
      <x:c r="L11" s="83" t="n"/>
      <x:c r="M11" s="83" t="n"/>
      <x:c r="N11" s="83" t="n"/>
      <x:c r="O11" s="83" t="n"/>
      <x:c r="P11" s="83" t="n"/>
      <x:c r="Q11" s="234" t="n"/>
      <x:c r="R11" s="234" t="n"/>
      <x:c r="S11" s="234" t="n"/>
      <x:c r="T11" s="234" t="n"/>
      <x:c r="U11" s="234" t="n"/>
      <x:c r="V11" s="234" t="n"/>
      <x:c r="W11" s="234" t="n"/>
      <x:c r="X11" s="234" t="inlineStr">
        <x:is>
          <x:t xml:space="preserve">right margin</x:t>
        </x:is>
      </x:c>
      <x:c r="Y11" s="234" t="n"/>
      <x:c r="Z11" s="234" t="inlineStr">
        <x:is>
          <x:t xml:space="preserve">medium</x:t>
        </x:is>
      </x:c>
      <x:c r="AA11" s="234" t="inlineStr">
        <x:is>
          <x:t xml:space="preserve">ANNOTATION_VISIBLE</x:t>
        </x:is>
      </x:c>
      <x:c r="AB11" s="234" t="inlineStr">
        <x:is>
          <x:t xml:space="preserve">https://github.com/mrroot01011001/Cicada-3301-/blob/main/liber-primus/pages/18.jpg</x:t>
        </x:is>
      </x:c>
      <x:c r="AC11" s="234" t="inlineStr">
        <x:is>
          <x:t xml:space="preserve">https://github.com/mrfentmen/annotated-pages/blob/main/18.jpg</x:t>
        </x:is>
      </x:c>
      <x:c r="AD11" s="234" t="inlineStr">
        <x:is>
          <x:t xml:space="preserve">Do not count internal details from this display alone. CSV source records 3 internal and 3 external marks per cross (6 marks per cross); copied from source spreadsheet, not coordinate-measured.</x:t>
        </x:is>
      </x:c>
      <x:c r="AE11" s="234" t="n"/>
      <x:c r="AF11" s="234" t="n"/>
      <x:c r="AG11" s="234" t="n"/>
      <x:c r="AH11" s="234" t="inlineStr">
        <x:is>
          <x:t xml:space="preserve">single_page</x:t>
        </x:is>
      </x:c>
      <x:c r="AI11" s="234" t="inlineStr">
        <x:is>
          <x:t xml:space="preserve">18.JPG</x:t>
        </x:is>
      </x:c>
      <x:c r="AJ11" s="234" t="inlineStr">
        <x:is>
          <x:t xml:space="preserve">CSV-D002</x:t>
        </x:is>
      </x:c>
      <x:c r="AK11" s="234" t="n">
        <x:v>2</x:v>
      </x:c>
      <x:c r="AL11" s="234" t="inlineStr">
        <x:is>
          <x:t xml:space="preserve">CROSS</x:t>
        </x:is>
      </x:c>
      <x:c r="AM11" s="234" t="inlineStr">
        <x:is>
          <x:t xml:space="preserve">6</x:t>
        </x:is>
      </x:c>
      <x:c r="AN11" s="234" t="inlineStr">
        <x:is>
          <x:t xml:space="preserve">6</x:t>
        </x:is>
      </x:c>
      <x:c r="AO11" s="234" t="inlineStr">
        <x:is>
          <x:t xml:space="preserve">2</x:t>
        </x:is>
      </x:c>
      <x:c r="AP11" s="234" t="inlineStr">
        <x:is>
          <x:t xml:space="preserve">180 DEGREE FLIP WITH TRANSLATAION , FIRST ONE ON THE TOP RIGHT OF THE PAGE SECOND ONE IS BOTTOME LEFT OF THE PAGE</x:t>
        </x:is>
      </x:c>
      <x:c r="AQ11" s="234" t="inlineStr">
        <x:is>
          <x:t xml:space="preserve">0</x:t>
        </x:is>
      </x:c>
      <x:c r="AR11" s="234" t="inlineStr">
        <x:is>
          <x:t xml:space="preserve">2 CROSSES EACH HAVE 3 DOTS ON THE OUTSIDE AND 3 ON THE INSIDE</x:t>
        </x:is>
      </x:c>
      <x:c r="AS11" s="234" t="n"/>
      <x:c r="AT11" s="234" t="inlineStr">
        <x:is>
          <x:t xml:space="preserve">POPULATED_SOURCE_RECORD</x:t>
        </x:is>
      </x:c>
      <x:c r="AU11" s="234" t="inlineStr">
        <x:is>
          <x:t xml:space="preserve">ANNOTATED_IMAGE_AVAILABLE</x:t>
        </x:is>
      </x:c>
    </x:row>
    <x:row r="12" s="232" customFormat="1" ht="32" customHeight="1">
      <x:c r="A12" s="81" t="n">
        <x:v>19</x:v>
      </x:c>
      <x:c r="B12" s="234" t="inlineStr">
        <x:is>
          <x:t xml:space="preserve">19.jpg</x:t>
        </x:is>
      </x:c>
      <x:c r="C12" s="234" t="inlineStr">
        <x:is>
          <x:t xml:space="preserve">LP019-F01</x:t>
        </x:is>
      </x:c>
      <x:c r="D12" s="234" t="inlineStr">
        <x:is>
          <x:t xml:space="preserve">original artwork + user annotation</x:t>
        </x:is>
      </x:c>
      <x:c r="E12" s="234" t="inlineStr">
        <x:is>
          <x:t xml:space="preserve">blue outline; red/orange numeral</x:t>
        </x:is>
      </x:c>
      <x:c r="F12" s="234" t="inlineStr">
        <x:is>
          <x:t xml:space="preserve">2</x:t>
        </x:is>
      </x:c>
      <x:c r="G12" s="234" t="inlineStr">
        <x:is>
          <x:t xml:space="preserve">infinity symbol</x:t>
        </x:is>
      </x:c>
      <x:c r="H12" s="234" t="inlineStr">
        <x:is>
          <x:t xml:space="preserve">Top infinity-like mark enclosed by a blue hand-drawn oval and numbered 2.</x:t>
        </x:is>
      </x:c>
      <x:c r="I12" s="83" t="n"/>
      <x:c r="J12" s="83" t="n"/>
      <x:c r="K12" s="83" t="n"/>
      <x:c r="L12" s="83" t="n">
        <x:v>1</x:v>
      </x:c>
      <x:c r="M12" s="83" t="n"/>
      <x:c r="N12" s="83" t="n"/>
      <x:c r="O12" s="83" t="n"/>
      <x:c r="P12" s="83" t="n"/>
      <x:c r="Q12" s="234" t="n"/>
      <x:c r="R12" s="234" t="n"/>
      <x:c r="S12" s="234" t="n"/>
      <x:c r="T12" s="234" t="n"/>
      <x:c r="U12" s="234" t="n"/>
      <x:c r="V12" s="234" t="n"/>
      <x:c r="W12" s="234" t="n"/>
      <x:c r="X12" s="234" t="inlineStr">
        <x:is>
          <x:t xml:space="preserve">top center</x:t>
        </x:is>
      </x:c>
      <x:c r="Y12" s="234" t="n"/>
      <x:c r="Z12" s="234" t="inlineStr">
        <x:is>
          <x:t xml:space="preserve">high</x:t>
        </x:is>
      </x:c>
      <x:c r="AA12" s="234" t="inlineStr">
        <x:is>
          <x:t xml:space="preserve">ANNOTATION_VISIBLE</x:t>
        </x:is>
      </x:c>
      <x:c r="AB12" s="234" t="inlineStr">
        <x:is>
          <x:t xml:space="preserve">https://github.com/mrroot01011001/Cicada-3301-/blob/main/liber-primus/pages/19.jpg</x:t>
        </x:is>
      </x:c>
      <x:c r="AC12" s="234" t="inlineStr">
        <x:is>
          <x:t xml:space="preserve">https://github.com/mrfentmen/annotated-pages/blob/main/19.jpg</x:t>
        </x:is>
      </x:c>
      <x:c r="AD12" s="234" t="inlineStr">
        <x:is>
          <x:t xml:space="preserve">Label association is visible; exact mark coordinates not yet measured.</x:t>
        </x:is>
      </x:c>
      <x:c r="AE12" s="234" t="n"/>
      <x:c r="AF12" s="234" t="n"/>
      <x:c r="AG12" s="234" t="n"/>
      <x:c r="AH12" s="234" t="inlineStr">
        <x:is>
          <x:t xml:space="preserve">single_page</x:t>
        </x:is>
      </x:c>
      <x:c r="AI12" s="234" t="inlineStr">
        <x:is>
          <x:t xml:space="preserve">19.JPG</x:t>
        </x:is>
      </x:c>
      <x:c r="AJ12" s="234" t="inlineStr">
        <x:is>
          <x:t xml:space="preserve">CSV-D003</x:t>
        </x:is>
      </x:c>
      <x:c r="AK12" s="234" t="n">
        <x:v>3</x:v>
      </x:c>
      <x:c r="AL12" s="234" t="inlineStr">
        <x:is>
          <x:t xml:space="preserve">CROSS +CICADA</x:t>
        </x:is>
      </x:c>
      <x:c r="AM12" s="234" t="inlineStr">
        <x:is>
          <x:t xml:space="preserve">6</x:t>
        </x:is>
      </x:c>
      <x:c r="AN12" s="234" t="inlineStr">
        <x:is>
          <x:t xml:space="preserve">IT IS EITHER 6 OR 7 IF WE COUNT THE CICADAS EYE AS A DOT</x:t>
        </x:is>
      </x:c>
      <x:c r="AO12" s="234" t="inlineStr">
        <x:is>
          <x:t xml:space="preserve">2</x:t>
        </x:is>
      </x:c>
      <x:c r="AP12" s="234" t="inlineStr">
        <x:is>
          <x:t xml:space="preserve">180 DEGREE FLIP WITH TRANSLATAION, 
FIRST ONE ON THE TOP RIGHT OF THE PAGE SECOND ONE IS BOTTOME LEFT OF THE PAGE</x:t>
        </x:is>
      </x:c>
      <x:c r="AQ12" s="234" t="inlineStr">
        <x:is>
          <x:t xml:space="preserve">0</x:t>
        </x:is>
      </x:c>
      <x:c r="AR12" s="234" t="inlineStr">
        <x:is>
          <x:t xml:space="preserve">2 CROSSES EACH HAVE 3 DOTS ON THE OUTSIDE AND 3 ON THE INSIDE THERE IS A CICADA WITH A BLACK DOT FOR A EYE AND 7 EXACT SCALES</x:t>
        </x:is>
      </x:c>
      <x:c r="AS12" s="234" t="n"/>
      <x:c r="AT12" s="234" t="inlineStr">
        <x:is>
          <x:t xml:space="preserve">POPULATED_SOURCE_RECORD</x:t>
        </x:is>
      </x:c>
      <x:c r="AU12" s="234" t="inlineStr">
        <x:is>
          <x:t xml:space="preserve">ANNOTATED_IMAGE_AVAILABLE</x:t>
        </x:is>
      </x:c>
    </x:row>
    <x:row r="13" s="232" customFormat="1" ht="32" customHeight="1">
      <x:c r="A13" s="81" t="n">
        <x:v>19</x:v>
      </x:c>
      <x:c r="B13" s="234" t="inlineStr">
        <x:is>
          <x:t xml:space="preserve">19.jpg</x:t>
        </x:is>
      </x:c>
      <x:c r="C13" s="234" t="inlineStr">
        <x:is>
          <x:t xml:space="preserve">LP019-F02</x:t>
        </x:is>
      </x:c>
      <x:c r="D13" s="234" t="inlineStr">
        <x:is>
          <x:t xml:space="preserve">original artwork + user annotation</x:t>
        </x:is>
      </x:c>
      <x:c r="E13" s="234" t="inlineStr">
        <x:is>
          <x:t xml:space="preserve">blue outline; red/orange numeral</x:t>
        </x:is>
      </x:c>
      <x:c r="F13" s="234" t="inlineStr">
        <x:is>
          <x:t xml:space="preserve">1</x:t>
        </x:is>
      </x:c>
      <x:c r="G13" s="234" t="inlineStr">
        <x:is>
          <x:t xml:space="preserve">infinity symbol</x:t>
        </x:is>
      </x:c>
      <x:c r="H13" s="234" t="inlineStr">
        <x:is>
          <x:t xml:space="preserve">Bottom infinity-like mark enclosed by a blue hand-drawn oval and numbered 1.</x:t>
        </x:is>
      </x:c>
      <x:c r="I13" s="83" t="n"/>
      <x:c r="J13" s="83" t="n"/>
      <x:c r="K13" s="83" t="n"/>
      <x:c r="L13" s="83" t="n">
        <x:v>1</x:v>
      </x:c>
      <x:c r="M13" s="83" t="n"/>
      <x:c r="N13" s="83" t="n"/>
      <x:c r="O13" s="83" t="n"/>
      <x:c r="P13" s="83" t="n"/>
      <x:c r="Q13" s="234" t="n"/>
      <x:c r="R13" s="234" t="n"/>
      <x:c r="S13" s="234" t="n"/>
      <x:c r="T13" s="234" t="n"/>
      <x:c r="U13" s="234" t="n"/>
      <x:c r="V13" s="234" t="n"/>
      <x:c r="W13" s="234" t="n"/>
      <x:c r="X13" s="234" t="inlineStr">
        <x:is>
          <x:t xml:space="preserve">bottom center</x:t>
        </x:is>
      </x:c>
      <x:c r="Y13" s="234" t="n"/>
      <x:c r="Z13" s="234" t="inlineStr">
        <x:is>
          <x:t xml:space="preserve">high</x:t>
        </x:is>
      </x:c>
      <x:c r="AA13" s="234" t="inlineStr">
        <x:is>
          <x:t xml:space="preserve">ANNOTATION_VISIBLE</x:t>
        </x:is>
      </x:c>
      <x:c r="AB13" s="234" t="inlineStr">
        <x:is>
          <x:t xml:space="preserve">https://github.com/mrroot01011001/Cicada-3301-/blob/main/liber-primus/pages/19.jpg</x:t>
        </x:is>
      </x:c>
      <x:c r="AC13" s="234" t="inlineStr">
        <x:is>
          <x:t xml:space="preserve">https://github.com/mrfentmen/annotated-pages/blob/main/19.jpg</x:t>
        </x:is>
      </x:c>
      <x:c r="AD13" s="234" t="inlineStr">
        <x:is>
          <x:t xml:space="preserve">Label association is visible; exact mark coordinates not yet measured.</x:t>
        </x:is>
      </x:c>
      <x:c r="AE13" s="234" t="n"/>
      <x:c r="AF13" s="234" t="n"/>
      <x:c r="AG13" s="234" t="n"/>
      <x:c r="AH13" s="234" t="inlineStr">
        <x:is>
          <x:t xml:space="preserve">single_page</x:t>
        </x:is>
      </x:c>
      <x:c r="AI13" s="234" t="inlineStr">
        <x:is>
          <x:t xml:space="preserve">19.JPG</x:t>
        </x:is>
      </x:c>
      <x:c r="AJ13" s="234" t="inlineStr">
        <x:is>
          <x:t xml:space="preserve">CSV-D003</x:t>
        </x:is>
      </x:c>
      <x:c r="AK13" s="234" t="n">
        <x:v>3</x:v>
      </x:c>
      <x:c r="AL13" s="234" t="inlineStr">
        <x:is>
          <x:t xml:space="preserve">CROSS +CICADA</x:t>
        </x:is>
      </x:c>
      <x:c r="AM13" s="234" t="inlineStr">
        <x:is>
          <x:t xml:space="preserve">6</x:t>
        </x:is>
      </x:c>
      <x:c r="AN13" s="234" t="inlineStr">
        <x:is>
          <x:t xml:space="preserve">IT IS EITHER 6 OR 7 IF WE COUNT THE CICADAS EYE AS A DOT</x:t>
        </x:is>
      </x:c>
      <x:c r="AO13" s="234" t="inlineStr">
        <x:is>
          <x:t xml:space="preserve">2</x:t>
        </x:is>
      </x:c>
      <x:c r="AP13" s="234" t="inlineStr">
        <x:is>
          <x:t xml:space="preserve">180 DEGREE FLIP WITH TRANSLATAION, 
FIRST ONE ON THE TOP RIGHT OF THE PAGE SECOND ONE IS BOTTOME LEFT OF THE PAGE</x:t>
        </x:is>
      </x:c>
      <x:c r="AQ13" s="234" t="inlineStr">
        <x:is>
          <x:t xml:space="preserve">0</x:t>
        </x:is>
      </x:c>
      <x:c r="AR13" s="234" t="inlineStr">
        <x:is>
          <x:t xml:space="preserve">2 CROSSES EACH HAVE 3 DOTS ON THE OUTSIDE AND 3 ON THE INSIDE THERE IS A CICADA WITH A BLACK DOT FOR A EYE AND 7 EXACT SCALES</x:t>
        </x:is>
      </x:c>
      <x:c r="AS13" s="234" t="n"/>
      <x:c r="AT13" s="234" t="inlineStr">
        <x:is>
          <x:t xml:space="preserve">POPULATED_SOURCE_RECORD</x:t>
        </x:is>
      </x:c>
      <x:c r="AU13" s="234" t="inlineStr">
        <x:is>
          <x:t xml:space="preserve">ANNOTATED_IMAGE_AVAILABLE</x:t>
        </x:is>
      </x:c>
    </x:row>
    <x:row r="14" s="232" customFormat="1" ht="32" customHeight="1">
      <x:c r="A14" s="81" t="n">
        <x:v>19</x:v>
      </x:c>
      <x:c r="B14" s="234" t="inlineStr">
        <x:is>
          <x:t xml:space="preserve">19.jpg</x:t>
        </x:is>
      </x:c>
      <x:c r="C14" s="234" t="inlineStr">
        <x:is>
          <x:t xml:space="preserve">LP019-F03</x:t>
        </x:is>
      </x:c>
      <x:c r="D14" s="234" t="inlineStr">
        <x:is>
          <x:t xml:space="preserve">original artwork + user annotation</x:t>
        </x:is>
      </x:c>
      <x:c r="E14" s="234" t="inlineStr">
        <x:is>
          <x:t xml:space="preserve">cyan/blue and yellow-green labels</x:t>
        </x:is>
      </x:c>
      <x:c r="F14" s="234" t="inlineStr">
        <x:is>
          <x:t xml:space="preserve">small numbered labels; exact sequence not fully transcribed</x:t>
        </x:is>
      </x:c>
      <x:c r="G14" s="234" t="inlineStr">
        <x:is>
          <x:t xml:space="preserve">cross-like ornament</x:t>
        </x:is>
      </x:c>
      <x:c r="H14" s="234" t="inlineStr">
        <x:is>
          <x:t xml:space="preserve">Rough cross on the left margin with labels at its bars and adjacent points.</x:t>
        </x:is>
      </x:c>
      <x:c r="I14" s="83" t="n">
        <x:v>6</x:v>
      </x:c>
      <x:c r="J14" s="83" t="n">
        <x:v>3</x:v>
      </x:c>
      <x:c r="K14" s="83" t="n">
        <x:v>3</x:v>
      </x:c>
      <x:c r="L14" s="83" t="n"/>
      <x:c r="M14" s="83" t="n"/>
      <x:c r="N14" s="83" t="n"/>
      <x:c r="O14" s="83" t="n"/>
      <x:c r="P14" s="83" t="n"/>
      <x:c r="Q14" s="234" t="n"/>
      <x:c r="R14" s="234" t="n"/>
      <x:c r="S14" s="234" t="n"/>
      <x:c r="T14" s="234" t="n"/>
      <x:c r="U14" s="234" t="n"/>
      <x:c r="V14" s="234" t="n"/>
      <x:c r="W14" s="234" t="n"/>
      <x:c r="X14" s="234" t="inlineStr">
        <x:is>
          <x:t xml:space="preserve">left margin</x:t>
        </x:is>
      </x:c>
      <x:c r="Y14" s="234" t="n"/>
      <x:c r="Z14" s="234" t="inlineStr">
        <x:is>
          <x:t xml:space="preserve">medium</x:t>
        </x:is>
      </x:c>
      <x:c r="AA14" s="234" t="inlineStr">
        <x:is>
          <x:t xml:space="preserve">ANNOTATION_VISIBLE</x:t>
        </x:is>
      </x:c>
      <x:c r="AB14" s="234" t="inlineStr">
        <x:is>
          <x:t xml:space="preserve">https://github.com/mrroot01011001/Cicada-3301-/blob/main/liber-primus/pages/19.jpg</x:t>
        </x:is>
      </x:c>
      <x:c r="AC14" s="234" t="inlineStr">
        <x:is>
          <x:t xml:space="preserve">https://github.com/mrfentmen/annotated-pages/blob/main/19.jpg</x:t>
        </x:is>
      </x:c>
      <x:c r="AD14" s="234" t="inlineStr">
        <x:is>
          <x:t xml:space="preserve">Count of internal decorative marks remains unresolved. CSV source records 3 internal and 3 external marks per cross (6 marks per cross); copied from source spreadsheet, not coordinate-measured.</x:t>
        </x:is>
      </x:c>
      <x:c r="AE14" s="234" t="n"/>
      <x:c r="AF14" s="234" t="n"/>
      <x:c r="AG14" s="234" t="n"/>
      <x:c r="AH14" s="234" t="inlineStr">
        <x:is>
          <x:t xml:space="preserve">single_page</x:t>
        </x:is>
      </x:c>
      <x:c r="AI14" s="234" t="inlineStr">
        <x:is>
          <x:t xml:space="preserve">19.JPG</x:t>
        </x:is>
      </x:c>
      <x:c r="AJ14" s="234" t="inlineStr">
        <x:is>
          <x:t xml:space="preserve">CSV-D003</x:t>
        </x:is>
      </x:c>
      <x:c r="AK14" s="234" t="n">
        <x:v>3</x:v>
      </x:c>
      <x:c r="AL14" s="234" t="inlineStr">
        <x:is>
          <x:t xml:space="preserve">CROSS +CICADA</x:t>
        </x:is>
      </x:c>
      <x:c r="AM14" s="234" t="inlineStr">
        <x:is>
          <x:t xml:space="preserve">6</x:t>
        </x:is>
      </x:c>
      <x:c r="AN14" s="234" t="inlineStr">
        <x:is>
          <x:t xml:space="preserve">IT IS EITHER 6 OR 7 IF WE COUNT THE CICADAS EYE AS A DOT</x:t>
        </x:is>
      </x:c>
      <x:c r="AO14" s="234" t="inlineStr">
        <x:is>
          <x:t xml:space="preserve">2</x:t>
        </x:is>
      </x:c>
      <x:c r="AP14" s="234" t="inlineStr">
        <x:is>
          <x:t xml:space="preserve">180 DEGREE FLIP WITH TRANSLATAION, 
FIRST ONE ON THE TOP RIGHT OF THE PAGE SECOND ONE IS BOTTOME LEFT OF THE PAGE</x:t>
        </x:is>
      </x:c>
      <x:c r="AQ14" s="234" t="inlineStr">
        <x:is>
          <x:t xml:space="preserve">0</x:t>
        </x:is>
      </x:c>
      <x:c r="AR14" s="234" t="inlineStr">
        <x:is>
          <x:t xml:space="preserve">2 CROSSES EACH HAVE 3 DOTS ON THE OUTSIDE AND 3 ON THE INSIDE THERE IS A CICADA WITH A BLACK DOT FOR A EYE AND 7 EXACT SCALES</x:t>
        </x:is>
      </x:c>
      <x:c r="AS14" s="234" t="n"/>
      <x:c r="AT14" s="234" t="inlineStr">
        <x:is>
          <x:t xml:space="preserve">POPULATED_SOURCE_RECORD</x:t>
        </x:is>
      </x:c>
      <x:c r="AU14" s="234" t="inlineStr">
        <x:is>
          <x:t xml:space="preserve">ANNOTATED_IMAGE_AVAILABLE</x:t>
        </x:is>
      </x:c>
    </x:row>
    <x:row r="15" s="232" customFormat="1" ht="32" customHeight="1">
      <x:c r="A15" s="81" t="n">
        <x:v>19</x:v>
      </x:c>
      <x:c r="B15" s="234" t="inlineStr">
        <x:is>
          <x:t xml:space="preserve">19.jpg</x:t>
        </x:is>
      </x:c>
      <x:c r="C15" s="234" t="inlineStr">
        <x:is>
          <x:t xml:space="preserve">LP019-F04</x:t>
        </x:is>
      </x:c>
      <x:c r="D15" s="234" t="inlineStr">
        <x:is>
          <x:t xml:space="preserve">original artwork + user annotation</x:t>
        </x:is>
      </x:c>
      <x:c r="E15" s="234" t="inlineStr">
        <x:is>
          <x:t xml:space="preserve">cyan/blue and yellow-green labels</x:t>
        </x:is>
      </x:c>
      <x:c r="F15" s="234" t="inlineStr">
        <x:is>
          <x:t xml:space="preserve">small numbered labels; exact sequence not fully transcribed</x:t>
        </x:is>
      </x:c>
      <x:c r="G15" s="234" t="inlineStr">
        <x:is>
          <x:t xml:space="preserve">cross-like ornament</x:t>
        </x:is>
      </x:c>
      <x:c r="H15" s="234" t="inlineStr">
        <x:is>
          <x:t xml:space="preserve">Rough cross on the right margin with several labels at bars and adjacent points.</x:t>
        </x:is>
      </x:c>
      <x:c r="I15" s="83" t="n">
        <x:v>6</x:v>
      </x:c>
      <x:c r="J15" s="83" t="n">
        <x:v>3</x:v>
      </x:c>
      <x:c r="K15" s="83" t="n">
        <x:v>3</x:v>
      </x:c>
      <x:c r="L15" s="83" t="n"/>
      <x:c r="M15" s="83" t="n"/>
      <x:c r="N15" s="83" t="n"/>
      <x:c r="O15" s="83" t="n"/>
      <x:c r="P15" s="83" t="n"/>
      <x:c r="Q15" s="234" t="n"/>
      <x:c r="R15" s="234" t="n"/>
      <x:c r="S15" s="234" t="n"/>
      <x:c r="T15" s="234" t="n"/>
      <x:c r="U15" s="234" t="n"/>
      <x:c r="V15" s="234" t="n"/>
      <x:c r="W15" s="234" t="n"/>
      <x:c r="X15" s="234" t="inlineStr">
        <x:is>
          <x:t xml:space="preserve">right margin</x:t>
        </x:is>
      </x:c>
      <x:c r="Y15" s="234" t="n"/>
      <x:c r="Z15" s="234" t="inlineStr">
        <x:is>
          <x:t xml:space="preserve">medium</x:t>
        </x:is>
      </x:c>
      <x:c r="AA15" s="234" t="inlineStr">
        <x:is>
          <x:t xml:space="preserve">ANNOTATION_VISIBLE</x:t>
        </x:is>
      </x:c>
      <x:c r="AB15" s="234" t="inlineStr">
        <x:is>
          <x:t xml:space="preserve">https://github.com/mrroot01011001/Cicada-3301-/blob/main/liber-primus/pages/19.jpg</x:t>
        </x:is>
      </x:c>
      <x:c r="AC15" s="234" t="inlineStr">
        <x:is>
          <x:t xml:space="preserve">https://github.com/mrfentmen/annotated-pages/blob/main/19.jpg</x:t>
        </x:is>
      </x:c>
      <x:c r="AD15" s="234" t="inlineStr">
        <x:is>
          <x:t xml:space="preserve">Count of internal decorative marks remains unresolved. CSV source records 3 internal and 3 external marks per cross (6 marks per cross); copied from source spreadsheet, not coordinate-measured.</x:t>
        </x:is>
      </x:c>
      <x:c r="AE15" s="234" t="n"/>
      <x:c r="AF15" s="234" t="n"/>
      <x:c r="AG15" s="234" t="n"/>
      <x:c r="AH15" s="234" t="inlineStr">
        <x:is>
          <x:t xml:space="preserve">single_page</x:t>
        </x:is>
      </x:c>
      <x:c r="AI15" s="234" t="inlineStr">
        <x:is>
          <x:t xml:space="preserve">19.JPG</x:t>
        </x:is>
      </x:c>
      <x:c r="AJ15" s="234" t="inlineStr">
        <x:is>
          <x:t xml:space="preserve">CSV-D003</x:t>
        </x:is>
      </x:c>
      <x:c r="AK15" s="234" t="n">
        <x:v>3</x:v>
      </x:c>
      <x:c r="AL15" s="234" t="inlineStr">
        <x:is>
          <x:t xml:space="preserve">CROSS +CICADA</x:t>
        </x:is>
      </x:c>
      <x:c r="AM15" s="234" t="inlineStr">
        <x:is>
          <x:t xml:space="preserve">6</x:t>
        </x:is>
      </x:c>
      <x:c r="AN15" s="234" t="inlineStr">
        <x:is>
          <x:t xml:space="preserve">IT IS EITHER 6 OR 7 IF WE COUNT THE CICADAS EYE AS A DOT</x:t>
        </x:is>
      </x:c>
      <x:c r="AO15" s="234" t="inlineStr">
        <x:is>
          <x:t xml:space="preserve">2</x:t>
        </x:is>
      </x:c>
      <x:c r="AP15" s="234" t="inlineStr">
        <x:is>
          <x:t xml:space="preserve">180 DEGREE FLIP WITH TRANSLATAION, 
FIRST ONE ON THE TOP RIGHT OF THE PAGE SECOND ONE IS BOTTOME LEFT OF THE PAGE</x:t>
        </x:is>
      </x:c>
      <x:c r="AQ15" s="234" t="inlineStr">
        <x:is>
          <x:t xml:space="preserve">0</x:t>
        </x:is>
      </x:c>
      <x:c r="AR15" s="234" t="inlineStr">
        <x:is>
          <x:t xml:space="preserve">2 CROSSES EACH HAVE 3 DOTS ON THE OUTSIDE AND 3 ON THE INSIDE THERE IS A CICADA WITH A BLACK DOT FOR A EYE AND 7 EXACT SCALES</x:t>
        </x:is>
      </x:c>
      <x:c r="AS15" s="234" t="n"/>
      <x:c r="AT15" s="234" t="inlineStr">
        <x:is>
          <x:t xml:space="preserve">POPULATED_SOURCE_RECORD</x:t>
        </x:is>
      </x:c>
      <x:c r="AU15" s="234" t="inlineStr">
        <x:is>
          <x:t xml:space="preserve">ANNOTATED_IMAGE_AVAILABLE</x:t>
        </x:is>
      </x:c>
    </x:row>
    <x:row r="16" s="232" customFormat="1" ht="32" customHeight="1">
      <x:c r="A16" s="81" t="n">
        <x:v>19</x:v>
      </x:c>
      <x:c r="B16" s="234" t="inlineStr">
        <x:is>
          <x:t xml:space="preserve">19.jpg</x:t>
        </x:is>
      </x:c>
      <x:c r="C16" s="234" t="inlineStr">
        <x:is>
          <x:t xml:space="preserve">LP019-F05</x:t>
        </x:is>
      </x:c>
      <x:c r="D16" s="234" t="inlineStr">
        <x:is>
          <x:t xml:space="preserve">original artwork + user annotation</x:t>
        </x:is>
      </x:c>
      <x:c r="E16" s="234" t="inlineStr">
        <x:is>
          <x:t xml:space="preserve">blue/green/purple tiny labels</x:t>
        </x:is>
      </x:c>
      <x:c r="F16" s="234" t="inlineStr">
        <x:is>
          <x:t xml:space="preserve">numbered sequence is visible on parts of the body/wing; full transcription pending</x:t>
        </x:is>
      </x:c>
      <x:c r="G16" s="234" t="inlineStr">
        <x:is>
          <x:t xml:space="preserve">insect-like figure</x:t>
        </x:is>
      </x:c>
      <x:c r="H16" s="234" t="inlineStr">
        <x:is>
          <x:t xml:space="preserve">Small insect or larva-like drawing below the text, with a segmented body and multiple numbered annotations.</x:t>
        </x:is>
      </x:c>
      <x:c r="I16" s="83" t="n"/>
      <x:c r="J16" s="83" t="n"/>
      <x:c r="K16" s="83" t="n"/>
      <x:c r="L16" s="83" t="n"/>
      <x:c r="M16" s="83" t="n"/>
      <x:c r="N16" s="83" t="n"/>
      <x:c r="O16" s="83" t="n"/>
      <x:c r="P16" s="83" t="n"/>
      <x:c r="Q16" s="234" t="n"/>
      <x:c r="R16" s="234" t="n"/>
      <x:c r="S16" s="234" t="n"/>
      <x:c r="T16" s="234" t="n"/>
      <x:c r="U16" s="234" t="n"/>
      <x:c r="V16" s="234" t="n"/>
      <x:c r="W16" s="234" t="n"/>
      <x:c r="X16" s="234" t="inlineStr">
        <x:is>
          <x:t xml:space="preserve">bottom center</x:t>
        </x:is>
      </x:c>
      <x:c r="Y16" s="234" t="inlineStr">
        <x:is>
          <x:t xml:space="preserve">The labels may mark segments or geometric divisions; no extraction rule tested.</x:t>
        </x:is>
      </x:c>
      <x:c r="Z16" s="234" t="inlineStr">
        <x:is>
          <x:t xml:space="preserve">medium</x:t>
        </x:is>
      </x:c>
      <x:c r="AA16" s="234" t="inlineStr">
        <x:is>
          <x:t xml:space="preserve">ANNOTATION_VISIBLE</x:t>
        </x:is>
      </x:c>
      <x:c r="AB16" s="234" t="inlineStr">
        <x:is>
          <x:t xml:space="preserve">https://github.com/mrroot01011001/Cicada-3301-/blob/main/liber-primus/pages/19.jpg</x:t>
        </x:is>
      </x:c>
      <x:c r="AC16" s="234" t="inlineStr">
        <x:is>
          <x:t xml:space="preserve">https://github.com/mrfentmen/annotated-pages/blob/main/19.jpg</x:t>
        </x:is>
      </x:c>
      <x:c r="AD16" s="234" t="inlineStr">
        <x:is>
          <x:t xml:space="preserve">Do not call it a specific species or assign geometric topology before tracing its parts.</x:t>
        </x:is>
      </x:c>
      <x:c r="AE16" s="234" t="n"/>
      <x:c r="AF16" s="234" t="n"/>
      <x:c r="AG16" s="234" t="n"/>
      <x:c r="AH16" s="234" t="inlineStr">
        <x:is>
          <x:t xml:space="preserve">single_page</x:t>
        </x:is>
      </x:c>
      <x:c r="AI16" s="234" t="inlineStr">
        <x:is>
          <x:t xml:space="preserve">19.JPG</x:t>
        </x:is>
      </x:c>
      <x:c r="AJ16" s="234" t="inlineStr">
        <x:is>
          <x:t xml:space="preserve">CSV-D003</x:t>
        </x:is>
      </x:c>
      <x:c r="AK16" s="234" t="n">
        <x:v>3</x:v>
      </x:c>
      <x:c r="AL16" s="234" t="inlineStr">
        <x:is>
          <x:t xml:space="preserve">CROSS +CICADA</x:t>
        </x:is>
      </x:c>
      <x:c r="AM16" s="234" t="inlineStr">
        <x:is>
          <x:t xml:space="preserve">6</x:t>
        </x:is>
      </x:c>
      <x:c r="AN16" s="234" t="inlineStr">
        <x:is>
          <x:t xml:space="preserve">IT IS EITHER 6 OR 7 IF WE COUNT THE CICADAS EYE AS A DOT</x:t>
        </x:is>
      </x:c>
      <x:c r="AO16" s="234" t="inlineStr">
        <x:is>
          <x:t xml:space="preserve">2</x:t>
        </x:is>
      </x:c>
      <x:c r="AP16" s="234" t="inlineStr">
        <x:is>
          <x:t xml:space="preserve">180 DEGREE FLIP WITH TRANSLATAION, 
FIRST ONE ON THE TOP RIGHT OF THE PAGE SECOND ONE IS BOTTOME LEFT OF THE PAGE</x:t>
        </x:is>
      </x:c>
      <x:c r="AQ16" s="234" t="inlineStr">
        <x:is>
          <x:t xml:space="preserve">0</x:t>
        </x:is>
      </x:c>
      <x:c r="AR16" s="234" t="inlineStr">
        <x:is>
          <x:t xml:space="preserve">2 CROSSES EACH HAVE 3 DOTS ON THE OUTSIDE AND 3 ON THE INSIDE THERE IS A CICADA WITH A BLACK DOT FOR A EYE AND 7 EXACT SCALES</x:t>
        </x:is>
      </x:c>
      <x:c r="AS16" s="234" t="n"/>
      <x:c r="AT16" s="234" t="inlineStr">
        <x:is>
          <x:t xml:space="preserve">POPULATED_SOURCE_RECORD</x:t>
        </x:is>
      </x:c>
      <x:c r="AU16" s="234" t="inlineStr">
        <x:is>
          <x:t xml:space="preserve">ANNOTATED_IMAGE_AVAILABLE</x:t>
        </x:is>
      </x:c>
    </x:row>
    <x:row r="17" s="232" customFormat="1" ht="32" customHeight="1">
      <x:c r="A17" s="81" t="n">
        <x:v>19</x:v>
      </x:c>
      <x:c r="B17" s="234" t="inlineStr">
        <x:is>
          <x:t xml:space="preserve">19.jpg</x:t>
        </x:is>
      </x:c>
      <x:c r="C17" s="234" t="inlineStr">
        <x:is>
          <x:t xml:space="preserve">LP019-F90</x:t>
        </x:is>
      </x:c>
      <x:c r="D17" s="234" t="inlineStr">
        <x:is>
          <x:t xml:space="preserve">CSV source spreadsheet; feature-level representation</x:t>
        </x:is>
      </x:c>
      <x:c r="E17" s="234" t="n"/>
      <x:c r="F17" s="234" t="n"/>
      <x:c r="G17" s="234" t="inlineStr">
        <x:is>
          <x:t xml:space="preserve">insect eye dot (possible external-dot contribution)</x:t>
        </x:is>
      </x:c>
      <x:c r="H17" s="234" t="inlineStr">
        <x:is>
          <x:t xml:space="preserve">Source CSV describes a black dot for the cicada's eye; it may be counted as an additional external dot.</x:t>
        </x:is>
      </x:c>
      <x:c r="I17" s="83" t="n">
        <x:v>1</x:v>
      </x:c>
      <x:c r="J17" s="83" t="n"/>
      <x:c r="K17" s="83" t="n">
        <x:v>1</x:v>
      </x:c>
      <x:c r="L17" s="83" t="n"/>
      <x:c r="M17" s="83" t="n"/>
      <x:c r="N17" s="83" t="n"/>
      <x:c r="O17" s="83" t="n"/>
      <x:c r="P17" s="83" t="n"/>
      <x:c r="Q17" s="234" t="n"/>
      <x:c r="R17" s="234" t="n"/>
      <x:c r="S17" s="234" t="n"/>
      <x:c r="T17" s="234" t="n"/>
      <x:c r="U17" s="234" t="n"/>
      <x:c r="V17" s="234" t="n"/>
      <x:c r="W17" s="234" t="n"/>
      <x:c r="X17" s="234" t="inlineStr">
        <x:is>
          <x:t xml:space="preserve">insect head/eye</x:t>
        </x:is>
      </x:c>
      <x:c r="Y17" s="234" t="n"/>
      <x:c r="Z17" s="234" t="inlineStr">
        <x:is>
          <x:t xml:space="preserve">low</x:t>
        </x:is>
      </x:c>
      <x:c r="AA17" s="234" t="inlineStr">
        <x:is>
          <x:t xml:space="preserve">CSV_RECORDED_AMBIGUOUS_CLASSIFICATION</x:t>
        </x:is>
      </x:c>
      <x:c r="AB17" s="234" t="inlineStr">
        <x:is>
          <x:t xml:space="preserve">https://github.com/mrroot01011001/Cicada-3301-/blob/main/liber-primus/pages/19.jpg</x:t>
        </x:is>
      </x:c>
      <x:c r="AC17" s="234" t="inlineStr">
        <x:is>
          <x:t xml:space="preserve">https://github.com/mrfentmen/annotated-pages/blob/main/19.jpg</x:t>
        </x:is>
      </x:c>
      <x:c r="AD17" s="234" t="inlineStr">
        <x:is>
          <x:t xml:space="preserve">Do not force the page's external-dot total to 7; the source explicitly records 6 or 7 depending on whether the eye is counted.</x:t>
        </x:is>
      </x:c>
      <x:c r="AE17" s="234" t="n"/>
      <x:c r="AF17" s="234" t="n"/>
      <x:c r="AG17" s="234" t="n"/>
      <x:c r="AH17" s="234" t="inlineStr">
        <x:is>
          <x:t xml:space="preserve">single_page</x:t>
        </x:is>
      </x:c>
      <x:c r="AI17" s="234" t="inlineStr">
        <x:is>
          <x:t xml:space="preserve">19.JPG</x:t>
        </x:is>
      </x:c>
      <x:c r="AJ17" s="234" t="inlineStr">
        <x:is>
          <x:t xml:space="preserve">CSV-D003</x:t>
        </x:is>
      </x:c>
      <x:c r="AK17" s="234" t="n">
        <x:v>3</x:v>
      </x:c>
      <x:c r="AL17" s="234" t="inlineStr">
        <x:is>
          <x:t xml:space="preserve">CROSS +CICADA</x:t>
        </x:is>
      </x:c>
      <x:c r="AM17" s="234" t="inlineStr">
        <x:is>
          <x:t xml:space="preserve">6</x:t>
        </x:is>
      </x:c>
      <x:c r="AN17" s="234" t="inlineStr">
        <x:is>
          <x:t xml:space="preserve">IT IS EITHER 6 OR 7 IF WE COUNT THE CICADAS EYE AS A DOT</x:t>
        </x:is>
      </x:c>
      <x:c r="AO17" s="234" t="inlineStr">
        <x:is>
          <x:t xml:space="preserve">2</x:t>
        </x:is>
      </x:c>
      <x:c r="AP17" s="234" t="inlineStr">
        <x:is>
          <x:t xml:space="preserve">180 DEGREE FLIP WITH TRANSLATAION, 
FIRST ONE ON THE TOP RIGHT OF THE PAGE SECOND ONE IS BOTTOME LEFT OF THE PAGE</x:t>
        </x:is>
      </x:c>
      <x:c r="AQ17" s="234" t="inlineStr">
        <x:is>
          <x:t xml:space="preserve">0</x:t>
        </x:is>
      </x:c>
      <x:c r="AR17" s="234" t="inlineStr">
        <x:is>
          <x:t xml:space="preserve">2 CROSSES EACH HAVE 3 DOTS ON THE OUTSIDE AND 3 ON THE INSIDE THERE IS A CICADA WITH A BLACK DOT FOR A EYE AND 7 EXACT SCALES</x:t>
        </x:is>
      </x:c>
      <x:c r="AS17" s="234" t="n"/>
      <x:c r="AT17" s="234" t="inlineStr">
        <x:is>
          <x:t xml:space="preserve">POPULATED_SOURCE_RECORD</x:t>
        </x:is>
      </x:c>
      <x:c r="AU17" s="234" t="inlineStr">
        <x:is>
          <x:t xml:space="preserve">ANNOTATED_IMAGE_AVAILABLE</x:t>
        </x:is>
      </x:c>
    </x:row>
    <x:row r="18" s="232" customFormat="1" ht="32" customHeight="1">
      <x:c r="A18" s="81" t="n">
        <x:v>19</x:v>
      </x:c>
      <x:c r="B18" s="234" t="inlineStr">
        <x:is>
          <x:t xml:space="preserve">19.jpg</x:t>
        </x:is>
      </x:c>
      <x:c r="C18" s="234" t="inlineStr">
        <x:is>
          <x:t xml:space="preserve">LP019-F91</x:t>
        </x:is>
      </x:c>
      <x:c r="D18" s="234" t="inlineStr">
        <x:is>
          <x:t xml:space="preserve">CSV source spreadsheet; feature-level representation</x:t>
        </x:is>
      </x:c>
      <x:c r="E18" s="234" t="n"/>
      <x:c r="F18" s="234" t="n"/>
      <x:c r="G18" s="234" t="inlineStr">
        <x:is>
          <x:t xml:space="preserve">insect body scales</x:t>
        </x:is>
      </x:c>
      <x:c r="H18" s="234" t="inlineStr">
        <x:is>
          <x:t xml:space="preserve">Source CSV states that the cicada has seven exact scales.</x:t>
        </x:is>
      </x:c>
      <x:c r="I18" s="83" t="n"/>
      <x:c r="J18" s="83" t="n"/>
      <x:c r="K18" s="83" t="n"/>
      <x:c r="L18" s="83" t="n"/>
      <x:c r="M18" s="83" t="n"/>
      <x:c r="N18" s="83" t="n"/>
      <x:c r="O18" s="83" t="n"/>
      <x:c r="P18" s="83" t="n"/>
      <x:c r="Q18" s="234" t="n"/>
      <x:c r="R18" s="234" t="n"/>
      <x:c r="S18" s="234" t="n"/>
      <x:c r="T18" s="234" t="n"/>
      <x:c r="U18" s="234" t="n"/>
      <x:c r="V18" s="234" t="n"/>
      <x:c r="W18" s="234" t="n"/>
      <x:c r="X18" s="234" t="inlineStr">
        <x:is>
          <x:t xml:space="preserve">insect body</x:t>
        </x:is>
      </x:c>
      <x:c r="Y18" s="234" t="n"/>
      <x:c r="Z18" s="234" t="inlineStr">
        <x:is>
          <x:t xml:space="preserve">medium</x:t>
        </x:is>
      </x:c>
      <x:c r="AA18" s="234" t="inlineStr">
        <x:is>
          <x:t xml:space="preserve">CSV_RECORDED_NOT_INDEPENDENTLY_RECOUNTED</x:t>
        </x:is>
      </x:c>
      <x:c r="AB18" s="234" t="inlineStr">
        <x:is>
          <x:t xml:space="preserve">https://github.com/mrroot01011001/Cicada-3301-/blob/main/liber-primus/pages/19.jpg</x:t>
        </x:is>
      </x:c>
      <x:c r="AC18" s="234" t="inlineStr">
        <x:is>
          <x:t xml:space="preserve">https://github.com/mrfentmen/annotated-pages/blob/main/19.jpg</x:t>
        </x:is>
      </x:c>
      <x:c r="AD18" s="234" t="inlineStr">
        <x:is>
          <x:t xml:space="preserve">The scale count is a direct source note, not a count extracted from coordinates.</x:t>
        </x:is>
      </x:c>
      <x:c r="AE18" s="234" t="n"/>
      <x:c r="AF18" s="234" t="n"/>
      <x:c r="AG18" s="234" t="n"/>
      <x:c r="AH18" s="234" t="inlineStr">
        <x:is>
          <x:t xml:space="preserve">single_page</x:t>
        </x:is>
      </x:c>
      <x:c r="AI18" s="234" t="inlineStr">
        <x:is>
          <x:t xml:space="preserve">19.JPG</x:t>
        </x:is>
      </x:c>
      <x:c r="AJ18" s="234" t="inlineStr">
        <x:is>
          <x:t xml:space="preserve">CSV-D003</x:t>
        </x:is>
      </x:c>
      <x:c r="AK18" s="234" t="n">
        <x:v>3</x:v>
      </x:c>
      <x:c r="AL18" s="234" t="inlineStr">
        <x:is>
          <x:t xml:space="preserve">CROSS +CICADA</x:t>
        </x:is>
      </x:c>
      <x:c r="AM18" s="234" t="inlineStr">
        <x:is>
          <x:t xml:space="preserve">6</x:t>
        </x:is>
      </x:c>
      <x:c r="AN18" s="234" t="inlineStr">
        <x:is>
          <x:t xml:space="preserve">IT IS EITHER 6 OR 7 IF WE COUNT THE CICADAS EYE AS A DOT</x:t>
        </x:is>
      </x:c>
      <x:c r="AO18" s="234" t="inlineStr">
        <x:is>
          <x:t xml:space="preserve">2</x:t>
        </x:is>
      </x:c>
      <x:c r="AP18" s="234" t="inlineStr">
        <x:is>
          <x:t xml:space="preserve">180 DEGREE FLIP WITH TRANSLATAION, 
FIRST ONE ON THE TOP RIGHT OF THE PAGE SECOND ONE IS BOTTOME LEFT OF THE PAGE</x:t>
        </x:is>
      </x:c>
      <x:c r="AQ18" s="234" t="inlineStr">
        <x:is>
          <x:t xml:space="preserve">0</x:t>
        </x:is>
      </x:c>
      <x:c r="AR18" s="234" t="inlineStr">
        <x:is>
          <x:t xml:space="preserve">2 CROSSES EACH HAVE 3 DOTS ON THE OUTSIDE AND 3 ON THE INSIDE THERE IS A CICADA WITH A BLACK DOT FOR A EYE AND 7 EXACT SCALES</x:t>
        </x:is>
      </x:c>
      <x:c r="AS18" s="234" t="n"/>
      <x:c r="AT18" s="234" t="inlineStr">
        <x:is>
          <x:t xml:space="preserve">POPULATED_SOURCE_RECORD</x:t>
        </x:is>
      </x:c>
      <x:c r="AU18" s="234" t="inlineStr">
        <x:is>
          <x:t xml:space="preserve">ANNOTATED_IMAGE_AVAILABLE; NEW FEATURE/COUNT NOT INDEPENDENTLY RECOUNTED</x:t>
        </x:is>
      </x:c>
    </x:row>
    <x:row r="19" s="232" customFormat="1" ht="32" customHeight="1">
      <x:c r="A19" s="81" t="n">
        <x:v>20</x:v>
      </x:c>
      <x:c r="B19" s="234" t="inlineStr">
        <x:is>
          <x:t xml:space="preserve">20.jpg</x:t>
        </x:is>
      </x:c>
      <x:c r="C19" s="234" t="inlineStr">
        <x:is>
          <x:t xml:space="preserve">LP020-F01</x:t>
        </x:is>
      </x:c>
      <x:c r="D19" s="234" t="inlineStr">
        <x:is>
          <x:t xml:space="preserve">original artwork</x:t>
        </x:is>
      </x:c>
      <x:c r="E19" s="234" t="n"/>
      <x:c r="F19" s="234" t="n"/>
      <x:c r="G19" s="234" t="inlineStr">
        <x:is>
          <x:t xml:space="preserve">ornamental scroll border</x:t>
        </x:is>
      </x:c>
      <x:c r="H19" s="234" t="inlineStr">
        <x:is>
          <x:t xml:space="preserve">Large curled vine/scroll ornament along the left margin; several curled lobes form a continuous decorative border.</x:t>
        </x:is>
      </x:c>
      <x:c r="I19" s="83" t="n"/>
      <x:c r="J19" s="83" t="n"/>
      <x:c r="K19" s="83" t="n"/>
      <x:c r="L19" s="83" t="n"/>
      <x:c r="M19" s="83" t="n"/>
      <x:c r="N19" s="83" t="n"/>
      <x:c r="O19" s="83" t="n"/>
      <x:c r="P19" s="83" t="n"/>
      <x:c r="Q19" s="234" t="n"/>
      <x:c r="R19" s="234" t="inlineStr">
        <x:is>
          <x:t xml:space="preserve">Approximate counterpart on the right margin</x:t>
        </x:is>
      </x:c>
      <x:c r="S19" s="234" t="n"/>
      <x:c r="T19" s="234" t="n"/>
      <x:c r="U19" s="234" t="n"/>
      <x:c r="V19" s="234" t="n"/>
      <x:c r="W19" s="234" t="n"/>
      <x:c r="X19" s="234" t="inlineStr">
        <x:is>
          <x:t xml:space="preserve">left margin</x:t>
        </x:is>
      </x:c>
      <x:c r="Y19" s="234" t="n"/>
      <x:c r="Z19" s="234" t="inlineStr">
        <x:is>
          <x:t xml:space="preserve">high</x:t>
        </x:is>
      </x:c>
      <x:c r="AA19" s="234" t="inlineStr">
        <x:is>
          <x:t xml:space="preserve">OBSERVED</x:t>
        </x:is>
      </x:c>
      <x:c r="AB19" s="234" t="inlineStr">
        <x:is>
          <x:t xml:space="preserve">https://github.com/mrroot01011001/Cicada-3301-/blob/main/liber-primus/pages/20.jpg</x:t>
        </x:is>
      </x:c>
      <x:c r="AC19" s="234" t="inlineStr">
        <x:is>
          <x:t xml:space="preserve">https://github.com/mrfentmen/annotated-pages/blob/main/20.jpg</x:t>
        </x:is>
      </x:c>
      <x:c r="AD19" s="234" t="inlineStr">
        <x:is>
          <x:t xml:space="preserve">Exact curl count, endpoints, and branch junctions not measured. Tiny peripheral marks require crop review.</x:t>
        </x:is>
      </x:c>
      <x:c r="AE19" s="234" t="n"/>
      <x:c r="AF19" s="234" t="n"/>
      <x:c r="AG19" s="234" t="n"/>
      <x:c r="AH19" s="234" t="inlineStr">
        <x:is>
          <x:t xml:space="preserve">single_page</x:t>
        </x:is>
      </x:c>
      <x:c r="AI19" s="234" t="inlineStr">
        <x:is>
          <x:t xml:space="preserve">20.JPG</x:t>
        </x:is>
      </x:c>
      <x:c r="AJ19" s="234" t="inlineStr">
        <x:is>
          <x:t xml:space="preserve">CSV-D004</x:t>
        </x:is>
      </x:c>
      <x:c r="AK19" s="234" t="n">
        <x:v>4</x:v>
      </x:c>
      <x:c r="AL19" s="234" t="inlineStr">
        <x:is>
          <x:t xml:space="preserve">SPIRALS</x:t>
        </x:is>
      </x:c>
      <x:c r="AM19" s="234" t="inlineStr">
        <x:is>
          <x:t xml:space="preserve">0</x:t>
        </x:is>
      </x:c>
      <x:c r="AN19" s="234" t="inlineStr">
        <x:is>
          <x:t xml:space="preserve">8</x:t>
        </x:is>
      </x:c>
      <x:c r="AO19" s="234" t="inlineStr">
        <x:is>
          <x:t xml:space="preserve">0</x:t>
        </x:is>
      </x:c>
      <x:c r="AP19" s="234" t="inlineStr">
        <x:is>
          <x:t xml:space="preserve">LEFT AND RIGHT OF THE PAGE</x:t>
        </x:is>
      </x:c>
      <x:c r="AQ19" s="234" t="inlineStr">
        <x:is>
          <x:t xml:space="preserve">0</x:t>
        </x:is>
      </x:c>
      <x:c r="AR19" s="234" t="inlineStr">
        <x:is>
          <x:t xml:space="preserve">3 DOTS ON THE OUTSIDE 2ND SPIRAL OF THE PAGE AND 1 DOT ON THE INSIDE THE 3RD SPIRAL BOTHS SIDES OF THE PAGE</x:t>
        </x:is>
      </x:c>
      <x:c r="AS19" s="234" t="n"/>
      <x:c r="AT19" s="234" t="inlineStr">
        <x:is>
          <x:t xml:space="preserve">POPULATED_SOURCE_RECORD</x:t>
        </x:is>
      </x:c>
      <x:c r="AU19" s="234" t="inlineStr">
        <x:is>
          <x:t xml:space="preserve">ANNOTATED_IMAGE_AVAILABLE</x:t>
        </x:is>
      </x:c>
    </x:row>
    <x:row r="20" s="232" customFormat="1" ht="32" customHeight="1">
      <x:c r="A20" s="81" t="n">
        <x:v>20</x:v>
      </x:c>
      <x:c r="B20" s="234" t="inlineStr">
        <x:is>
          <x:t xml:space="preserve">20.jpg</x:t>
        </x:is>
      </x:c>
      <x:c r="C20" s="234" t="inlineStr">
        <x:is>
          <x:t xml:space="preserve">LP020-F02</x:t>
        </x:is>
      </x:c>
      <x:c r="D20" s="234" t="inlineStr">
        <x:is>
          <x:t xml:space="preserve">original artwork</x:t>
        </x:is>
      </x:c>
      <x:c r="E20" s="234" t="n"/>
      <x:c r="F20" s="234" t="n"/>
      <x:c r="G20" s="234" t="inlineStr">
        <x:is>
          <x:t xml:space="preserve">ornamental scroll border</x:t>
        </x:is>
      </x:c>
      <x:c r="H20" s="234" t="inlineStr">
        <x:is>
          <x:t xml:space="preserve">Large curled vine/scroll ornament along the right margin; several curled lobes form a continuous decorative border.</x:t>
        </x:is>
      </x:c>
      <x:c r="I20" s="83" t="n"/>
      <x:c r="J20" s="83" t="n"/>
      <x:c r="K20" s="83" t="n"/>
      <x:c r="L20" s="83" t="n"/>
      <x:c r="M20" s="83" t="n"/>
      <x:c r="N20" s="83" t="n"/>
      <x:c r="O20" s="83" t="n"/>
      <x:c r="P20" s="83" t="n"/>
      <x:c r="Q20" s="234" t="n"/>
      <x:c r="R20" s="234" t="inlineStr">
        <x:is>
          <x:t xml:space="preserve">Approximate counterpart on the left margin</x:t>
        </x:is>
      </x:c>
      <x:c r="S20" s="234" t="n"/>
      <x:c r="T20" s="234" t="n"/>
      <x:c r="U20" s="234" t="n"/>
      <x:c r="V20" s="234" t="n"/>
      <x:c r="W20" s="234" t="n"/>
      <x:c r="X20" s="234" t="inlineStr">
        <x:is>
          <x:t xml:space="preserve">right margin</x:t>
        </x:is>
      </x:c>
      <x:c r="Y20" s="234" t="n"/>
      <x:c r="Z20" s="234" t="inlineStr">
        <x:is>
          <x:t xml:space="preserve">high</x:t>
        </x:is>
      </x:c>
      <x:c r="AA20" s="234" t="inlineStr">
        <x:is>
          <x:t xml:space="preserve">OBSERVED</x:t>
        </x:is>
      </x:c>
      <x:c r="AB20" s="234" t="inlineStr">
        <x:is>
          <x:t xml:space="preserve">https://github.com/mrroot01011001/Cicada-3301-/blob/main/liber-primus/pages/20.jpg</x:t>
        </x:is>
      </x:c>
      <x:c r="AC20" s="234" t="inlineStr">
        <x:is>
          <x:t xml:space="preserve">https://github.com/mrfentmen/annotated-pages/blob/main/20.jpg</x:t>
        </x:is>
      </x:c>
      <x:c r="AD20" s="234" t="inlineStr">
        <x:is>
          <x:t xml:space="preserve">Exact curl count, endpoints, and branch junctions not measured. Tiny peripheral marks require crop review.</x:t>
        </x:is>
      </x:c>
      <x:c r="AE20" s="234" t="n"/>
      <x:c r="AF20" s="234" t="n"/>
      <x:c r="AG20" s="234" t="n"/>
      <x:c r="AH20" s="234" t="inlineStr">
        <x:is>
          <x:t xml:space="preserve">single_page</x:t>
        </x:is>
      </x:c>
      <x:c r="AI20" s="234" t="inlineStr">
        <x:is>
          <x:t xml:space="preserve">20.JPG</x:t>
        </x:is>
      </x:c>
      <x:c r="AJ20" s="234" t="inlineStr">
        <x:is>
          <x:t xml:space="preserve">CSV-D004</x:t>
        </x:is>
      </x:c>
      <x:c r="AK20" s="234" t="n">
        <x:v>4</x:v>
      </x:c>
      <x:c r="AL20" s="234" t="inlineStr">
        <x:is>
          <x:t xml:space="preserve">SPIRALS</x:t>
        </x:is>
      </x:c>
      <x:c r="AM20" s="234" t="inlineStr">
        <x:is>
          <x:t xml:space="preserve">0</x:t>
        </x:is>
      </x:c>
      <x:c r="AN20" s="234" t="inlineStr">
        <x:is>
          <x:t xml:space="preserve">8</x:t>
        </x:is>
      </x:c>
      <x:c r="AO20" s="234" t="inlineStr">
        <x:is>
          <x:t xml:space="preserve">0</x:t>
        </x:is>
      </x:c>
      <x:c r="AP20" s="234" t="inlineStr">
        <x:is>
          <x:t xml:space="preserve">LEFT AND RIGHT OF THE PAGE</x:t>
        </x:is>
      </x:c>
      <x:c r="AQ20" s="234" t="inlineStr">
        <x:is>
          <x:t xml:space="preserve">0</x:t>
        </x:is>
      </x:c>
      <x:c r="AR20" s="234" t="inlineStr">
        <x:is>
          <x:t xml:space="preserve">3 DOTS ON THE OUTSIDE 2ND SPIRAL OF THE PAGE AND 1 DOT ON THE INSIDE THE 3RD SPIRAL BOTHS SIDES OF THE PAGE</x:t>
        </x:is>
      </x:c>
      <x:c r="AS20" s="234" t="n"/>
      <x:c r="AT20" s="234" t="inlineStr">
        <x:is>
          <x:t xml:space="preserve">POPULATED_SOURCE_RECORD</x:t>
        </x:is>
      </x:c>
      <x:c r="AU20" s="234" t="inlineStr">
        <x:is>
          <x:t xml:space="preserve">ANNOTATED_IMAGE_AVAILABLE</x:t>
        </x:is>
      </x:c>
    </x:row>
    <x:row r="21" s="232" customFormat="1" ht="32" customHeight="1">
      <x:c r="A21" s="81" t="n">
        <x:v>20</x:v>
      </x:c>
      <x:c r="B21" s="234" t="inlineStr">
        <x:is>
          <x:t xml:space="preserve">20.jpg</x:t>
        </x:is>
      </x:c>
      <x:c r="C21" s="234" t="inlineStr">
        <x:is>
          <x:t xml:space="preserve">LP020-F03</x:t>
        </x:is>
      </x:c>
      <x:c r="D21" s="234" t="inlineStr">
        <x:is>
          <x:t xml:space="preserve">original artwork</x:t>
        </x:is>
      </x:c>
      <x:c r="E21" s="234" t="inlineStr">
        <x:is>
          <x:t xml:space="preserve">red</x:t>
        </x:is>
      </x:c>
      <x:c r="F21" s="234" t="n"/>
      <x:c r="G21" s="234" t="inlineStr">
        <x:is>
          <x:t xml:space="preserve">oversized red initial rune</x:t>
        </x:is>
      </x:c>
      <x:c r="H21" s="234" t="inlineStr">
        <x:is>
          <x:t xml:space="preserve">Large red angular rune at the beginning of the upper text block.</x:t>
        </x:is>
      </x:c>
      <x:c r="I21" s="83" t="n"/>
      <x:c r="J21" s="83" t="n"/>
      <x:c r="K21" s="83" t="n"/>
      <x:c r="L21" s="83" t="n"/>
      <x:c r="M21" s="83" t="n"/>
      <x:c r="N21" s="83" t="n"/>
      <x:c r="O21" s="83" t="n"/>
      <x:c r="P21" s="83" t="n"/>
      <x:c r="Q21" s="234" t="n"/>
      <x:c r="R21" s="234" t="n"/>
      <x:c r="S21" s="234" t="n"/>
      <x:c r="T21" s="234" t="n"/>
      <x:c r="U21" s="234" t="n"/>
      <x:c r="V21" s="234" t="n"/>
      <x:c r="W21" s="234" t="n"/>
      <x:c r="X21" s="234" t="inlineStr">
        <x:is>
          <x:t xml:space="preserve">upper paragraph start</x:t>
        </x:is>
      </x:c>
      <x:c r="Y21" s="234" t="n"/>
      <x:c r="Z21" s="234" t="inlineStr">
        <x:is>
          <x:t xml:space="preserve">high</x:t>
        </x:is>
      </x:c>
      <x:c r="AA21" s="234" t="inlineStr">
        <x:is>
          <x:t xml:space="preserve">OBSERVED</x:t>
        </x:is>
      </x:c>
      <x:c r="AB21" s="234" t="inlineStr">
        <x:is>
          <x:t xml:space="preserve">https://github.com/mrroot01011001/Cicada-3301-/blob/main/liber-primus/pages/20.jpg</x:t>
        </x:is>
      </x:c>
      <x:c r="AC21" s="234" t="inlineStr">
        <x:is>
          <x:t xml:space="preserve">https://github.com/mrfentmen/annotated-pages/blob/main/20.jpg</x:t>
        </x:is>
      </x:c>
      <x:c r="AD21" s="234" t="inlineStr">
        <x:is>
          <x:t xml:space="preserve">The red symbol is printed page artwork, not annotation markup.</x:t>
        </x:is>
      </x:c>
      <x:c r="AE21" s="234" t="n"/>
      <x:c r="AF21" s="234" t="n"/>
      <x:c r="AG21" s="234" t="n"/>
      <x:c r="AH21" s="234" t="inlineStr">
        <x:is>
          <x:t xml:space="preserve">single_page</x:t>
        </x:is>
      </x:c>
      <x:c r="AI21" s="234" t="inlineStr">
        <x:is>
          <x:t xml:space="preserve">20.JPG</x:t>
        </x:is>
      </x:c>
      <x:c r="AJ21" s="234" t="inlineStr">
        <x:is>
          <x:t xml:space="preserve">CSV-D004</x:t>
        </x:is>
      </x:c>
      <x:c r="AK21" s="234" t="n">
        <x:v>4</x:v>
      </x:c>
      <x:c r="AL21" s="234" t="inlineStr">
        <x:is>
          <x:t xml:space="preserve">SPIRALS</x:t>
        </x:is>
      </x:c>
      <x:c r="AM21" s="234" t="inlineStr">
        <x:is>
          <x:t xml:space="preserve">0</x:t>
        </x:is>
      </x:c>
      <x:c r="AN21" s="234" t="inlineStr">
        <x:is>
          <x:t xml:space="preserve">8</x:t>
        </x:is>
      </x:c>
      <x:c r="AO21" s="234" t="inlineStr">
        <x:is>
          <x:t xml:space="preserve">0</x:t>
        </x:is>
      </x:c>
      <x:c r="AP21" s="234" t="inlineStr">
        <x:is>
          <x:t xml:space="preserve">LEFT AND RIGHT OF THE PAGE</x:t>
        </x:is>
      </x:c>
      <x:c r="AQ21" s="234" t="inlineStr">
        <x:is>
          <x:t xml:space="preserve">0</x:t>
        </x:is>
      </x:c>
      <x:c r="AR21" s="234" t="inlineStr">
        <x:is>
          <x:t xml:space="preserve">3 DOTS ON THE OUTSIDE 2ND SPIRAL OF THE PAGE AND 1 DOT ON THE INSIDE THE 3RD SPIRAL BOTHS SIDES OF THE PAGE</x:t>
        </x:is>
      </x:c>
      <x:c r="AS21" s="234" t="n"/>
      <x:c r="AT21" s="234" t="inlineStr">
        <x:is>
          <x:t xml:space="preserve">POPULATED_SOURCE_RECORD</x:t>
        </x:is>
      </x:c>
      <x:c r="AU21" s="234" t="inlineStr">
        <x:is>
          <x:t xml:space="preserve">ANNOTATED_IMAGE_AVAILABLE</x:t>
        </x:is>
      </x:c>
    </x:row>
    <x:row r="22" s="232" customFormat="1" ht="32" customHeight="1">
      <x:c r="A22" s="81" t="n">
        <x:v>20</x:v>
      </x:c>
      <x:c r="B22" s="234" t="inlineStr">
        <x:is>
          <x:t xml:space="preserve">20.jpg</x:t>
        </x:is>
      </x:c>
      <x:c r="C22" s="234" t="inlineStr">
        <x:is>
          <x:t xml:space="preserve">LP020-F04</x:t>
        </x:is>
      </x:c>
      <x:c r="D22" s="234" t="inlineStr">
        <x:is>
          <x:t xml:space="preserve">original artwork</x:t>
        </x:is>
      </x:c>
      <x:c r="E22" s="234" t="inlineStr">
        <x:is>
          <x:t xml:space="preserve">red</x:t>
        </x:is>
      </x:c>
      <x:c r="F22" s="234" t="n"/>
      <x:c r="G22" s="234" t="inlineStr">
        <x:is>
          <x:t xml:space="preserve">oversized red initial rune</x:t>
        </x:is>
      </x:c>
      <x:c r="H22" s="234" t="inlineStr">
        <x:is>
          <x:t xml:space="preserve">Large red angular rune at the start of a lower separated text block.</x:t>
        </x:is>
      </x:c>
      <x:c r="I22" s="83" t="n"/>
      <x:c r="J22" s="83" t="n"/>
      <x:c r="K22" s="83" t="n"/>
      <x:c r="L22" s="83" t="n"/>
      <x:c r="M22" s="83" t="n"/>
      <x:c r="N22" s="83" t="n"/>
      <x:c r="O22" s="83" t="n"/>
      <x:c r="P22" s="83" t="n"/>
      <x:c r="Q22" s="234" t="n"/>
      <x:c r="R22" s="234" t="n"/>
      <x:c r="S22" s="234" t="n"/>
      <x:c r="T22" s="234" t="n"/>
      <x:c r="U22" s="234" t="n"/>
      <x:c r="V22" s="234" t="n"/>
      <x:c r="W22" s="234" t="n"/>
      <x:c r="X22" s="234" t="inlineStr">
        <x:is>
          <x:t xml:space="preserve">lower paragraph start</x:t>
        </x:is>
      </x:c>
      <x:c r="Y22" s="234" t="n"/>
      <x:c r="Z22" s="234" t="inlineStr">
        <x:is>
          <x:t xml:space="preserve">high</x:t>
        </x:is>
      </x:c>
      <x:c r="AA22" s="234" t="inlineStr">
        <x:is>
          <x:t xml:space="preserve">OBSERVED</x:t>
        </x:is>
      </x:c>
      <x:c r="AB22" s="234" t="inlineStr">
        <x:is>
          <x:t xml:space="preserve">https://github.com/mrroot01011001/Cicada-3301-/blob/main/liber-primus/pages/20.jpg</x:t>
        </x:is>
      </x:c>
      <x:c r="AC22" s="234" t="inlineStr">
        <x:is>
          <x:t xml:space="preserve">https://github.com/mrfentmen/annotated-pages/blob/main/20.jpg</x:t>
        </x:is>
      </x:c>
      <x:c r="AD22" s="234" t="inlineStr">
        <x:is>
          <x:t xml:space="preserve">The red symbol is printed page artwork, not annotation markup.</x:t>
        </x:is>
      </x:c>
      <x:c r="AE22" s="234" t="n"/>
      <x:c r="AF22" s="234" t="n"/>
      <x:c r="AG22" s="234" t="n"/>
      <x:c r="AH22" s="234" t="inlineStr">
        <x:is>
          <x:t xml:space="preserve">single_page</x:t>
        </x:is>
      </x:c>
      <x:c r="AI22" s="234" t="inlineStr">
        <x:is>
          <x:t xml:space="preserve">20.JPG</x:t>
        </x:is>
      </x:c>
      <x:c r="AJ22" s="234" t="inlineStr">
        <x:is>
          <x:t xml:space="preserve">CSV-D004</x:t>
        </x:is>
      </x:c>
      <x:c r="AK22" s="234" t="n">
        <x:v>4</x:v>
      </x:c>
      <x:c r="AL22" s="234" t="inlineStr">
        <x:is>
          <x:t xml:space="preserve">SPIRALS</x:t>
        </x:is>
      </x:c>
      <x:c r="AM22" s="234" t="inlineStr">
        <x:is>
          <x:t xml:space="preserve">0</x:t>
        </x:is>
      </x:c>
      <x:c r="AN22" s="234" t="inlineStr">
        <x:is>
          <x:t xml:space="preserve">8</x:t>
        </x:is>
      </x:c>
      <x:c r="AO22" s="234" t="inlineStr">
        <x:is>
          <x:t xml:space="preserve">0</x:t>
        </x:is>
      </x:c>
      <x:c r="AP22" s="234" t="inlineStr">
        <x:is>
          <x:t xml:space="preserve">LEFT AND RIGHT OF THE PAGE</x:t>
        </x:is>
      </x:c>
      <x:c r="AQ22" s="234" t="inlineStr">
        <x:is>
          <x:t xml:space="preserve">0</x:t>
        </x:is>
      </x:c>
      <x:c r="AR22" s="234" t="inlineStr">
        <x:is>
          <x:t xml:space="preserve">3 DOTS ON THE OUTSIDE 2ND SPIRAL OF THE PAGE AND 1 DOT ON THE INSIDE THE 3RD SPIRAL BOTHS SIDES OF THE PAGE</x:t>
        </x:is>
      </x:c>
      <x:c r="AS22" s="234" t="n"/>
      <x:c r="AT22" s="234" t="inlineStr">
        <x:is>
          <x:t xml:space="preserve">POPULATED_SOURCE_RECORD</x:t>
        </x:is>
      </x:c>
      <x:c r="AU22" s="234" t="inlineStr">
        <x:is>
          <x:t xml:space="preserve">ANNOTATED_IMAGE_AVAILABLE</x:t>
        </x:is>
      </x:c>
    </x:row>
    <x:row r="23" s="232" customFormat="1" ht="32" customHeight="1">
      <x:c r="A23" s="81" t="n">
        <x:v>20</x:v>
      </x:c>
      <x:c r="B23" s="234" t="inlineStr">
        <x:is>
          <x:t xml:space="preserve">20.jpg</x:t>
        </x:is>
      </x:c>
      <x:c r="C23" s="234" t="inlineStr">
        <x:is>
          <x:t xml:space="preserve">LP020-F90</x:t>
        </x:is>
      </x:c>
      <x:c r="D23" s="234" t="inlineStr">
        <x:is>
          <x:t xml:space="preserve">CSV source spreadsheet; feature-level representation</x:t>
        </x:is>
      </x:c>
      <x:c r="E23" s="234" t="n"/>
      <x:c r="F23" s="234" t="n"/>
      <x:c r="G23" s="234" t="inlineStr">
        <x:is>
          <x:t xml:space="preserve">spiral-associated dot pattern (page aggregate)</x:t>
        </x:is>
      </x:c>
      <x:c r="H23" s="234" t="inlineStr">
        <x:is>
          <x:t xml:space="preserve">CSV source records eight dots associated with the spiral ornaments; notes specify three dots outside the second spiral and one inside the third spiral on both sides of the page.</x:t>
        </x:is>
      </x:c>
      <x:c r="I23" s="83" t="n">
        <x:v>8</x:v>
      </x:c>
      <x:c r="J23" s="83" t="n"/>
      <x:c r="K23" s="83" t="n">
        <x:v>8</x:v>
      </x:c>
      <x:c r="L23" s="83" t="n"/>
      <x:c r="M23" s="83" t="n"/>
      <x:c r="N23" s="83" t="n"/>
      <x:c r="O23" s="83" t="n"/>
      <x:c r="P23" s="83" t="n"/>
      <x:c r="Q23" s="234" t="inlineStr">
        <x:is>
          <x:t xml:space="preserve">left and right sides</x:t>
        </x:is>
      </x:c>
      <x:c r="R23" s="234" t="n"/>
      <x:c r="S23" s="234" t="n"/>
      <x:c r="T23" s="234" t="n"/>
      <x:c r="U23" s="234" t="n"/>
      <x:c r="V23" s="234" t="n"/>
      <x:c r="W23" s="234" t="n"/>
      <x:c r="X23" s="234" t="inlineStr">
        <x:is>
          <x:t xml:space="preserve">Around ornamental scroll/spiral border; page 24 five-dot constellation is a separate feature.</x:t>
        </x:is>
      </x:c>
      <x:c r="Y23" s="234" t="n"/>
      <x:c r="Z23" s="234" t="inlineStr">
        <x:is>
          <x:t xml:space="preserve">medium</x:t>
        </x:is>
      </x:c>
      <x:c r="AA23" s="234" t="inlineStr">
        <x:is>
          <x:t xml:space="preserve">CSV_RECORDED_NOT_INDEPENDENTLY_RECOUNTED</x:t>
        </x:is>
      </x:c>
      <x:c r="AB23" s="234" t="inlineStr">
        <x:is>
          <x:t xml:space="preserve">https://github.com/mrroot01011001/Cicada-3301-/blob/main/liber-primus/pages/20.jpg</x:t>
        </x:is>
      </x:c>
      <x:c r="AC23" s="234" t="inlineStr">
        <x:is>
          <x:t xml:space="preserve">https://github.com/mrfentmen/annotated-pages/blob/main/20.jpg</x:t>
        </x:is>
      </x:c>
      <x:c r="AD23" s="234" t="inlineStr">
        <x:is>
          <x:t xml:space="preserve">Count and placement are copied from the CSV. This aggregate must not be merged with the separate five-dot constellation on page 24.</x:t>
        </x:is>
      </x:c>
      <x:c r="AE23" s="234" t="n"/>
      <x:c r="AF23" s="234" t="n"/>
      <x:c r="AG23" s="234" t="n"/>
      <x:c r="AH23" s="234" t="inlineStr">
        <x:is>
          <x:t xml:space="preserve">single_page</x:t>
        </x:is>
      </x:c>
      <x:c r="AI23" s="234" t="inlineStr">
        <x:is>
          <x:t xml:space="preserve">20.JPG</x:t>
        </x:is>
      </x:c>
      <x:c r="AJ23" s="234" t="inlineStr">
        <x:is>
          <x:t xml:space="preserve">CSV-D004</x:t>
        </x:is>
      </x:c>
      <x:c r="AK23" s="234" t="n">
        <x:v>4</x:v>
      </x:c>
      <x:c r="AL23" s="234" t="inlineStr">
        <x:is>
          <x:t xml:space="preserve">SPIRALS</x:t>
        </x:is>
      </x:c>
      <x:c r="AM23" s="234" t="inlineStr">
        <x:is>
          <x:t xml:space="preserve">0</x:t>
        </x:is>
      </x:c>
      <x:c r="AN23" s="234" t="inlineStr">
        <x:is>
          <x:t xml:space="preserve">8</x:t>
        </x:is>
      </x:c>
      <x:c r="AO23" s="234" t="inlineStr">
        <x:is>
          <x:t xml:space="preserve">0</x:t>
        </x:is>
      </x:c>
      <x:c r="AP23" s="234" t="inlineStr">
        <x:is>
          <x:t xml:space="preserve">LEFT AND RIGHT OF THE PAGE</x:t>
        </x:is>
      </x:c>
      <x:c r="AQ23" s="234" t="inlineStr">
        <x:is>
          <x:t xml:space="preserve">0</x:t>
        </x:is>
      </x:c>
      <x:c r="AR23" s="234" t="inlineStr">
        <x:is>
          <x:t xml:space="preserve">3 DOTS ON THE OUTSIDE 2ND SPIRAL OF THE PAGE AND 1 DOT ON THE INSIDE THE 3RD SPIRAL BOTHS SIDES OF THE PAGE</x:t>
        </x:is>
      </x:c>
      <x:c r="AS23" s="234" t="n"/>
      <x:c r="AT23" s="234" t="inlineStr">
        <x:is>
          <x:t xml:space="preserve">POPULATED_SOURCE_RECORD</x:t>
        </x:is>
      </x:c>
      <x:c r="AU23" s="234" t="inlineStr">
        <x:is>
          <x:t xml:space="preserve">ANNOTATED_IMAGE_AVAILABLE; NEW FEATURE/COUNT NOT INDEPENDENTLY RECOUNTED</x:t>
        </x:is>
      </x:c>
    </x:row>
    <x:row r="24" s="232" customFormat="1" ht="32" customHeight="1">
      <x:c r="A24" s="81" t="n">
        <x:v>21</x:v>
      </x:c>
      <x:c r="B24" s="234" t="inlineStr">
        <x:is>
          <x:t xml:space="preserve">21.jpg</x:t>
        </x:is>
      </x:c>
      <x:c r="C24" s="234" t="inlineStr">
        <x:is>
          <x:t xml:space="preserve">LP021-F01</x:t>
        </x:is>
      </x:c>
      <x:c r="D24" s="234" t="inlineStr">
        <x:is>
          <x:t xml:space="preserve">original artwork</x:t>
        </x:is>
      </x:c>
      <x:c r="E24" s="234" t="n"/>
      <x:c r="F24" s="234" t="n"/>
      <x:c r="G24" s="234" t="inlineStr">
        <x:is>
          <x:t xml:space="preserve">ornamental scroll border</x:t>
        </x:is>
      </x:c>
      <x:c r="H24" s="234" t="inlineStr">
        <x:is>
          <x:t xml:space="preserve">Large curled vine/scroll ornament along the left margin; several curled lobes form a continuous decorative border.</x:t>
        </x:is>
      </x:c>
      <x:c r="I24" s="83" t="n"/>
      <x:c r="J24" s="83" t="n"/>
      <x:c r="K24" s="83" t="n"/>
      <x:c r="L24" s="83" t="n"/>
      <x:c r="M24" s="83" t="n"/>
      <x:c r="N24" s="83" t="n"/>
      <x:c r="O24" s="83" t="n"/>
      <x:c r="P24" s="83" t="n"/>
      <x:c r="Q24" s="234" t="n"/>
      <x:c r="R24" s="234" t="inlineStr">
        <x:is>
          <x:t xml:space="preserve">Approximate counterpart on the right margin</x:t>
        </x:is>
      </x:c>
      <x:c r="S24" s="234" t="n"/>
      <x:c r="T24" s="234" t="n"/>
      <x:c r="U24" s="234" t="n"/>
      <x:c r="V24" s="234" t="n"/>
      <x:c r="W24" s="234" t="n"/>
      <x:c r="X24" s="234" t="inlineStr">
        <x:is>
          <x:t xml:space="preserve">left margin</x:t>
        </x:is>
      </x:c>
      <x:c r="Y24" s="234" t="n"/>
      <x:c r="Z24" s="234" t="inlineStr">
        <x:is>
          <x:t xml:space="preserve">high</x:t>
        </x:is>
      </x:c>
      <x:c r="AA24" s="234" t="inlineStr">
        <x:is>
          <x:t xml:space="preserve">OBSERVED</x:t>
        </x:is>
      </x:c>
      <x:c r="AB24" s="234" t="inlineStr">
        <x:is>
          <x:t xml:space="preserve">https://github.com/mrroot01011001/Cicada-3301-/blob/main/liber-primus/pages/21.jpg</x:t>
        </x:is>
      </x:c>
      <x:c r="AC24" s="234" t="inlineStr">
        <x:is>
          <x:t xml:space="preserve">https://github.com/mrfentmen/annotated-pages/blob/main/21.jpg</x:t>
        </x:is>
      </x:c>
      <x:c r="AD24" s="234" t="inlineStr">
        <x:is>
          <x:t xml:space="preserve">Exact curl count, endpoints, and branch junctions not measured. Tiny peripheral marks require crop review.</x:t>
        </x:is>
      </x:c>
      <x:c r="AE24" s="234" t="n"/>
      <x:c r="AF24" s="234" t="n"/>
      <x:c r="AG24" s="234" t="n"/>
      <x:c r="AH24" s="234" t="inlineStr">
        <x:is>
          <x:t xml:space="preserve">single_page</x:t>
        </x:is>
      </x:c>
      <x:c r="AI24" s="234" t="inlineStr">
        <x:is>
          <x:t xml:space="preserve">21.JPG</x:t>
        </x:is>
      </x:c>
      <x:c r="AJ24" s="234" t="inlineStr">
        <x:is>
          <x:t xml:space="preserve">CSV-D005</x:t>
        </x:is>
      </x:c>
      <x:c r="AK24" s="234" t="n">
        <x:v>5</x:v>
      </x:c>
      <x:c r="AL24" s="234" t="inlineStr">
        <x:is>
          <x:t xml:space="preserve">SPIRALS</x:t>
        </x:is>
      </x:c>
      <x:c r="AM24" s="234" t="inlineStr">
        <x:is>
          <x:t xml:space="preserve">0</x:t>
        </x:is>
      </x:c>
      <x:c r="AN24" s="234" t="inlineStr">
        <x:is>
          <x:t xml:space="preserve">8</x:t>
        </x:is>
      </x:c>
      <x:c r="AO24" s="234" t="inlineStr">
        <x:is>
          <x:t xml:space="preserve">0</x:t>
        </x:is>
      </x:c>
      <x:c r="AP24" s="234" t="inlineStr">
        <x:is>
          <x:t xml:space="preserve">LEFT AND RIGHT OF THE PAGE</x:t>
        </x:is>
      </x:c>
      <x:c r="AQ24" s="234" t="inlineStr">
        <x:is>
          <x:t xml:space="preserve">0</x:t>
        </x:is>
      </x:c>
      <x:c r="AR24" s="234" t="inlineStr">
        <x:is>
          <x:t xml:space="preserve">3 DOTS ON THE OUTSIDE 2ND SPIRAL OF THE PAGE AND 1 DOT ON THE INSIDE THE 3RD SPIRAL BOTHS SIDES OF THE PAGE</x:t>
        </x:is>
      </x:c>
      <x:c r="AS24" s="234" t="n"/>
      <x:c r="AT24" s="234" t="inlineStr">
        <x:is>
          <x:t xml:space="preserve">POPULATED_SOURCE_RECORD</x:t>
        </x:is>
      </x:c>
      <x:c r="AU24" s="234" t="inlineStr">
        <x:is>
          <x:t xml:space="preserve">ANNOTATED_IMAGE_AVAILABLE</x:t>
        </x:is>
      </x:c>
    </x:row>
    <x:row r="25" s="232" customFormat="1" ht="32" customHeight="1">
      <x:c r="A25" s="81" t="n">
        <x:v>21</x:v>
      </x:c>
      <x:c r="B25" s="234" t="inlineStr">
        <x:is>
          <x:t xml:space="preserve">21.jpg</x:t>
        </x:is>
      </x:c>
      <x:c r="C25" s="234" t="inlineStr">
        <x:is>
          <x:t xml:space="preserve">LP021-F02</x:t>
        </x:is>
      </x:c>
      <x:c r="D25" s="234" t="inlineStr">
        <x:is>
          <x:t xml:space="preserve">original artwork</x:t>
        </x:is>
      </x:c>
      <x:c r="E25" s="234" t="n"/>
      <x:c r="F25" s="234" t="n"/>
      <x:c r="G25" s="234" t="inlineStr">
        <x:is>
          <x:t xml:space="preserve">ornamental scroll border</x:t>
        </x:is>
      </x:c>
      <x:c r="H25" s="234" t="inlineStr">
        <x:is>
          <x:t xml:space="preserve">Large curled vine/scroll ornament along the right margin; several curled lobes form a continuous decorative border.</x:t>
        </x:is>
      </x:c>
      <x:c r="I25" s="83" t="n"/>
      <x:c r="J25" s="83" t="n"/>
      <x:c r="K25" s="83" t="n"/>
      <x:c r="L25" s="83" t="n"/>
      <x:c r="M25" s="83" t="n"/>
      <x:c r="N25" s="83" t="n"/>
      <x:c r="O25" s="83" t="n"/>
      <x:c r="P25" s="83" t="n"/>
      <x:c r="Q25" s="234" t="n"/>
      <x:c r="R25" s="234" t="inlineStr">
        <x:is>
          <x:t xml:space="preserve">Approximate counterpart on the left margin</x:t>
        </x:is>
      </x:c>
      <x:c r="S25" s="234" t="n"/>
      <x:c r="T25" s="234" t="n"/>
      <x:c r="U25" s="234" t="n"/>
      <x:c r="V25" s="234" t="n"/>
      <x:c r="W25" s="234" t="n"/>
      <x:c r="X25" s="234" t="inlineStr">
        <x:is>
          <x:t xml:space="preserve">right margin</x:t>
        </x:is>
      </x:c>
      <x:c r="Y25" s="234" t="n"/>
      <x:c r="Z25" s="234" t="inlineStr">
        <x:is>
          <x:t xml:space="preserve">high</x:t>
        </x:is>
      </x:c>
      <x:c r="AA25" s="234" t="inlineStr">
        <x:is>
          <x:t xml:space="preserve">OBSERVED</x:t>
        </x:is>
      </x:c>
      <x:c r="AB25" s="234" t="inlineStr">
        <x:is>
          <x:t xml:space="preserve">https://github.com/mrroot01011001/Cicada-3301-/blob/main/liber-primus/pages/21.jpg</x:t>
        </x:is>
      </x:c>
      <x:c r="AC25" s="234" t="inlineStr">
        <x:is>
          <x:t xml:space="preserve">https://github.com/mrfentmen/annotated-pages/blob/main/21.jpg</x:t>
        </x:is>
      </x:c>
      <x:c r="AD25" s="234" t="inlineStr">
        <x:is>
          <x:t xml:space="preserve">Exact curl count, endpoints, and branch junctions not measured. Tiny peripheral marks require crop review.</x:t>
        </x:is>
      </x:c>
      <x:c r="AE25" s="234" t="n"/>
      <x:c r="AF25" s="234" t="n"/>
      <x:c r="AG25" s="234" t="n"/>
      <x:c r="AH25" s="234" t="inlineStr">
        <x:is>
          <x:t xml:space="preserve">single_page</x:t>
        </x:is>
      </x:c>
      <x:c r="AI25" s="234" t="inlineStr">
        <x:is>
          <x:t xml:space="preserve">21.JPG</x:t>
        </x:is>
      </x:c>
      <x:c r="AJ25" s="234" t="inlineStr">
        <x:is>
          <x:t xml:space="preserve">CSV-D005</x:t>
        </x:is>
      </x:c>
      <x:c r="AK25" s="234" t="n">
        <x:v>5</x:v>
      </x:c>
      <x:c r="AL25" s="234" t="inlineStr">
        <x:is>
          <x:t xml:space="preserve">SPIRALS</x:t>
        </x:is>
      </x:c>
      <x:c r="AM25" s="234" t="inlineStr">
        <x:is>
          <x:t xml:space="preserve">0</x:t>
        </x:is>
      </x:c>
      <x:c r="AN25" s="234" t="inlineStr">
        <x:is>
          <x:t xml:space="preserve">8</x:t>
        </x:is>
      </x:c>
      <x:c r="AO25" s="234" t="inlineStr">
        <x:is>
          <x:t xml:space="preserve">0</x:t>
        </x:is>
      </x:c>
      <x:c r="AP25" s="234" t="inlineStr">
        <x:is>
          <x:t xml:space="preserve">LEFT AND RIGHT OF THE PAGE</x:t>
        </x:is>
      </x:c>
      <x:c r="AQ25" s="234" t="inlineStr">
        <x:is>
          <x:t xml:space="preserve">0</x:t>
        </x:is>
      </x:c>
      <x:c r="AR25" s="234" t="inlineStr">
        <x:is>
          <x:t xml:space="preserve">3 DOTS ON THE OUTSIDE 2ND SPIRAL OF THE PAGE AND 1 DOT ON THE INSIDE THE 3RD SPIRAL BOTHS SIDES OF THE PAGE</x:t>
        </x:is>
      </x:c>
      <x:c r="AS25" s="234" t="n"/>
      <x:c r="AT25" s="234" t="inlineStr">
        <x:is>
          <x:t xml:space="preserve">POPULATED_SOURCE_RECORD</x:t>
        </x:is>
      </x:c>
      <x:c r="AU25" s="234" t="inlineStr">
        <x:is>
          <x:t xml:space="preserve">ANNOTATED_IMAGE_AVAILABLE</x:t>
        </x:is>
      </x:c>
    </x:row>
    <x:row r="26" s="232" customFormat="1" ht="32" customHeight="1">
      <x:c r="A26" s="81" t="n">
        <x:v>21</x:v>
      </x:c>
      <x:c r="B26" s="234" t="inlineStr">
        <x:is>
          <x:t xml:space="preserve">21.jpg</x:t>
        </x:is>
      </x:c>
      <x:c r="C26" s="234" t="inlineStr">
        <x:is>
          <x:t xml:space="preserve">LP021-F90</x:t>
        </x:is>
      </x:c>
      <x:c r="D26" s="234" t="inlineStr">
        <x:is>
          <x:t xml:space="preserve">CSV source spreadsheet; feature-level representation</x:t>
        </x:is>
      </x:c>
      <x:c r="E26" s="234" t="n"/>
      <x:c r="F26" s="234" t="n"/>
      <x:c r="G26" s="234" t="inlineStr">
        <x:is>
          <x:t xml:space="preserve">spiral-associated dot pattern (page aggregate)</x:t>
        </x:is>
      </x:c>
      <x:c r="H26" s="234" t="inlineStr">
        <x:is>
          <x:t xml:space="preserve">CSV source records eight dots associated with the spiral ornaments; notes specify three dots outside the second spiral and one inside the third spiral on both sides of the page.</x:t>
        </x:is>
      </x:c>
      <x:c r="I26" s="83" t="n">
        <x:v>8</x:v>
      </x:c>
      <x:c r="J26" s="83" t="n"/>
      <x:c r="K26" s="83" t="n">
        <x:v>8</x:v>
      </x:c>
      <x:c r="L26" s="83" t="n"/>
      <x:c r="M26" s="83" t="n"/>
      <x:c r="N26" s="83" t="n"/>
      <x:c r="O26" s="83" t="n"/>
      <x:c r="P26" s="83" t="n"/>
      <x:c r="Q26" s="234" t="inlineStr">
        <x:is>
          <x:t xml:space="preserve">left and right sides</x:t>
        </x:is>
      </x:c>
      <x:c r="R26" s="234" t="n"/>
      <x:c r="S26" s="234" t="n"/>
      <x:c r="T26" s="234" t="n"/>
      <x:c r="U26" s="234" t="n"/>
      <x:c r="V26" s="234" t="n"/>
      <x:c r="W26" s="234" t="n"/>
      <x:c r="X26" s="234" t="inlineStr">
        <x:is>
          <x:t xml:space="preserve">Around ornamental scroll/spiral border; page 24 five-dot constellation is a separate feature.</x:t>
        </x:is>
      </x:c>
      <x:c r="Y26" s="234" t="n"/>
      <x:c r="Z26" s="234" t="inlineStr">
        <x:is>
          <x:t xml:space="preserve">medium</x:t>
        </x:is>
      </x:c>
      <x:c r="AA26" s="234" t="inlineStr">
        <x:is>
          <x:t xml:space="preserve">CSV_RECORDED_NOT_INDEPENDENTLY_RECOUNTED</x:t>
        </x:is>
      </x:c>
      <x:c r="AB26" s="234" t="inlineStr">
        <x:is>
          <x:t xml:space="preserve">https://github.com/mrroot01011001/Cicada-3301-/blob/main/liber-primus/pages/21.jpg</x:t>
        </x:is>
      </x:c>
      <x:c r="AC26" s="234" t="inlineStr">
        <x:is>
          <x:t xml:space="preserve">https://github.com/mrfentmen/annotated-pages/blob/main/21.jpg</x:t>
        </x:is>
      </x:c>
      <x:c r="AD26" s="234" t="inlineStr">
        <x:is>
          <x:t xml:space="preserve">Count and placement are copied from the CSV. This aggregate must not be merged with the separate five-dot constellation on page 24.</x:t>
        </x:is>
      </x:c>
      <x:c r="AE26" s="234" t="n"/>
      <x:c r="AF26" s="234" t="n"/>
      <x:c r="AG26" s="234" t="n"/>
      <x:c r="AH26" s="234" t="inlineStr">
        <x:is>
          <x:t xml:space="preserve">single_page</x:t>
        </x:is>
      </x:c>
      <x:c r="AI26" s="234" t="inlineStr">
        <x:is>
          <x:t xml:space="preserve">21.JPG</x:t>
        </x:is>
      </x:c>
      <x:c r="AJ26" s="234" t="inlineStr">
        <x:is>
          <x:t xml:space="preserve">CSV-D005</x:t>
        </x:is>
      </x:c>
      <x:c r="AK26" s="234" t="n">
        <x:v>5</x:v>
      </x:c>
      <x:c r="AL26" s="234" t="inlineStr">
        <x:is>
          <x:t xml:space="preserve">SPIRALS</x:t>
        </x:is>
      </x:c>
      <x:c r="AM26" s="234" t="inlineStr">
        <x:is>
          <x:t xml:space="preserve">0</x:t>
        </x:is>
      </x:c>
      <x:c r="AN26" s="234" t="inlineStr">
        <x:is>
          <x:t xml:space="preserve">8</x:t>
        </x:is>
      </x:c>
      <x:c r="AO26" s="234" t="inlineStr">
        <x:is>
          <x:t xml:space="preserve">0</x:t>
        </x:is>
      </x:c>
      <x:c r="AP26" s="234" t="inlineStr">
        <x:is>
          <x:t xml:space="preserve">LEFT AND RIGHT OF THE PAGE</x:t>
        </x:is>
      </x:c>
      <x:c r="AQ26" s="234" t="inlineStr">
        <x:is>
          <x:t xml:space="preserve">0</x:t>
        </x:is>
      </x:c>
      <x:c r="AR26" s="234" t="inlineStr">
        <x:is>
          <x:t xml:space="preserve">3 DOTS ON THE OUTSIDE 2ND SPIRAL OF THE PAGE AND 1 DOT ON THE INSIDE THE 3RD SPIRAL BOTHS SIDES OF THE PAGE</x:t>
        </x:is>
      </x:c>
      <x:c r="AS26" s="234" t="n"/>
      <x:c r="AT26" s="234" t="inlineStr">
        <x:is>
          <x:t xml:space="preserve">POPULATED_SOURCE_RECORD</x:t>
        </x:is>
      </x:c>
      <x:c r="AU26" s="234" t="inlineStr">
        <x:is>
          <x:t xml:space="preserve">ANNOTATED_IMAGE_AVAILABLE; NEW FEATURE/COUNT NOT INDEPENDENTLY RECOUNTED</x:t>
        </x:is>
      </x:c>
    </x:row>
    <x:row r="27" s="232" customFormat="1" ht="32" customHeight="1">
      <x:c r="A27" s="81" t="n">
        <x:v>22</x:v>
      </x:c>
      <x:c r="B27" s="234" t="inlineStr">
        <x:is>
          <x:t xml:space="preserve">22.jpg</x:t>
        </x:is>
      </x:c>
      <x:c r="C27" s="234" t="inlineStr">
        <x:is>
          <x:t xml:space="preserve">LP022-F01</x:t>
        </x:is>
      </x:c>
      <x:c r="D27" s="234" t="inlineStr">
        <x:is>
          <x:t xml:space="preserve">original artwork</x:t>
        </x:is>
      </x:c>
      <x:c r="E27" s="234" t="n"/>
      <x:c r="F27" s="234" t="n"/>
      <x:c r="G27" s="234" t="inlineStr">
        <x:is>
          <x:t xml:space="preserve">ornamental scroll border</x:t>
        </x:is>
      </x:c>
      <x:c r="H27" s="234" t="inlineStr">
        <x:is>
          <x:t xml:space="preserve">Large curled vine/scroll ornament along the left margin; several curled lobes form a continuous decorative border.</x:t>
        </x:is>
      </x:c>
      <x:c r="I27" s="83" t="n"/>
      <x:c r="J27" s="83" t="n"/>
      <x:c r="K27" s="83" t="n"/>
      <x:c r="L27" s="83" t="n"/>
      <x:c r="M27" s="83" t="n"/>
      <x:c r="N27" s="83" t="n"/>
      <x:c r="O27" s="83" t="n"/>
      <x:c r="P27" s="83" t="n"/>
      <x:c r="Q27" s="234" t="n"/>
      <x:c r="R27" s="234" t="inlineStr">
        <x:is>
          <x:t xml:space="preserve">Approximate counterpart on the right margin</x:t>
        </x:is>
      </x:c>
      <x:c r="S27" s="234" t="n"/>
      <x:c r="T27" s="234" t="n"/>
      <x:c r="U27" s="234" t="n"/>
      <x:c r="V27" s="234" t="n"/>
      <x:c r="W27" s="234" t="n"/>
      <x:c r="X27" s="234" t="inlineStr">
        <x:is>
          <x:t xml:space="preserve">left margin</x:t>
        </x:is>
      </x:c>
      <x:c r="Y27" s="234" t="n"/>
      <x:c r="Z27" s="234" t="inlineStr">
        <x:is>
          <x:t xml:space="preserve">high</x:t>
        </x:is>
      </x:c>
      <x:c r="AA27" s="234" t="inlineStr">
        <x:is>
          <x:t xml:space="preserve">OBSERVED</x:t>
        </x:is>
      </x:c>
      <x:c r="AB27" s="234" t="inlineStr">
        <x:is>
          <x:t xml:space="preserve">https://github.com/mrroot01011001/Cicada-3301-/blob/main/liber-primus/pages/22.jpg</x:t>
        </x:is>
      </x:c>
      <x:c r="AC27" s="234" t="inlineStr">
        <x:is>
          <x:t xml:space="preserve">https://github.com/mrfentmen/annotated-pages/blob/main/22.jpg</x:t>
        </x:is>
      </x:c>
      <x:c r="AD27" s="234" t="inlineStr">
        <x:is>
          <x:t xml:space="preserve">Exact curl count, endpoints, and branch junctions not measured. Tiny peripheral marks require crop review.</x:t>
        </x:is>
      </x:c>
      <x:c r="AE27" s="234" t="n"/>
      <x:c r="AF27" s="234" t="n"/>
      <x:c r="AG27" s="234" t="n"/>
      <x:c r="AH27" s="234" t="inlineStr">
        <x:is>
          <x:t xml:space="preserve">single_page</x:t>
        </x:is>
      </x:c>
      <x:c r="AI27" s="234" t="inlineStr">
        <x:is>
          <x:t xml:space="preserve">22.JPG</x:t>
        </x:is>
      </x:c>
      <x:c r="AJ27" s="234" t="inlineStr">
        <x:is>
          <x:t xml:space="preserve">CSV-D006</x:t>
        </x:is>
      </x:c>
      <x:c r="AK27" s="234" t="n">
        <x:v>6</x:v>
      </x:c>
      <x:c r="AL27" s="234" t="inlineStr">
        <x:is>
          <x:t xml:space="preserve">SPIRALS</x:t>
        </x:is>
      </x:c>
      <x:c r="AM27" s="234" t="inlineStr">
        <x:is>
          <x:t xml:space="preserve">0</x:t>
        </x:is>
      </x:c>
      <x:c r="AN27" s="234" t="inlineStr">
        <x:is>
          <x:t xml:space="preserve">8</x:t>
        </x:is>
      </x:c>
      <x:c r="AO27" s="234" t="inlineStr">
        <x:is>
          <x:t xml:space="preserve">0</x:t>
        </x:is>
      </x:c>
      <x:c r="AP27" s="234" t="inlineStr">
        <x:is>
          <x:t xml:space="preserve">LEFT AND RIGHT OF THE PAGE</x:t>
        </x:is>
      </x:c>
      <x:c r="AQ27" s="234" t="inlineStr">
        <x:is>
          <x:t xml:space="preserve">0</x:t>
        </x:is>
      </x:c>
      <x:c r="AR27" s="234" t="inlineStr">
        <x:is>
          <x:t xml:space="preserve">3 DOTS ON THE OUTSIDE 2ND SPIRAL OF THE PAGE AND 1 DOT ON THE INSIDE THE 3RD SPIRAL BOTHS SIDES OF THE PAGE</x:t>
        </x:is>
      </x:c>
      <x:c r="AS27" s="234" t="n"/>
      <x:c r="AT27" s="234" t="inlineStr">
        <x:is>
          <x:t xml:space="preserve">POPULATED_SOURCE_RECORD</x:t>
        </x:is>
      </x:c>
      <x:c r="AU27" s="234" t="inlineStr">
        <x:is>
          <x:t xml:space="preserve">ANNOTATED_IMAGE_AVAILABLE</x:t>
        </x:is>
      </x:c>
    </x:row>
    <x:row r="28" s="232" customFormat="1" ht="32" customHeight="1">
      <x:c r="A28" s="81" t="n">
        <x:v>22</x:v>
      </x:c>
      <x:c r="B28" s="234" t="inlineStr">
        <x:is>
          <x:t xml:space="preserve">22.jpg</x:t>
        </x:is>
      </x:c>
      <x:c r="C28" s="234" t="inlineStr">
        <x:is>
          <x:t xml:space="preserve">LP022-F02</x:t>
        </x:is>
      </x:c>
      <x:c r="D28" s="234" t="inlineStr">
        <x:is>
          <x:t xml:space="preserve">original artwork</x:t>
        </x:is>
      </x:c>
      <x:c r="E28" s="234" t="n"/>
      <x:c r="F28" s="234" t="n"/>
      <x:c r="G28" s="234" t="inlineStr">
        <x:is>
          <x:t xml:space="preserve">ornamental scroll border</x:t>
        </x:is>
      </x:c>
      <x:c r="H28" s="234" t="inlineStr">
        <x:is>
          <x:t xml:space="preserve">Large curled vine/scroll ornament along the right margin; several curled lobes form a continuous decorative border.</x:t>
        </x:is>
      </x:c>
      <x:c r="I28" s="83" t="n"/>
      <x:c r="J28" s="83" t="n"/>
      <x:c r="K28" s="83" t="n"/>
      <x:c r="L28" s="83" t="n"/>
      <x:c r="M28" s="83" t="n"/>
      <x:c r="N28" s="83" t="n"/>
      <x:c r="O28" s="83" t="n"/>
      <x:c r="P28" s="83" t="n"/>
      <x:c r="Q28" s="234" t="n"/>
      <x:c r="R28" s="234" t="inlineStr">
        <x:is>
          <x:t xml:space="preserve">Approximate counterpart on the left margin</x:t>
        </x:is>
      </x:c>
      <x:c r="S28" s="234" t="n"/>
      <x:c r="T28" s="234" t="n"/>
      <x:c r="U28" s="234" t="n"/>
      <x:c r="V28" s="234" t="n"/>
      <x:c r="W28" s="234" t="n"/>
      <x:c r="X28" s="234" t="inlineStr">
        <x:is>
          <x:t xml:space="preserve">right margin</x:t>
        </x:is>
      </x:c>
      <x:c r="Y28" s="234" t="n"/>
      <x:c r="Z28" s="234" t="inlineStr">
        <x:is>
          <x:t xml:space="preserve">high</x:t>
        </x:is>
      </x:c>
      <x:c r="AA28" s="234" t="inlineStr">
        <x:is>
          <x:t xml:space="preserve">OBSERVED</x:t>
        </x:is>
      </x:c>
      <x:c r="AB28" s="234" t="inlineStr">
        <x:is>
          <x:t xml:space="preserve">https://github.com/mrroot01011001/Cicada-3301-/blob/main/liber-primus/pages/22.jpg</x:t>
        </x:is>
      </x:c>
      <x:c r="AC28" s="234" t="inlineStr">
        <x:is>
          <x:t xml:space="preserve">https://github.com/mrfentmen/annotated-pages/blob/main/22.jpg</x:t>
        </x:is>
      </x:c>
      <x:c r="AD28" s="234" t="inlineStr">
        <x:is>
          <x:t xml:space="preserve">Exact curl count, endpoints, and branch junctions not measured. Tiny peripheral marks require crop review.</x:t>
        </x:is>
      </x:c>
      <x:c r="AE28" s="234" t="n"/>
      <x:c r="AF28" s="234" t="n"/>
      <x:c r="AG28" s="234" t="n"/>
      <x:c r="AH28" s="234" t="inlineStr">
        <x:is>
          <x:t xml:space="preserve">single_page</x:t>
        </x:is>
      </x:c>
      <x:c r="AI28" s="234" t="inlineStr">
        <x:is>
          <x:t xml:space="preserve">22.JPG</x:t>
        </x:is>
      </x:c>
      <x:c r="AJ28" s="234" t="inlineStr">
        <x:is>
          <x:t xml:space="preserve">CSV-D006</x:t>
        </x:is>
      </x:c>
      <x:c r="AK28" s="234" t="n">
        <x:v>6</x:v>
      </x:c>
      <x:c r="AL28" s="234" t="inlineStr">
        <x:is>
          <x:t xml:space="preserve">SPIRALS</x:t>
        </x:is>
      </x:c>
      <x:c r="AM28" s="234" t="inlineStr">
        <x:is>
          <x:t xml:space="preserve">0</x:t>
        </x:is>
      </x:c>
      <x:c r="AN28" s="234" t="inlineStr">
        <x:is>
          <x:t xml:space="preserve">8</x:t>
        </x:is>
      </x:c>
      <x:c r="AO28" s="234" t="inlineStr">
        <x:is>
          <x:t xml:space="preserve">0</x:t>
        </x:is>
      </x:c>
      <x:c r="AP28" s="234" t="inlineStr">
        <x:is>
          <x:t xml:space="preserve">LEFT AND RIGHT OF THE PAGE</x:t>
        </x:is>
      </x:c>
      <x:c r="AQ28" s="234" t="inlineStr">
        <x:is>
          <x:t xml:space="preserve">0</x:t>
        </x:is>
      </x:c>
      <x:c r="AR28" s="234" t="inlineStr">
        <x:is>
          <x:t xml:space="preserve">3 DOTS ON THE OUTSIDE 2ND SPIRAL OF THE PAGE AND 1 DOT ON THE INSIDE THE 3RD SPIRAL BOTHS SIDES OF THE PAGE</x:t>
        </x:is>
      </x:c>
      <x:c r="AS28" s="234" t="n"/>
      <x:c r="AT28" s="234" t="inlineStr">
        <x:is>
          <x:t xml:space="preserve">POPULATED_SOURCE_RECORD</x:t>
        </x:is>
      </x:c>
      <x:c r="AU28" s="234" t="inlineStr">
        <x:is>
          <x:t xml:space="preserve">ANNOTATED_IMAGE_AVAILABLE</x:t>
        </x:is>
      </x:c>
    </x:row>
    <x:row r="29" s="232" customFormat="1" ht="32" customHeight="1">
      <x:c r="A29" s="81" t="n">
        <x:v>22</x:v>
      </x:c>
      <x:c r="B29" s="234" t="inlineStr">
        <x:is>
          <x:t xml:space="preserve">22.jpg</x:t>
        </x:is>
      </x:c>
      <x:c r="C29" s="234" t="inlineStr">
        <x:is>
          <x:t xml:space="preserve">LP022-F90</x:t>
        </x:is>
      </x:c>
      <x:c r="D29" s="234" t="inlineStr">
        <x:is>
          <x:t xml:space="preserve">CSV source spreadsheet; feature-level representation</x:t>
        </x:is>
      </x:c>
      <x:c r="E29" s="234" t="n"/>
      <x:c r="F29" s="234" t="n"/>
      <x:c r="G29" s="234" t="inlineStr">
        <x:is>
          <x:t xml:space="preserve">spiral-associated dot pattern (page aggregate)</x:t>
        </x:is>
      </x:c>
      <x:c r="H29" s="234" t="inlineStr">
        <x:is>
          <x:t xml:space="preserve">CSV source records eight dots associated with the spiral ornaments; notes specify three dots outside the second spiral and one inside the third spiral on both sides of the page.</x:t>
        </x:is>
      </x:c>
      <x:c r="I29" s="83" t="n">
        <x:v>8</x:v>
      </x:c>
      <x:c r="J29" s="83" t="n"/>
      <x:c r="K29" s="83" t="n">
        <x:v>8</x:v>
      </x:c>
      <x:c r="L29" s="83" t="n"/>
      <x:c r="M29" s="83" t="n"/>
      <x:c r="N29" s="83" t="n"/>
      <x:c r="O29" s="83" t="n"/>
      <x:c r="P29" s="83" t="n"/>
      <x:c r="Q29" s="234" t="inlineStr">
        <x:is>
          <x:t xml:space="preserve">left and right sides</x:t>
        </x:is>
      </x:c>
      <x:c r="R29" s="234" t="n"/>
      <x:c r="S29" s="234" t="n"/>
      <x:c r="T29" s="234" t="n"/>
      <x:c r="U29" s="234" t="n"/>
      <x:c r="V29" s="234" t="n"/>
      <x:c r="W29" s="234" t="n"/>
      <x:c r="X29" s="234" t="inlineStr">
        <x:is>
          <x:t xml:space="preserve">Around ornamental scroll/spiral border; page 24 five-dot constellation is a separate feature.</x:t>
        </x:is>
      </x:c>
      <x:c r="Y29" s="234" t="n"/>
      <x:c r="Z29" s="234" t="inlineStr">
        <x:is>
          <x:t xml:space="preserve">medium</x:t>
        </x:is>
      </x:c>
      <x:c r="AA29" s="234" t="inlineStr">
        <x:is>
          <x:t xml:space="preserve">CSV_RECORDED_NOT_INDEPENDENTLY_RECOUNTED</x:t>
        </x:is>
      </x:c>
      <x:c r="AB29" s="234" t="inlineStr">
        <x:is>
          <x:t xml:space="preserve">https://github.com/mrroot01011001/Cicada-3301-/blob/main/liber-primus/pages/22.jpg</x:t>
        </x:is>
      </x:c>
      <x:c r="AC29" s="234" t="inlineStr">
        <x:is>
          <x:t xml:space="preserve">https://github.com/mrfentmen/annotated-pages/blob/main/22.jpg</x:t>
        </x:is>
      </x:c>
      <x:c r="AD29" s="234" t="inlineStr">
        <x:is>
          <x:t xml:space="preserve">Count and placement are copied from the CSV. This aggregate must not be merged with the separate five-dot constellation on page 24.</x:t>
        </x:is>
      </x:c>
      <x:c r="AE29" s="234" t="n"/>
      <x:c r="AF29" s="234" t="n"/>
      <x:c r="AG29" s="234" t="n"/>
      <x:c r="AH29" s="234" t="inlineStr">
        <x:is>
          <x:t xml:space="preserve">single_page</x:t>
        </x:is>
      </x:c>
      <x:c r="AI29" s="234" t="inlineStr">
        <x:is>
          <x:t xml:space="preserve">22.JPG</x:t>
        </x:is>
      </x:c>
      <x:c r="AJ29" s="234" t="inlineStr">
        <x:is>
          <x:t xml:space="preserve">CSV-D006</x:t>
        </x:is>
      </x:c>
      <x:c r="AK29" s="234" t="n">
        <x:v>6</x:v>
      </x:c>
      <x:c r="AL29" s="234" t="inlineStr">
        <x:is>
          <x:t xml:space="preserve">SPIRALS</x:t>
        </x:is>
      </x:c>
      <x:c r="AM29" s="234" t="inlineStr">
        <x:is>
          <x:t xml:space="preserve">0</x:t>
        </x:is>
      </x:c>
      <x:c r="AN29" s="234" t="inlineStr">
        <x:is>
          <x:t xml:space="preserve">8</x:t>
        </x:is>
      </x:c>
      <x:c r="AO29" s="234" t="inlineStr">
        <x:is>
          <x:t xml:space="preserve">0</x:t>
        </x:is>
      </x:c>
      <x:c r="AP29" s="234" t="inlineStr">
        <x:is>
          <x:t xml:space="preserve">LEFT AND RIGHT OF THE PAGE</x:t>
        </x:is>
      </x:c>
      <x:c r="AQ29" s="234" t="inlineStr">
        <x:is>
          <x:t xml:space="preserve">0</x:t>
        </x:is>
      </x:c>
      <x:c r="AR29" s="234" t="inlineStr">
        <x:is>
          <x:t xml:space="preserve">3 DOTS ON THE OUTSIDE 2ND SPIRAL OF THE PAGE AND 1 DOT ON THE INSIDE THE 3RD SPIRAL BOTHS SIDES OF THE PAGE</x:t>
        </x:is>
      </x:c>
      <x:c r="AS29" s="234" t="n"/>
      <x:c r="AT29" s="234" t="inlineStr">
        <x:is>
          <x:t xml:space="preserve">POPULATED_SOURCE_RECORD</x:t>
        </x:is>
      </x:c>
      <x:c r="AU29" s="234" t="inlineStr">
        <x:is>
          <x:t xml:space="preserve">ANNOTATED_IMAGE_AVAILABLE; NEW FEATURE/COUNT NOT INDEPENDENTLY RECOUNTED</x:t>
        </x:is>
      </x:c>
    </x:row>
    <x:row r="30" s="232" customFormat="1" ht="32" customHeight="1">
      <x:c r="A30" s="81" t="n">
        <x:v>23</x:v>
      </x:c>
      <x:c r="B30" s="234" t="n"/>
      <x:c r="C30" s="234" t="inlineStr">
        <x:is>
          <x:t xml:space="preserve">LP023-F01</x:t>
        </x:is>
      </x:c>
      <x:c r="D30" s="234" t="inlineStr">
        <x:is>
          <x:t xml:space="preserve">CSV source spreadsheet; feature-level representation</x:t>
        </x:is>
      </x:c>
      <x:c r="E30" s="234" t="n"/>
      <x:c r="F30" s="234" t="n"/>
      <x:c r="G30" s="234" t="inlineStr">
        <x:is>
          <x:t xml:space="preserve">left ornamental spiral/scroll</x:t>
        </x:is>
      </x:c>
      <x:c r="H30" s="234" t="inlineStr">
        <x:is>
          <x:t xml:space="preserve">Source CSV identifies spiral ornaments on both sides of the page; left-side ornament represented separately for feature-level analysis.</x:t>
        </x:is>
      </x:c>
      <x:c r="I30" s="83" t="n"/>
      <x:c r="J30" s="83" t="n"/>
      <x:c r="K30" s="83" t="n"/>
      <x:c r="L30" s="83" t="n"/>
      <x:c r="M30" s="83" t="n"/>
      <x:c r="N30" s="83" t="n"/>
      <x:c r="O30" s="83" t="n"/>
      <x:c r="P30" s="83" t="n"/>
      <x:c r="Q30" s="234" t="inlineStr">
        <x:is>
          <x:t xml:space="preserve">left side of page</x:t>
        </x:is>
      </x:c>
      <x:c r="R30" s="234" t="n"/>
      <x:c r="S30" s="234" t="n"/>
      <x:c r="T30" s="234" t="n"/>
      <x:c r="U30" s="234" t="n"/>
      <x:c r="V30" s="234" t="n"/>
      <x:c r="W30" s="234" t="n"/>
      <x:c r="X30" s="234" t="inlineStr">
        <x:is>
          <x:t xml:space="preserve">left margin</x:t>
        </x:is>
      </x:c>
      <x:c r="Y30" s="234" t="n"/>
      <x:c r="Z30" s="234" t="inlineStr">
        <x:is>
          <x:t xml:space="preserve">medium</x:t>
        </x:is>
      </x:c>
      <x:c r="AA30" s="234" t="inlineStr">
        <x:is>
          <x:t xml:space="preserve">CSV_RECORDED_NOT_IMAGE_VERIFIED</x:t>
        </x:is>
      </x:c>
      <x:c r="AB30" s="234" t="inlineStr">
        <x:is>
          <x:t xml:space="preserve">https://github.com/mrroot01011001/Cicada-3301-/tree/main/liber-primus/pages</x:t>
        </x:is>
      </x:c>
      <x:c r="AC30" s="234" t="n"/>
      <x:c r="AD30" s="234" t="inlineStr">
        <x:is>
          <x:t xml:space="preserve">Source CSV describes the motif; page 23 annotated image is absent from annotated-pages repository.</x:t>
        </x:is>
      </x:c>
      <x:c r="AE30" s="234" t="n"/>
      <x:c r="AF30" s="234" t="n"/>
      <x:c r="AG30" s="234" t="n"/>
      <x:c r="AH30" s="234" t="inlineStr">
        <x:is>
          <x:t xml:space="preserve">single_page</x:t>
        </x:is>
      </x:c>
      <x:c r="AI30" s="234" t="inlineStr">
        <x:is>
          <x:t xml:space="preserve">23.JPG</x:t>
        </x:is>
      </x:c>
      <x:c r="AJ30" s="234" t="inlineStr">
        <x:is>
          <x:t xml:space="preserve">CSV-D007</x:t>
        </x:is>
      </x:c>
      <x:c r="AK30" s="234" t="n">
        <x:v>7</x:v>
      </x:c>
      <x:c r="AL30" s="234" t="inlineStr">
        <x:is>
          <x:t xml:space="preserve">SPIRALS</x:t>
        </x:is>
      </x:c>
      <x:c r="AM30" s="234" t="inlineStr">
        <x:is>
          <x:t xml:space="preserve">0</x:t>
        </x:is>
      </x:c>
      <x:c r="AN30" s="234" t="inlineStr">
        <x:is>
          <x:t xml:space="preserve">8</x:t>
        </x:is>
      </x:c>
      <x:c r="AO30" s="234" t="inlineStr">
        <x:is>
          <x:t xml:space="preserve">0</x:t>
        </x:is>
      </x:c>
      <x:c r="AP30" s="234" t="inlineStr">
        <x:is>
          <x:t xml:space="preserve">LEFT AND RIGHT OF THE PAGE</x:t>
        </x:is>
      </x:c>
      <x:c r="AQ30" s="234" t="inlineStr">
        <x:is>
          <x:t xml:space="preserve">0</x:t>
        </x:is>
      </x:c>
      <x:c r="AR30" s="234" t="inlineStr">
        <x:is>
          <x:t xml:space="preserve">3 DOTS ON THE OUTSIDE 2ND SPIRAL OF THE PAGE AND 1 DOT ON THE INSIDE THE 3RD SPIRAL BOTHS SIDES OF THE PAGE</x:t>
        </x:is>
      </x:c>
      <x:c r="AS30" s="234" t="n"/>
      <x:c r="AT30" s="234" t="inlineStr">
        <x:is>
          <x:t xml:space="preserve">POPULATED_SOURCE_RECORD</x:t>
        </x:is>
      </x:c>
      <x:c r="AU30" s="234" t="inlineStr">
        <x:is>
          <x:t xml:space="preserve">NO_ANNOTATED_IMAGE_IN_ANNOTATED_REPOSITORY</x:t>
        </x:is>
      </x:c>
    </x:row>
    <x:row r="31" s="232" customFormat="1" ht="32" customHeight="1">
      <x:c r="A31" s="81" t="n">
        <x:v>23</x:v>
      </x:c>
      <x:c r="B31" s="234" t="n"/>
      <x:c r="C31" s="234" t="inlineStr">
        <x:is>
          <x:t xml:space="preserve">LP023-F02</x:t>
        </x:is>
      </x:c>
      <x:c r="D31" s="234" t="inlineStr">
        <x:is>
          <x:t xml:space="preserve">CSV source spreadsheet; feature-level representation</x:t>
        </x:is>
      </x:c>
      <x:c r="E31" s="234" t="n"/>
      <x:c r="F31" s="234" t="n"/>
      <x:c r="G31" s="234" t="inlineStr">
        <x:is>
          <x:t xml:space="preserve">right ornamental spiral/scroll</x:t>
        </x:is>
      </x:c>
      <x:c r="H31" s="234" t="inlineStr">
        <x:is>
          <x:t xml:space="preserve">Source CSV identifies spiral ornaments on both sides of the page; right-side ornament represented separately for feature-level analysis.</x:t>
        </x:is>
      </x:c>
      <x:c r="I31" s="83" t="n"/>
      <x:c r="J31" s="83" t="n"/>
      <x:c r="K31" s="83" t="n"/>
      <x:c r="L31" s="83" t="n"/>
      <x:c r="M31" s="83" t="n"/>
      <x:c r="N31" s="83" t="n"/>
      <x:c r="O31" s="83" t="n"/>
      <x:c r="P31" s="83" t="n"/>
      <x:c r="Q31" s="234" t="inlineStr">
        <x:is>
          <x:t xml:space="preserve">right side of page</x:t>
        </x:is>
      </x:c>
      <x:c r="R31" s="234" t="n"/>
      <x:c r="S31" s="234" t="n"/>
      <x:c r="T31" s="234" t="n"/>
      <x:c r="U31" s="234" t="n"/>
      <x:c r="V31" s="234" t="n"/>
      <x:c r="W31" s="234" t="n"/>
      <x:c r="X31" s="234" t="inlineStr">
        <x:is>
          <x:t xml:space="preserve">right margin</x:t>
        </x:is>
      </x:c>
      <x:c r="Y31" s="234" t="n"/>
      <x:c r="Z31" s="234" t="inlineStr">
        <x:is>
          <x:t xml:space="preserve">medium</x:t>
        </x:is>
      </x:c>
      <x:c r="AA31" s="234" t="inlineStr">
        <x:is>
          <x:t xml:space="preserve">CSV_RECORDED_NOT_IMAGE_VERIFIED</x:t>
        </x:is>
      </x:c>
      <x:c r="AB31" s="234" t="inlineStr">
        <x:is>
          <x:t xml:space="preserve">https://github.com/mrroot01011001/Cicada-3301-/tree/main/liber-primus/pages</x:t>
        </x:is>
      </x:c>
      <x:c r="AC31" s="234" t="n"/>
      <x:c r="AD31" s="234" t="inlineStr">
        <x:is>
          <x:t xml:space="preserve">Source CSV describes the motif; page 23 annotated image is absent from annotated-pages repository.</x:t>
        </x:is>
      </x:c>
      <x:c r="AE31" s="234" t="n"/>
      <x:c r="AF31" s="234" t="n"/>
      <x:c r="AG31" s="234" t="n"/>
      <x:c r="AH31" s="234" t="inlineStr">
        <x:is>
          <x:t xml:space="preserve">single_page</x:t>
        </x:is>
      </x:c>
      <x:c r="AI31" s="234" t="inlineStr">
        <x:is>
          <x:t xml:space="preserve">23.JPG</x:t>
        </x:is>
      </x:c>
      <x:c r="AJ31" s="234" t="inlineStr">
        <x:is>
          <x:t xml:space="preserve">CSV-D007</x:t>
        </x:is>
      </x:c>
      <x:c r="AK31" s="234" t="n">
        <x:v>7</x:v>
      </x:c>
      <x:c r="AL31" s="234" t="inlineStr">
        <x:is>
          <x:t xml:space="preserve">SPIRALS</x:t>
        </x:is>
      </x:c>
      <x:c r="AM31" s="234" t="inlineStr">
        <x:is>
          <x:t xml:space="preserve">0</x:t>
        </x:is>
      </x:c>
      <x:c r="AN31" s="234" t="inlineStr">
        <x:is>
          <x:t xml:space="preserve">8</x:t>
        </x:is>
      </x:c>
      <x:c r="AO31" s="234" t="inlineStr">
        <x:is>
          <x:t xml:space="preserve">0</x:t>
        </x:is>
      </x:c>
      <x:c r="AP31" s="234" t="inlineStr">
        <x:is>
          <x:t xml:space="preserve">LEFT AND RIGHT OF THE PAGE</x:t>
        </x:is>
      </x:c>
      <x:c r="AQ31" s="234" t="inlineStr">
        <x:is>
          <x:t xml:space="preserve">0</x:t>
        </x:is>
      </x:c>
      <x:c r="AR31" s="234" t="inlineStr">
        <x:is>
          <x:t xml:space="preserve">3 DOTS ON THE OUTSIDE 2ND SPIRAL OF THE PAGE AND 1 DOT ON THE INSIDE THE 3RD SPIRAL BOTHS SIDES OF THE PAGE</x:t>
        </x:is>
      </x:c>
      <x:c r="AS31" s="234" t="n"/>
      <x:c r="AT31" s="234" t="inlineStr">
        <x:is>
          <x:t xml:space="preserve">POPULATED_SOURCE_RECORD</x:t>
        </x:is>
      </x:c>
      <x:c r="AU31" s="234" t="inlineStr">
        <x:is>
          <x:t xml:space="preserve">NO_ANNOTATED_IMAGE_IN_ANNOTATED_REPOSITORY</x:t>
        </x:is>
      </x:c>
    </x:row>
    <x:row r="32" s="232" customFormat="1" ht="32" customHeight="1">
      <x:c r="A32" s="81" t="n">
        <x:v>23</x:v>
      </x:c>
      <x:c r="B32" s="234" t="n"/>
      <x:c r="C32" s="234" t="inlineStr">
        <x:is>
          <x:t xml:space="preserve">LP023-F90</x:t>
        </x:is>
      </x:c>
      <x:c r="D32" s="234" t="inlineStr">
        <x:is>
          <x:t xml:space="preserve">CSV source spreadsheet; feature-level representation</x:t>
        </x:is>
      </x:c>
      <x:c r="E32" s="234" t="n"/>
      <x:c r="F32" s="234" t="n"/>
      <x:c r="G32" s="234" t="inlineStr">
        <x:is>
          <x:t xml:space="preserve">spiral-associated dot pattern (page aggregate)</x:t>
        </x:is>
      </x:c>
      <x:c r="H32" s="234" t="inlineStr">
        <x:is>
          <x:t xml:space="preserve">CSV source records eight dots associated with the spiral ornaments; notes specify three dots outside the second spiral and one inside the third spiral on both sides of the page.</x:t>
        </x:is>
      </x:c>
      <x:c r="I32" s="83" t="n">
        <x:v>8</x:v>
      </x:c>
      <x:c r="J32" s="83" t="n"/>
      <x:c r="K32" s="83" t="n">
        <x:v>8</x:v>
      </x:c>
      <x:c r="L32" s="83" t="n"/>
      <x:c r="M32" s="83" t="n"/>
      <x:c r="N32" s="83" t="n"/>
      <x:c r="O32" s="83" t="n"/>
      <x:c r="P32" s="83" t="n"/>
      <x:c r="Q32" s="234" t="inlineStr">
        <x:is>
          <x:t xml:space="preserve">left and right sides</x:t>
        </x:is>
      </x:c>
      <x:c r="R32" s="234" t="n"/>
      <x:c r="S32" s="234" t="n"/>
      <x:c r="T32" s="234" t="n"/>
      <x:c r="U32" s="234" t="n"/>
      <x:c r="V32" s="234" t="n"/>
      <x:c r="W32" s="234" t="n"/>
      <x:c r="X32" s="234" t="inlineStr">
        <x:is>
          <x:t xml:space="preserve">Around ornamental scroll/spiral border; page 24 five-dot constellation is a separate feature.</x:t>
        </x:is>
      </x:c>
      <x:c r="Y32" s="234" t="n"/>
      <x:c r="Z32" s="234" t="inlineStr">
        <x:is>
          <x:t xml:space="preserve">medium</x:t>
        </x:is>
      </x:c>
      <x:c r="AA32" s="234" t="inlineStr">
        <x:is>
          <x:t xml:space="preserve">CSV_RECORDED_NOT_INDEPENDENTLY_RECOUNTED</x:t>
        </x:is>
      </x:c>
      <x:c r="AB32" s="234" t="inlineStr">
        <x:is>
          <x:t xml:space="preserve">https://github.com/mrroot01011001/Cicada-3301-/tree/main/liber-primus/pages</x:t>
        </x:is>
      </x:c>
      <x:c r="AC32" s="234" t="n"/>
      <x:c r="AD32" s="234" t="inlineStr">
        <x:is>
          <x:t xml:space="preserve">Count and placement are copied from the CSV. This aggregate must not be merged with the separate five-dot constellation on page 24.</x:t>
        </x:is>
      </x:c>
      <x:c r="AE32" s="234" t="n"/>
      <x:c r="AF32" s="234" t="n"/>
      <x:c r="AG32" s="234" t="n"/>
      <x:c r="AH32" s="234" t="inlineStr">
        <x:is>
          <x:t xml:space="preserve">single_page</x:t>
        </x:is>
      </x:c>
      <x:c r="AI32" s="234" t="inlineStr">
        <x:is>
          <x:t xml:space="preserve">23.JPG</x:t>
        </x:is>
      </x:c>
      <x:c r="AJ32" s="234" t="inlineStr">
        <x:is>
          <x:t xml:space="preserve">CSV-D007</x:t>
        </x:is>
      </x:c>
      <x:c r="AK32" s="234" t="n">
        <x:v>7</x:v>
      </x:c>
      <x:c r="AL32" s="234" t="inlineStr">
        <x:is>
          <x:t xml:space="preserve">SPIRALS</x:t>
        </x:is>
      </x:c>
      <x:c r="AM32" s="234" t="inlineStr">
        <x:is>
          <x:t xml:space="preserve">0</x:t>
        </x:is>
      </x:c>
      <x:c r="AN32" s="234" t="inlineStr">
        <x:is>
          <x:t xml:space="preserve">8</x:t>
        </x:is>
      </x:c>
      <x:c r="AO32" s="234" t="inlineStr">
        <x:is>
          <x:t xml:space="preserve">0</x:t>
        </x:is>
      </x:c>
      <x:c r="AP32" s="234" t="inlineStr">
        <x:is>
          <x:t xml:space="preserve">LEFT AND RIGHT OF THE PAGE</x:t>
        </x:is>
      </x:c>
      <x:c r="AQ32" s="234" t="inlineStr">
        <x:is>
          <x:t xml:space="preserve">0</x:t>
        </x:is>
      </x:c>
      <x:c r="AR32" s="234" t="inlineStr">
        <x:is>
          <x:t xml:space="preserve">3 DOTS ON THE OUTSIDE 2ND SPIRAL OF THE PAGE AND 1 DOT ON THE INSIDE THE 3RD SPIRAL BOTHS SIDES OF THE PAGE</x:t>
        </x:is>
      </x:c>
      <x:c r="AS32" s="234" t="n"/>
      <x:c r="AT32" s="234" t="inlineStr">
        <x:is>
          <x:t xml:space="preserve">POPULATED_SOURCE_RECORD</x:t>
        </x:is>
      </x:c>
      <x:c r="AU32" s="234" t="inlineStr">
        <x:is>
          <x:t xml:space="preserve">NO_ANNOTATED_IMAGE_IN_ANNOTATED_REPOSITORY</x:t>
        </x:is>
      </x:c>
    </x:row>
    <x:row r="33" s="232" customFormat="1" ht="32" customHeight="1">
      <x:c r="A33" s="81" t="n">
        <x:v>24</x:v>
      </x:c>
      <x:c r="B33" s="234" t="inlineStr">
        <x:is>
          <x:t xml:space="preserve">24.jpg</x:t>
        </x:is>
      </x:c>
      <x:c r="C33" s="234" t="inlineStr">
        <x:is>
          <x:t xml:space="preserve">LP024-F01</x:t>
        </x:is>
      </x:c>
      <x:c r="D33" s="234" t="inlineStr">
        <x:is>
          <x:t xml:space="preserve">original artwork</x:t>
        </x:is>
      </x:c>
      <x:c r="E33" s="234" t="n"/>
      <x:c r="F33" s="234" t="n"/>
      <x:c r="G33" s="234" t="inlineStr">
        <x:is>
          <x:t xml:space="preserve">paired ornamental scroll border</x:t>
        </x:is>
      </x:c>
      <x:c r="H33" s="234" t="inlineStr">
        <x:is>
          <x:t xml:space="preserve">Curled ornaments flank the central text on both sides, with a broadly balanced left/right layout.</x:t>
        </x:is>
      </x:c>
      <x:c r="I33" s="83" t="n"/>
      <x:c r="J33" s="83" t="n"/>
      <x:c r="K33" s="83" t="n"/>
      <x:c r="L33" s="83" t="n"/>
      <x:c r="M33" s="83" t="n"/>
      <x:c r="N33" s="83" t="n"/>
      <x:c r="O33" s="83" t="n"/>
      <x:c r="P33" s="83" t="n"/>
      <x:c r="Q33" s="234" t="n"/>
      <x:c r="R33" s="234" t="inlineStr">
        <x:is>
          <x:t xml:space="preserve">Approximate left-right visual symmetry</x:t>
        </x:is>
      </x:c>
      <x:c r="S33" s="234" t="n"/>
      <x:c r="T33" s="234" t="n"/>
      <x:c r="U33" s="234" t="n"/>
      <x:c r="V33" s="234" t="n"/>
      <x:c r="W33" s="234" t="n"/>
      <x:c r="X33" s="234" t="inlineStr">
        <x:is>
          <x:t xml:space="preserve">both margins</x:t>
        </x:is>
      </x:c>
      <x:c r="Y33" s="234" t="n"/>
      <x:c r="Z33" s="234" t="inlineStr">
        <x:is>
          <x:t xml:space="preserve">high</x:t>
        </x:is>
      </x:c>
      <x:c r="AA33" s="234" t="inlineStr">
        <x:is>
          <x:t xml:space="preserve">OBSERVED</x:t>
        </x:is>
      </x:c>
      <x:c r="AB33" s="234" t="inlineStr">
        <x:is>
          <x:t xml:space="preserve">https://github.com/mrroot01011001/Cicada-3301-/blob/main/liber-primus/pages/24.jpg</x:t>
        </x:is>
      </x:c>
      <x:c r="AC33" s="234" t="inlineStr">
        <x:is>
          <x:t xml:space="preserve">https://github.com/mrfentmen/annotated-pages/blob/main/24.jpg</x:t>
        </x:is>
      </x:c>
      <x:c r="AD33" s="234" t="inlineStr">
        <x:is>
          <x:t xml:space="preserve">No coordinate-based symmetry calculation has been performed.</x:t>
        </x:is>
      </x:c>
      <x:c r="AE33" s="234" t="n"/>
      <x:c r="AF33" s="234" t="n"/>
      <x:c r="AG33" s="234" t="n"/>
      <x:c r="AH33" s="234" t="inlineStr">
        <x:is>
          <x:t xml:space="preserve">single_page</x:t>
        </x:is>
      </x:c>
      <x:c r="AI33" s="234" t="inlineStr">
        <x:is>
          <x:t xml:space="preserve">24.JPG</x:t>
        </x:is>
      </x:c>
      <x:c r="AJ33" s="234" t="inlineStr">
        <x:is>
          <x:t xml:space="preserve">CSV-D008</x:t>
        </x:is>
      </x:c>
      <x:c r="AK33" s="234" t="n">
        <x:v>8</x:v>
      </x:c>
      <x:c r="AL33" s="234" t="inlineStr">
        <x:is>
          <x:t xml:space="preserve">SPIRALS +5 DOT CONSITALTION</x:t>
        </x:is>
      </x:c>
      <x:c r="AM33" s="234" t="inlineStr">
        <x:is>
          <x:t xml:space="preserve">0</x:t>
        </x:is>
      </x:c>
      <x:c r="AN33" s="234" t="inlineStr">
        <x:is>
          <x:t xml:space="preserve">8</x:t>
        </x:is>
      </x:c>
      <x:c r="AO33" s="234" t="inlineStr">
        <x:is>
          <x:t xml:space="preserve">0</x:t>
        </x:is>
      </x:c>
      <x:c r="AP33" s="234" t="inlineStr">
        <x:is>
          <x:t xml:space="preserve">LEFT AND RIGHT OF THE PAGE
CONSTIALTION AT BOTTOM OF PAGE</x:t>
        </x:is>
      </x:c>
      <x:c r="AQ33" s="234" t="inlineStr">
        <x:is>
          <x:t xml:space="preserve">5</x:t>
        </x:is>
      </x:c>
      <x:c r="AR33" s="234" t="inlineStr">
        <x:is>
          <x:t xml:space="preserve">3 DOTS ON THE OUTSIDE 2ND SPIRAL OF THE PAGE AND 1 DOT ON THE INSIDE THE 3RD SPIRAL BOTHS SIDES OF THE PAGE AND A 5 DOT CONSTIALTION AT THE BOTTOM</x:t>
        </x:is>
      </x:c>
      <x:c r="AS33" s="234" t="n"/>
      <x:c r="AT33" s="234" t="inlineStr">
        <x:is>
          <x:t xml:space="preserve">POPULATED_SOURCE_RECORD</x:t>
        </x:is>
      </x:c>
      <x:c r="AU33" s="234" t="inlineStr">
        <x:is>
          <x:t xml:space="preserve">ANNOTATED_IMAGE_AVAILABLE</x:t>
        </x:is>
      </x:c>
    </x:row>
    <x:row r="34" s="232" customFormat="1" ht="32" customHeight="1">
      <x:c r="A34" s="81" t="n">
        <x:v>24</x:v>
      </x:c>
      <x:c r="B34" s="234" t="inlineStr">
        <x:is>
          <x:t xml:space="preserve">24.jpg</x:t>
        </x:is>
      </x:c>
      <x:c r="C34" s="234" t="inlineStr">
        <x:is>
          <x:t xml:space="preserve">LP024-F02</x:t>
        </x:is>
      </x:c>
      <x:c r="D34" s="234" t="inlineStr">
        <x:is>
          <x:t xml:space="preserve">original artwork + user annotation</x:t>
        </x:is>
      </x:c>
      <x:c r="E34" s="234" t="inlineStr">
        <x:is>
          <x:t xml:space="preserve">magenta/purple labels</x:t>
        </x:is>
      </x:c>
      <x:c r="F34" s="234" t="inlineStr">
        <x:is>
          <x:t xml:space="preserve">1–5</x:t>
        </x:is>
      </x:c>
      <x:c r="G34" s="234" t="inlineStr">
        <x:is>
          <x:t xml:space="preserve">five-dot arrangement</x:t>
        </x:is>
      </x:c>
      <x:c r="H34" s="234" t="inlineStr">
        <x:is>
          <x:t xml:space="preserve">Five separate black dots beneath the red text line; user labels the dots 1 through 5.</x:t>
        </x:is>
      </x:c>
      <x:c r="I34" s="83" t="n">
        <x:v>5</x:v>
      </x:c>
      <x:c r="J34" s="83" t="n"/>
      <x:c r="K34" s="83" t="n">
        <x:v>5</x:v>
      </x:c>
      <x:c r="L34" s="83" t="n"/>
      <x:c r="M34" s="83" t="n"/>
      <x:c r="N34" s="83" t="n"/>
      <x:c r="O34" s="83" t="n"/>
      <x:c r="P34" s="83" t="n"/>
      <x:c r="Q34" s="234" t="n"/>
      <x:c r="R34" s="234" t="n"/>
      <x:c r="S34" s="234" t="n"/>
      <x:c r="T34" s="234" t="n"/>
      <x:c r="U34" s="234" t="n"/>
      <x:c r="V34" s="234" t="n"/>
      <x:c r="W34" s="234" t="n"/>
      <x:c r="X34" s="234" t="inlineStr">
        <x:is>
          <x:t xml:space="preserve">lower area below text</x:t>
        </x:is>
      </x:c>
      <x:c r="Y34" s="234" t="inlineStr">
        <x:is>
          <x:t xml:space="preserve">May be geometrically related to dot groups on pages 40 and 73; comparison is provisional.</x:t>
        </x:is>
      </x:c>
      <x:c r="Z34" s="234" t="inlineStr">
        <x:is>
          <x:t xml:space="preserve">high</x:t>
        </x:is>
      </x:c>
      <x:c r="AA34" s="234" t="inlineStr">
        <x:is>
          <x:t xml:space="preserve">ANNOTATION_VISIBLE</x:t>
        </x:is>
      </x:c>
      <x:c r="AB34" s="234" t="inlineStr">
        <x:is>
          <x:t xml:space="preserve">https://github.com/mrroot01011001/Cicada-3301-/blob/main/liber-primus/pages/24.jpg</x:t>
        </x:is>
      </x:c>
      <x:c r="AC34" s="234" t="inlineStr">
        <x:is>
          <x:t xml:space="preserve">https://github.com/mrfentmen/annotated-pages/blob/main/24.jpg</x:t>
        </x:is>
      </x:c>
      <x:c r="AD34" s="234" t="inlineStr">
        <x:is>
          <x:t xml:space="preserve">Dot centers have not been measured; keep this arrangement distinct from the scroll border.</x:t>
        </x:is>
      </x:c>
      <x:c r="AE34" s="234" t="n"/>
      <x:c r="AF34" s="234" t="n"/>
      <x:c r="AG34" s="234" t="n"/>
      <x:c r="AH34" s="234" t="inlineStr">
        <x:is>
          <x:t xml:space="preserve">single_page</x:t>
        </x:is>
      </x:c>
      <x:c r="AI34" s="234" t="inlineStr">
        <x:is>
          <x:t xml:space="preserve">24.JPG</x:t>
        </x:is>
      </x:c>
      <x:c r="AJ34" s="234" t="inlineStr">
        <x:is>
          <x:t xml:space="preserve">CSV-D008</x:t>
        </x:is>
      </x:c>
      <x:c r="AK34" s="234" t="n">
        <x:v>8</x:v>
      </x:c>
      <x:c r="AL34" s="234" t="inlineStr">
        <x:is>
          <x:t xml:space="preserve">SPIRALS +5 DOT CONSITALTION</x:t>
        </x:is>
      </x:c>
      <x:c r="AM34" s="234" t="inlineStr">
        <x:is>
          <x:t xml:space="preserve">0</x:t>
        </x:is>
      </x:c>
      <x:c r="AN34" s="234" t="inlineStr">
        <x:is>
          <x:t xml:space="preserve">8</x:t>
        </x:is>
      </x:c>
      <x:c r="AO34" s="234" t="inlineStr">
        <x:is>
          <x:t xml:space="preserve">0</x:t>
        </x:is>
      </x:c>
      <x:c r="AP34" s="234" t="inlineStr">
        <x:is>
          <x:t xml:space="preserve">LEFT AND RIGHT OF THE PAGE
CONSTIALTION AT BOTTOM OF PAGE</x:t>
        </x:is>
      </x:c>
      <x:c r="AQ34" s="234" t="inlineStr">
        <x:is>
          <x:t xml:space="preserve">5</x:t>
        </x:is>
      </x:c>
      <x:c r="AR34" s="234" t="inlineStr">
        <x:is>
          <x:t xml:space="preserve">3 DOTS ON THE OUTSIDE 2ND SPIRAL OF THE PAGE AND 1 DOT ON THE INSIDE THE 3RD SPIRAL BOTHS SIDES OF THE PAGE AND A 5 DOT CONSTIALTION AT THE BOTTOM</x:t>
        </x:is>
      </x:c>
      <x:c r="AS34" s="234" t="n"/>
      <x:c r="AT34" s="234" t="inlineStr">
        <x:is>
          <x:t xml:space="preserve">POPULATED_SOURCE_RECORD</x:t>
        </x:is>
      </x:c>
      <x:c r="AU34" s="234" t="inlineStr">
        <x:is>
          <x:t xml:space="preserve">ANNOTATED_IMAGE_AVAILABLE</x:t>
        </x:is>
      </x:c>
    </x:row>
    <x:row r="35" s="232" customFormat="1" ht="32" customHeight="1">
      <x:c r="A35" s="81" t="n">
        <x:v>24</x:v>
      </x:c>
      <x:c r="B35" s="234" t="inlineStr">
        <x:is>
          <x:t xml:space="preserve">24.jpg</x:t>
        </x:is>
      </x:c>
      <x:c r="C35" s="234" t="inlineStr">
        <x:is>
          <x:t xml:space="preserve">LP024-F03</x:t>
        </x:is>
      </x:c>
      <x:c r="D35" s="234" t="inlineStr">
        <x:is>
          <x:t xml:space="preserve">original artwork</x:t>
        </x:is>
      </x:c>
      <x:c r="E35" s="234" t="inlineStr">
        <x:is>
          <x:t xml:space="preserve">red printed rune line</x:t>
        </x:is>
      </x:c>
      <x:c r="F35" s="234" t="n"/>
      <x:c r="G35" s="234" t="inlineStr">
        <x:is>
          <x:t xml:space="preserve">red-highlighted text line</x:t>
        </x:is>
      </x:c>
      <x:c r="H35" s="234" t="inlineStr">
        <x:is>
          <x:t xml:space="preserve">One complete line of red runic text above the five-dot group.</x:t>
        </x:is>
      </x:c>
      <x:c r="I35" s="83" t="n"/>
      <x:c r="J35" s="83" t="n"/>
      <x:c r="K35" s="83" t="n"/>
      <x:c r="L35" s="83" t="n"/>
      <x:c r="M35" s="83" t="n"/>
      <x:c r="N35" s="83" t="n"/>
      <x:c r="O35" s="83" t="n"/>
      <x:c r="P35" s="83" t="n"/>
      <x:c r="Q35" s="234" t="n"/>
      <x:c r="R35" s="234" t="n"/>
      <x:c r="S35" s="234" t="n"/>
      <x:c r="T35" s="234" t="n"/>
      <x:c r="U35" s="234" t="n"/>
      <x:c r="V35" s="234" t="n"/>
      <x:c r="W35" s="234" t="n"/>
      <x:c r="X35" s="234" t="inlineStr">
        <x:is>
          <x:t xml:space="preserve">lower text block</x:t>
        </x:is>
      </x:c>
      <x:c r="Y35" s="234" t="n"/>
      <x:c r="Z35" s="234" t="inlineStr">
        <x:is>
          <x:t xml:space="preserve">high</x:t>
        </x:is>
      </x:c>
      <x:c r="AA35" s="234" t="inlineStr">
        <x:is>
          <x:t xml:space="preserve">OBSERVED</x:t>
        </x:is>
      </x:c>
      <x:c r="AB35" s="234" t="inlineStr">
        <x:is>
          <x:t xml:space="preserve">https://github.com/mrroot01011001/Cicada-3301-/blob/main/liber-primus/pages/24.jpg</x:t>
        </x:is>
      </x:c>
      <x:c r="AC35" s="234" t="inlineStr">
        <x:is>
          <x:t xml:space="preserve">https://github.com/mrfentmen/annotated-pages/blob/main/24.jpg</x:t>
        </x:is>
      </x:c>
      <x:c r="AD35" s="234" t="inlineStr">
        <x:is>
          <x:t xml:space="preserve">Included as spatial context for the dot group, not transcribed here.</x:t>
        </x:is>
      </x:c>
      <x:c r="AE35" s="234" t="n"/>
      <x:c r="AF35" s="234" t="n"/>
      <x:c r="AG35" s="234" t="n"/>
      <x:c r="AH35" s="234" t="inlineStr">
        <x:is>
          <x:t xml:space="preserve">single_page</x:t>
        </x:is>
      </x:c>
      <x:c r="AI35" s="234" t="inlineStr">
        <x:is>
          <x:t xml:space="preserve">24.JPG</x:t>
        </x:is>
      </x:c>
      <x:c r="AJ35" s="234" t="inlineStr">
        <x:is>
          <x:t xml:space="preserve">CSV-D008</x:t>
        </x:is>
      </x:c>
      <x:c r="AK35" s="234" t="n">
        <x:v>8</x:v>
      </x:c>
      <x:c r="AL35" s="234" t="inlineStr">
        <x:is>
          <x:t xml:space="preserve">SPIRALS +5 DOT CONSITALTION</x:t>
        </x:is>
      </x:c>
      <x:c r="AM35" s="234" t="inlineStr">
        <x:is>
          <x:t xml:space="preserve">0</x:t>
        </x:is>
      </x:c>
      <x:c r="AN35" s="234" t="inlineStr">
        <x:is>
          <x:t xml:space="preserve">8</x:t>
        </x:is>
      </x:c>
      <x:c r="AO35" s="234" t="inlineStr">
        <x:is>
          <x:t xml:space="preserve">0</x:t>
        </x:is>
      </x:c>
      <x:c r="AP35" s="234" t="inlineStr">
        <x:is>
          <x:t xml:space="preserve">LEFT AND RIGHT OF THE PAGE
CONSTIALTION AT BOTTOM OF PAGE</x:t>
        </x:is>
      </x:c>
      <x:c r="AQ35" s="234" t="inlineStr">
        <x:is>
          <x:t xml:space="preserve">5</x:t>
        </x:is>
      </x:c>
      <x:c r="AR35" s="234" t="inlineStr">
        <x:is>
          <x:t xml:space="preserve">3 DOTS ON THE OUTSIDE 2ND SPIRAL OF THE PAGE AND 1 DOT ON THE INSIDE THE 3RD SPIRAL BOTHS SIDES OF THE PAGE AND A 5 DOT CONSTIALTION AT THE BOTTOM</x:t>
        </x:is>
      </x:c>
      <x:c r="AS35" s="234" t="n"/>
      <x:c r="AT35" s="234" t="inlineStr">
        <x:is>
          <x:t xml:space="preserve">POPULATED_SOURCE_RECORD</x:t>
        </x:is>
      </x:c>
      <x:c r="AU35" s="234" t="inlineStr">
        <x:is>
          <x:t xml:space="preserve">ANNOTATED_IMAGE_AVAILABLE</x:t>
        </x:is>
      </x:c>
    </x:row>
    <x:row r="36" s="232" customFormat="1" ht="32" customHeight="1">
      <x:c r="A36" s="81" t="n">
        <x:v>24</x:v>
      </x:c>
      <x:c r="B36" s="234" t="inlineStr">
        <x:is>
          <x:t xml:space="preserve">24.jpg</x:t>
        </x:is>
      </x:c>
      <x:c r="C36" s="234" t="inlineStr">
        <x:is>
          <x:t xml:space="preserve">LP024-F90</x:t>
        </x:is>
      </x:c>
      <x:c r="D36" s="234" t="inlineStr">
        <x:is>
          <x:t xml:space="preserve">CSV source spreadsheet; feature-level representation</x:t>
        </x:is>
      </x:c>
      <x:c r="E36" s="234" t="n"/>
      <x:c r="F36" s="234" t="n"/>
      <x:c r="G36" s="234" t="inlineStr">
        <x:is>
          <x:t xml:space="preserve">spiral-associated dot pattern (page aggregate)</x:t>
        </x:is>
      </x:c>
      <x:c r="H36" s="234" t="inlineStr">
        <x:is>
          <x:t xml:space="preserve">CSV source records eight dots associated with the spiral ornaments; notes specify three dots outside the second spiral and one inside the third spiral on both sides of the page.</x:t>
        </x:is>
      </x:c>
      <x:c r="I36" s="83" t="n">
        <x:v>8</x:v>
      </x:c>
      <x:c r="J36" s="83" t="n"/>
      <x:c r="K36" s="83" t="n">
        <x:v>8</x:v>
      </x:c>
      <x:c r="L36" s="83" t="n"/>
      <x:c r="M36" s="83" t="n"/>
      <x:c r="N36" s="83" t="n"/>
      <x:c r="O36" s="83" t="n"/>
      <x:c r="P36" s="83" t="n"/>
      <x:c r="Q36" s="234" t="inlineStr">
        <x:is>
          <x:t xml:space="preserve">left and right sides</x:t>
        </x:is>
      </x:c>
      <x:c r="R36" s="234" t="n"/>
      <x:c r="S36" s="234" t="n"/>
      <x:c r="T36" s="234" t="n"/>
      <x:c r="U36" s="234" t="n"/>
      <x:c r="V36" s="234" t="n"/>
      <x:c r="W36" s="234" t="n"/>
      <x:c r="X36" s="234" t="inlineStr">
        <x:is>
          <x:t xml:space="preserve">Around ornamental scroll/spiral border; page 24 five-dot constellation is a separate feature.</x:t>
        </x:is>
      </x:c>
      <x:c r="Y36" s="234" t="n"/>
      <x:c r="Z36" s="234" t="inlineStr">
        <x:is>
          <x:t xml:space="preserve">medium</x:t>
        </x:is>
      </x:c>
      <x:c r="AA36" s="234" t="inlineStr">
        <x:is>
          <x:t xml:space="preserve">CSV_RECORDED_NOT_INDEPENDENTLY_RECOUNTED</x:t>
        </x:is>
      </x:c>
      <x:c r="AB36" s="234" t="inlineStr">
        <x:is>
          <x:t xml:space="preserve">https://github.com/mrroot01011001/Cicada-3301-/blob/main/liber-primus/pages/24.jpg</x:t>
        </x:is>
      </x:c>
      <x:c r="AC36" s="234" t="inlineStr">
        <x:is>
          <x:t xml:space="preserve">https://github.com/mrfentmen/annotated-pages/blob/main/24.jpg</x:t>
        </x:is>
      </x:c>
      <x:c r="AD36" s="234" t="inlineStr">
        <x:is>
          <x:t xml:space="preserve">Count and placement are copied from the CSV. This aggregate must not be merged with the separate five-dot constellation on page 24.</x:t>
        </x:is>
      </x:c>
      <x:c r="AE36" s="234" t="n"/>
      <x:c r="AF36" s="234" t="n"/>
      <x:c r="AG36" s="234" t="n"/>
      <x:c r="AH36" s="234" t="inlineStr">
        <x:is>
          <x:t xml:space="preserve">single_page</x:t>
        </x:is>
      </x:c>
      <x:c r="AI36" s="234" t="inlineStr">
        <x:is>
          <x:t xml:space="preserve">24.JPG</x:t>
        </x:is>
      </x:c>
      <x:c r="AJ36" s="234" t="inlineStr">
        <x:is>
          <x:t xml:space="preserve">CSV-D008</x:t>
        </x:is>
      </x:c>
      <x:c r="AK36" s="234" t="n">
        <x:v>8</x:v>
      </x:c>
      <x:c r="AL36" s="234" t="inlineStr">
        <x:is>
          <x:t xml:space="preserve">SPIRALS +5 DOT CONSITALTION</x:t>
        </x:is>
      </x:c>
      <x:c r="AM36" s="234" t="inlineStr">
        <x:is>
          <x:t xml:space="preserve">0</x:t>
        </x:is>
      </x:c>
      <x:c r="AN36" s="234" t="inlineStr">
        <x:is>
          <x:t xml:space="preserve">8</x:t>
        </x:is>
      </x:c>
      <x:c r="AO36" s="234" t="inlineStr">
        <x:is>
          <x:t xml:space="preserve">0</x:t>
        </x:is>
      </x:c>
      <x:c r="AP36" s="234" t="inlineStr">
        <x:is>
          <x:t xml:space="preserve">LEFT AND RIGHT OF THE PAGE
CONSTIALTION AT BOTTOM OF PAGE</x:t>
        </x:is>
      </x:c>
      <x:c r="AQ36" s="234" t="inlineStr">
        <x:is>
          <x:t xml:space="preserve">5</x:t>
        </x:is>
      </x:c>
      <x:c r="AR36" s="234" t="inlineStr">
        <x:is>
          <x:t xml:space="preserve">3 DOTS ON THE OUTSIDE 2ND SPIRAL OF THE PAGE AND 1 DOT ON THE INSIDE THE 3RD SPIRAL BOTHS SIDES OF THE PAGE AND A 5 DOT CONSTIALTION AT THE BOTTOM</x:t>
        </x:is>
      </x:c>
      <x:c r="AS36" s="234" t="n"/>
      <x:c r="AT36" s="234" t="inlineStr">
        <x:is>
          <x:t xml:space="preserve">POPULATED_SOURCE_RECORD</x:t>
        </x:is>
      </x:c>
      <x:c r="AU36" s="234" t="inlineStr">
        <x:is>
          <x:t xml:space="preserve">ANNOTATED_IMAGE_AVAILABLE; NEW FEATURE/COUNT NOT INDEPENDENTLY RECOUNTED</x:t>
        </x:is>
      </x:c>
    </x:row>
    <x:row r="37" s="232" customFormat="1" ht="32" customHeight="1">
      <x:c r="A37" s="81" t="n">
        <x:v>25</x:v>
      </x:c>
      <x:c r="B37" s="234" t="inlineStr">
        <x:is>
          <x:t xml:space="preserve">25.jpg</x:t>
        </x:is>
      </x:c>
      <x:c r="C37" s="234" t="inlineStr">
        <x:is>
          <x:t xml:space="preserve">LP025-F01</x:t>
        </x:is>
      </x:c>
      <x:c r="D37" s="234" t="inlineStr">
        <x:is>
          <x:t xml:space="preserve">original artwork + user annotation</x:t>
        </x:is>
      </x:c>
      <x:c r="E37" s="234" t="inlineStr">
        <x:is>
          <x:t xml:space="preserve">faint red/orange</x:t>
        </x:is>
      </x:c>
      <x:c r="F37" s="234" t="inlineStr">
        <x:is>
          <x:t xml:space="preserve">tiny 1-like label beside the branch; unreadable with certainty</x:t>
        </x:is>
      </x:c>
      <x:c r="G37" s="234" t="inlineStr">
        <x:is>
          <x:t xml:space="preserve">branch/tree ornament</x:t>
        </x:is>
      </x:c>
      <x:c r="H37" s="234" t="inlineStr">
        <x:is>
          <x:t xml:space="preserve">Single tall, mostly bare tree/branch drawing placed on the left margin.</x:t>
        </x:is>
      </x:c>
      <x:c r="I37" s="83" t="n"/>
      <x:c r="J37" s="83" t="n"/>
      <x:c r="K37" s="83" t="n"/>
      <x:c r="L37" s="83" t="n"/>
      <x:c r="M37" s="83" t="n"/>
      <x:c r="N37" s="83" t="n"/>
      <x:c r="O37" s="83" t="n"/>
      <x:c r="P37" s="83" t="n"/>
      <x:c r="Q37" s="234" t="inlineStr">
        <x:is>
          <x:t xml:space="preserve">left margin</x:t>
        </x:is>
      </x:c>
      <x:c r="R37" s="234" t="n"/>
      <x:c r="S37" s="234" t="n"/>
      <x:c r="T37" s="234" t="n"/>
      <x:c r="U37" s="234" t="n"/>
      <x:c r="V37" s="234" t="n"/>
      <x:c r="W37" s="234" t="n"/>
      <x:c r="X37" s="234" t="inlineStr">
        <x:is>
          <x:t xml:space="preserve">beside main text block</x:t>
        </x:is>
      </x:c>
      <x:c r="Y37" s="234" t="inlineStr">
        <x:is>
          <x:t xml:space="preserve">Page-side placement across pages 25–31 appears to alternate L/R; whether intentional encoding is unresolved.</x:t>
        </x:is>
      </x:c>
      <x:c r="Z37" s="234" t="inlineStr">
        <x:is>
          <x:t xml:space="preserve">high</x:t>
        </x:is>
      </x:c>
      <x:c r="AA37" s="234" t="inlineStr">
        <x:is>
          <x:t xml:space="preserve">ANNOTATION_VISIBLE</x:t>
        </x:is>
      </x:c>
      <x:c r="AB37" s="234" t="inlineStr">
        <x:is>
          <x:t xml:space="preserve">https://github.com/mrroot01011001/Cicada-3301-/blob/main/liber-primus/pages/25.jpg</x:t>
        </x:is>
      </x:c>
      <x:c r="AC37" s="234" t="inlineStr">
        <x:is>
          <x:t xml:space="preserve">https://github.com/mrfentmen/annotated-pages/blob/main/25.jpg</x:t>
        </x:is>
      </x:c>
      <x:c r="AD37" s="234" t="inlineStr">
        <x:is>
          <x:t xml:space="preserve">No branch counts, line angles, or endpoints have yet been measured.The tiny mark beside the branch is too small to transcribe confidently.</x:t>
        </x:is>
      </x:c>
      <x:c r="AE37" s="234" t="n"/>
      <x:c r="AF37" s="234" t="n"/>
      <x:c r="AG37" s="234" t="n"/>
      <x:c r="AH37" s="234" t="inlineStr">
        <x:is>
          <x:t xml:space="preserve">single_page</x:t>
        </x:is>
      </x:c>
      <x:c r="AI37" s="234" t="inlineStr">
        <x:is>
          <x:t xml:space="preserve">25.JPG</x:t>
        </x:is>
      </x:c>
      <x:c r="AJ37" s="234" t="inlineStr">
        <x:is>
          <x:t xml:space="preserve">CSV-D009</x:t>
        </x:is>
      </x:c>
      <x:c r="AK37" s="234" t="n">
        <x:v>9</x:v>
      </x:c>
      <x:c r="AL37" s="234" t="inlineStr">
        <x:is>
          <x:t xml:space="preserve">FIBO BRANCH WITH STEMS</x:t>
        </x:is>
      </x:c>
      <x:c r="AM37" s="234" t="inlineStr">
        <x:is>
          <x:t xml:space="preserve">0</x:t>
        </x:is>
      </x:c>
      <x:c r="AN37" s="234" t="inlineStr">
        <x:is>
          <x:t xml:space="preserve">1</x:t>
        </x:is>
      </x:c>
      <x:c r="AO37" s="234" t="inlineStr">
        <x:is>
          <x:t xml:space="preserve">0</x:t>
        </x:is>
      </x:c>
      <x:c r="AP37" s="234" t="inlineStr">
        <x:is>
          <x:t xml:space="preserve">LEFT PAGE</x:t>
        </x:is>
      </x:c>
      <x:c r="AQ37" s="234" t="inlineStr">
        <x:is>
          <x:t xml:space="preserve">0</x:t>
        </x:is>
      </x:c>
      <x:c r="AR37"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7" s="234" t="n"/>
      <x:c r="AT37" s="234" t="inlineStr">
        <x:is>
          <x:t xml:space="preserve">POPULATED_SOURCE_RECORD</x:t>
        </x:is>
      </x:c>
      <x:c r="AU37" s="234" t="inlineStr">
        <x:is>
          <x:t xml:space="preserve">ANNOTATED_IMAGE_AVAILABLE</x:t>
        </x:is>
      </x:c>
    </x:row>
    <x:row r="38" s="232" customFormat="1" ht="32" customHeight="1">
      <x:c r="A38" s="81" t="n">
        <x:v>25</x:v>
      </x:c>
      <x:c r="B38" s="234" t="inlineStr">
        <x:is>
          <x:t xml:space="preserve">25.jpg</x:t>
        </x:is>
      </x:c>
      <x:c r="C38" s="234" t="inlineStr">
        <x:is>
          <x:t xml:space="preserve">LP025-F02</x:t>
        </x:is>
      </x:c>
      <x:c r="D38" s="234" t="inlineStr">
        <x:is>
          <x:t xml:space="preserve">original artwork</x:t>
        </x:is>
      </x:c>
      <x:c r="E38" s="234" t="inlineStr">
        <x:is>
          <x:t xml:space="preserve">red</x:t>
        </x:is>
      </x:c>
      <x:c r="F38" s="234" t="n"/>
      <x:c r="G38" s="234" t="inlineStr">
        <x:is>
          <x:t xml:space="preserve">oversized red initial rune</x:t>
        </x:is>
      </x:c>
      <x:c r="H38" s="234" t="inlineStr">
        <x:is>
          <x:t xml:space="preserve">Large red branching angular rune at the first paragraph.</x:t>
        </x:is>
      </x:c>
      <x:c r="I38" s="83" t="n"/>
      <x:c r="J38" s="83" t="n"/>
      <x:c r="K38" s="83" t="n"/>
      <x:c r="L38" s="83" t="n"/>
      <x:c r="M38" s="83" t="n"/>
      <x:c r="N38" s="83" t="n"/>
      <x:c r="O38" s="83" t="n"/>
      <x:c r="P38" s="83" t="n"/>
      <x:c r="Q38" s="234" t="n"/>
      <x:c r="R38" s="234" t="n"/>
      <x:c r="S38" s="234" t="n"/>
      <x:c r="T38" s="234" t="n"/>
      <x:c r="U38" s="234" t="n"/>
      <x:c r="V38" s="234" t="n"/>
      <x:c r="W38" s="234" t="n"/>
      <x:c r="X38" s="234" t="inlineStr">
        <x:is>
          <x:t xml:space="preserve">upper-left text block</x:t>
        </x:is>
      </x:c>
      <x:c r="Y38" s="234" t="n"/>
      <x:c r="Z38" s="234" t="inlineStr">
        <x:is>
          <x:t xml:space="preserve">high</x:t>
        </x:is>
      </x:c>
      <x:c r="AA38" s="234" t="inlineStr">
        <x:is>
          <x:t xml:space="preserve">OBSERVED</x:t>
        </x:is>
      </x:c>
      <x:c r="AB38" s="234" t="inlineStr">
        <x:is>
          <x:t xml:space="preserve">https://github.com/mrroot01011001/Cicada-3301-/blob/main/liber-primus/pages/25.jpg</x:t>
        </x:is>
      </x:c>
      <x:c r="AC38" s="234" t="inlineStr">
        <x:is>
          <x:t xml:space="preserve">https://github.com/mrfentmen/annotated-pages/blob/main/25.jpg</x:t>
        </x:is>
      </x:c>
      <x:c r="AD38" s="234" t="inlineStr">
        <x:is>
          <x:t xml:space="preserve">Printed page artwork, not the tiny annotation label beside the tree.</x:t>
        </x:is>
      </x:c>
      <x:c r="AE38" s="234" t="n"/>
      <x:c r="AF38" s="234" t="n"/>
      <x:c r="AG38" s="234" t="n"/>
      <x:c r="AH38" s="234" t="inlineStr">
        <x:is>
          <x:t xml:space="preserve">single_page</x:t>
        </x:is>
      </x:c>
      <x:c r="AI38" s="234" t="inlineStr">
        <x:is>
          <x:t xml:space="preserve">25.JPG</x:t>
        </x:is>
      </x:c>
      <x:c r="AJ38" s="234" t="inlineStr">
        <x:is>
          <x:t xml:space="preserve">CSV-D009</x:t>
        </x:is>
      </x:c>
      <x:c r="AK38" s="234" t="n">
        <x:v>9</x:v>
      </x:c>
      <x:c r="AL38" s="234" t="inlineStr">
        <x:is>
          <x:t xml:space="preserve">FIBO BRANCH WITH STEMS</x:t>
        </x:is>
      </x:c>
      <x:c r="AM38" s="234" t="inlineStr">
        <x:is>
          <x:t xml:space="preserve">0</x:t>
        </x:is>
      </x:c>
      <x:c r="AN38" s="234" t="inlineStr">
        <x:is>
          <x:t xml:space="preserve">1</x:t>
        </x:is>
      </x:c>
      <x:c r="AO38" s="234" t="inlineStr">
        <x:is>
          <x:t xml:space="preserve">0</x:t>
        </x:is>
      </x:c>
      <x:c r="AP38" s="234" t="inlineStr">
        <x:is>
          <x:t xml:space="preserve">LEFT PAGE</x:t>
        </x:is>
      </x:c>
      <x:c r="AQ38" s="234" t="inlineStr">
        <x:is>
          <x:t xml:space="preserve">0</x:t>
        </x:is>
      </x:c>
      <x:c r="AR38"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8" s="234" t="n"/>
      <x:c r="AT38" s="234" t="inlineStr">
        <x:is>
          <x:t xml:space="preserve">POPULATED_SOURCE_RECORD</x:t>
        </x:is>
      </x:c>
      <x:c r="AU38" s="234" t="inlineStr">
        <x:is>
          <x:t xml:space="preserve">ANNOTATED_IMAGE_AVAILABLE</x:t>
        </x:is>
      </x:c>
    </x:row>
    <x:row r="39" s="232" customFormat="1" ht="32" customHeight="1">
      <x:c r="A39" s="81" t="n">
        <x:v>25</x:v>
      </x:c>
      <x:c r="B39" s="234" t="inlineStr">
        <x:is>
          <x:t xml:space="preserve">25.jpg</x:t>
        </x:is>
      </x:c>
      <x:c r="C39" s="234" t="inlineStr">
        <x:is>
          <x:t xml:space="preserve">LP025-F90</x:t>
        </x:is>
      </x:c>
      <x:c r="D39" s="234" t="inlineStr">
        <x:is>
          <x:t xml:space="preserve">CSV source spreadsheet; feature-level representation</x:t>
        </x:is>
      </x:c>
      <x:c r="E39" s="234" t="n"/>
      <x:c r="F39" s="234" t="n"/>
      <x:c r="G39" s="234" t="inlineStr">
        <x:is>
          <x:t xml:space="preserve">branch-associated dot</x:t>
        </x:is>
      </x:c>
      <x:c r="H39" s="234" t="inlineStr">
        <x:is>
          <x:t xml:space="preserve">Source CSV records one dot to the right of the branch/tree drawing.</x:t>
        </x:is>
      </x:c>
      <x:c r="I39" s="83" t="n">
        <x:v>1</x:v>
      </x:c>
      <x:c r="J39" s="83" t="n"/>
      <x:c r="K39" s="83" t="n">
        <x:v>1</x:v>
      </x:c>
      <x:c r="L39" s="83" t="n"/>
      <x:c r="M39" s="83" t="n"/>
      <x:c r="N39" s="83" t="n"/>
      <x:c r="O39" s="83" t="n"/>
      <x:c r="P39" s="83" t="n"/>
      <x:c r="Q39" s="234" t="inlineStr">
        <x:is>
          <x:t xml:space="preserve">LEFT PAGE</x:t>
        </x:is>
      </x:c>
      <x:c r="R39" s="234" t="n"/>
      <x:c r="S39" s="234" t="n"/>
      <x:c r="T39" s="234" t="n"/>
      <x:c r="U39" s="234" t="n"/>
      <x:c r="V39" s="234" t="n"/>
      <x:c r="W39" s="234" t="n"/>
      <x:c r="X39" s="234" t="inlineStr">
        <x:is>
          <x:t xml:space="preserve">To the right of the branch/tree illustration</x:t>
        </x:is>
      </x:c>
      <x:c r="Y39" s="234" t="inlineStr">
        <x:is>
          <x:t xml:space="preserve">Pages 25–30 alternate left/right branch placement; whether the dot placement encodes an instruction is unresolved.</x:t>
        </x:is>
      </x:c>
      <x:c r="Z39" s="234" t="inlineStr">
        <x:is>
          <x:t xml:space="preserve">medium</x:t>
        </x:is>
      </x:c>
      <x:c r="AA39" s="234" t="inlineStr">
        <x:is>
          <x:t xml:space="preserve">CSV_RECORDED_NOT_INDEPENDENTLY_RECOUNTED</x:t>
        </x:is>
      </x:c>
      <x:c r="AB39" s="234" t="inlineStr">
        <x:is>
          <x:t xml:space="preserve">https://github.com/mrroot01011001/Cicada-3301-/blob/main/liber-primus/pages/25.jpg</x:t>
        </x:is>
      </x:c>
      <x:c r="AC39" s="234" t="inlineStr">
        <x:is>
          <x:t xml:space="preserve">https://github.com/mrfentmen/annotated-pages/blob/main/25.jpg</x:t>
        </x:is>
      </x:c>
      <x:c r="AD39" s="234" t="inlineStr">
        <x:is>
          <x:t xml:space="preserve">CSV also repeats a historical Fibonacci hypothesis referring to pages 09–15; preserve as hypothesis, not established result.</x:t>
        </x:is>
      </x:c>
      <x:c r="AE39" s="234" t="n"/>
      <x:c r="AF39" s="234" t="n"/>
      <x:c r="AG39" s="234" t="n"/>
      <x:c r="AH39" s="234" t="inlineStr">
        <x:is>
          <x:t xml:space="preserve">single_page</x:t>
        </x:is>
      </x:c>
      <x:c r="AI39" s="234" t="inlineStr">
        <x:is>
          <x:t xml:space="preserve">25.JPG</x:t>
        </x:is>
      </x:c>
      <x:c r="AJ39" s="234" t="inlineStr">
        <x:is>
          <x:t xml:space="preserve">CSV-D009</x:t>
        </x:is>
      </x:c>
      <x:c r="AK39" s="234" t="n">
        <x:v>9</x:v>
      </x:c>
      <x:c r="AL39" s="234" t="inlineStr">
        <x:is>
          <x:t xml:space="preserve">FIBO BRANCH WITH STEMS</x:t>
        </x:is>
      </x:c>
      <x:c r="AM39" s="234" t="inlineStr">
        <x:is>
          <x:t xml:space="preserve">0</x:t>
        </x:is>
      </x:c>
      <x:c r="AN39" s="234" t="inlineStr">
        <x:is>
          <x:t xml:space="preserve">1</x:t>
        </x:is>
      </x:c>
      <x:c r="AO39" s="234" t="inlineStr">
        <x:is>
          <x:t xml:space="preserve">0</x:t>
        </x:is>
      </x:c>
      <x:c r="AP39" s="234" t="inlineStr">
        <x:is>
          <x:t xml:space="preserve">LEFT PAGE</x:t>
        </x:is>
      </x:c>
      <x:c r="AQ39" s="234" t="inlineStr">
        <x:is>
          <x:t xml:space="preserve">0</x:t>
        </x:is>
      </x:c>
      <x:c r="AR39" s="234"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AS39" s="234" t="n"/>
      <x:c r="AT39" s="234" t="inlineStr">
        <x:is>
          <x:t xml:space="preserve">POPULATED_SOURCE_RECORD</x:t>
        </x:is>
      </x:c>
      <x:c r="AU39" s="234" t="inlineStr">
        <x:is>
          <x:t xml:space="preserve">ANNOTATED_IMAGE_AVAILABLE; NEW FEATURE/COUNT NOT INDEPENDENTLY RECOUNTED</x:t>
        </x:is>
      </x:c>
    </x:row>
    <x:row r="40" s="232" customFormat="1" ht="32" customHeight="1">
      <x:c r="A40" s="81" t="n">
        <x:v>26</x:v>
      </x:c>
      <x:c r="B40" s="234" t="inlineStr">
        <x:is>
          <x:t xml:space="preserve">26.jpg</x:t>
        </x:is>
      </x:c>
      <x:c r="C40" s="234" t="inlineStr">
        <x:is>
          <x:t xml:space="preserve">LP026-F01</x:t>
        </x:is>
      </x:c>
      <x:c r="D40" s="234" t="inlineStr">
        <x:is>
          <x:t xml:space="preserve">original artwork</x:t>
        </x:is>
      </x:c>
      <x:c r="E40" s="234" t="n"/>
      <x:c r="F40" s="234" t="n"/>
      <x:c r="G40" s="234" t="inlineStr">
        <x:is>
          <x:t xml:space="preserve">branch/tree ornament</x:t>
        </x:is>
      </x:c>
      <x:c r="H40" s="234" t="inlineStr">
        <x:is>
          <x:t xml:space="preserve">Single tall, mostly bare tree/branch drawing placed on the right margin.</x:t>
        </x:is>
      </x:c>
      <x:c r="I40" s="83" t="n"/>
      <x:c r="J40" s="83" t="n"/>
      <x:c r="K40" s="83" t="n"/>
      <x:c r="L40" s="83" t="n"/>
      <x:c r="M40" s="83" t="n"/>
      <x:c r="N40" s="83" t="n"/>
      <x:c r="O40" s="83" t="n"/>
      <x:c r="P40" s="83" t="n"/>
      <x:c r="Q40" s="234" t="inlineStr">
        <x:is>
          <x:t xml:space="preserve">right margin</x:t>
        </x:is>
      </x:c>
      <x:c r="R40" s="234" t="n"/>
      <x:c r="S40" s="234" t="n"/>
      <x:c r="T40" s="234" t="n"/>
      <x:c r="U40" s="234" t="n"/>
      <x:c r="V40" s="234" t="n"/>
      <x:c r="W40" s="234" t="n"/>
      <x:c r="X40" s="234" t="inlineStr">
        <x:is>
          <x:t xml:space="preserve">beside main text block</x:t>
        </x:is>
      </x:c>
      <x:c r="Y40" s="234" t="inlineStr">
        <x:is>
          <x:t xml:space="preserve">Page-side placement across pages 25–31 appears to alternate L/R; whether intentional encoding is unresolved.</x:t>
        </x:is>
      </x:c>
      <x:c r="Z40" s="234" t="inlineStr">
        <x:is>
          <x:t xml:space="preserve">high</x:t>
        </x:is>
      </x:c>
      <x:c r="AA40" s="234" t="inlineStr">
        <x:is>
          <x:t xml:space="preserve">OBSERVED</x:t>
        </x:is>
      </x:c>
      <x:c r="AB40" s="234" t="inlineStr">
        <x:is>
          <x:t xml:space="preserve">https://github.com/mrroot01011001/Cicada-3301-/blob/main/liber-primus/pages/26.jpg</x:t>
        </x:is>
      </x:c>
      <x:c r="AC40" s="234" t="inlineStr">
        <x:is>
          <x:t xml:space="preserve">https://github.com/mrfentmen/annotated-pages/blob/main/26.jpg</x:t>
        </x:is>
      </x:c>
      <x:c r="AD40" s="234" t="inlineStr">
        <x:is>
          <x:t xml:space="preserve">No branch counts, line angles, or endpoints have yet been measured.</x:t>
        </x:is>
      </x:c>
      <x:c r="AE40" s="234" t="n"/>
      <x:c r="AF40" s="234" t="n"/>
      <x:c r="AG40" s="234" t="n"/>
      <x:c r="AH40" s="234" t="inlineStr">
        <x:is>
          <x:t xml:space="preserve">single_page</x:t>
        </x:is>
      </x:c>
      <x:c r="AI40" s="234" t="inlineStr">
        <x:is>
          <x:t xml:space="preserve">26.JPG</x:t>
        </x:is>
      </x:c>
      <x:c r="AJ40" s="234" t="inlineStr">
        <x:is>
          <x:t xml:space="preserve">CSV-D010</x:t>
        </x:is>
      </x:c>
      <x:c r="AK40" s="234" t="n">
        <x:v>10</x:v>
      </x:c>
      <x:c r="AL40" s="234" t="inlineStr">
        <x:is>
          <x:t xml:space="preserve">FIBO BRANCH WITH STEMS</x:t>
        </x:is>
      </x:c>
      <x:c r="AM40" s="234" t="inlineStr">
        <x:is>
          <x:t xml:space="preserve">0</x:t>
        </x:is>
      </x:c>
      <x:c r="AN40" s="234" t="inlineStr">
        <x:is>
          <x:t xml:space="preserve">1</x:t>
        </x:is>
      </x:c>
      <x:c r="AO40" s="234" t="inlineStr">
        <x:is>
          <x:t xml:space="preserve">0</x:t>
        </x:is>
      </x:c>
      <x:c r="AP40" s="234" t="inlineStr">
        <x:is>
          <x:t xml:space="preserve">RIGHT PAGE</x:t>
        </x:is>
      </x:c>
      <x:c r="AQ40" s="234" t="inlineStr">
        <x:is>
          <x:t xml:space="preserve">0</x:t>
        </x:is>
      </x:c>
      <x:c r="AR40"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0" s="234" t="n"/>
      <x:c r="AT40" s="234" t="inlineStr">
        <x:is>
          <x:t xml:space="preserve">POPULATED_SOURCE_RECORD</x:t>
        </x:is>
      </x:c>
      <x:c r="AU40" s="234" t="inlineStr">
        <x:is>
          <x:t xml:space="preserve">ANNOTATED_IMAGE_AVAILABLE</x:t>
        </x:is>
      </x:c>
    </x:row>
    <x:row r="41" s="232" customFormat="1" ht="32" customHeight="1">
      <x:c r="A41" s="81" t="n">
        <x:v>26</x:v>
      </x:c>
      <x:c r="B41" s="234" t="inlineStr">
        <x:is>
          <x:t xml:space="preserve">26.jpg</x:t>
        </x:is>
      </x:c>
      <x:c r="C41" s="234" t="inlineStr">
        <x:is>
          <x:t xml:space="preserve">LP026-F90</x:t>
        </x:is>
      </x:c>
      <x:c r="D41" s="234" t="inlineStr">
        <x:is>
          <x:t xml:space="preserve">CSV source spreadsheet; feature-level representation</x:t>
        </x:is>
      </x:c>
      <x:c r="E41" s="234" t="n"/>
      <x:c r="F41" s="234" t="n"/>
      <x:c r="G41" s="234" t="inlineStr">
        <x:is>
          <x:t xml:space="preserve">branch-associated dot</x:t>
        </x:is>
      </x:c>
      <x:c r="H41" s="234" t="inlineStr">
        <x:is>
          <x:t xml:space="preserve">Source CSV records one dot to the right of the branch/tree drawing.</x:t>
        </x:is>
      </x:c>
      <x:c r="I41" s="83" t="n">
        <x:v>1</x:v>
      </x:c>
      <x:c r="J41" s="83" t="n"/>
      <x:c r="K41" s="83" t="n">
        <x:v>1</x:v>
      </x:c>
      <x:c r="L41" s="83" t="n"/>
      <x:c r="M41" s="83" t="n"/>
      <x:c r="N41" s="83" t="n"/>
      <x:c r="O41" s="83" t="n"/>
      <x:c r="P41" s="83" t="n"/>
      <x:c r="Q41" s="234" t="inlineStr">
        <x:is>
          <x:t xml:space="preserve">RIGHT PAGE</x:t>
        </x:is>
      </x:c>
      <x:c r="R41" s="234" t="n"/>
      <x:c r="S41" s="234" t="n"/>
      <x:c r="T41" s="234" t="n"/>
      <x:c r="U41" s="234" t="n"/>
      <x:c r="V41" s="234" t="n"/>
      <x:c r="W41" s="234" t="n"/>
      <x:c r="X41" s="234" t="inlineStr">
        <x:is>
          <x:t xml:space="preserve">To the right of the branch/tree illustration</x:t>
        </x:is>
      </x:c>
      <x:c r="Y41" s="234" t="inlineStr">
        <x:is>
          <x:t xml:space="preserve">Pages 25–30 alternate left/right branch placement; whether the dot placement encodes an instruction is unresolved.</x:t>
        </x:is>
      </x:c>
      <x:c r="Z41" s="234" t="inlineStr">
        <x:is>
          <x:t xml:space="preserve">medium</x:t>
        </x:is>
      </x:c>
      <x:c r="AA41" s="234" t="inlineStr">
        <x:is>
          <x:t xml:space="preserve">CSV_RECORDED_NOT_INDEPENDENTLY_RECOUNTED</x:t>
        </x:is>
      </x:c>
      <x:c r="AB41" s="234" t="inlineStr">
        <x:is>
          <x:t xml:space="preserve">https://github.com/mrroot01011001/Cicada-3301-/blob/main/liber-primus/pages/26.jpg</x:t>
        </x:is>
      </x:c>
      <x:c r="AC41" s="234" t="inlineStr">
        <x:is>
          <x:t xml:space="preserve">https://github.com/mrfentmen/annotated-pages/blob/main/26.jpg</x:t>
        </x:is>
      </x:c>
      <x:c r="AD41" s="234" t="inlineStr">
        <x:is>
          <x:t xml:space="preserve">CSV also repeats a historical Fibonacci hypothesis referring to pages 09–15; preserve as hypothesis, not established result.</x:t>
        </x:is>
      </x:c>
      <x:c r="AE41" s="234" t="n"/>
      <x:c r="AF41" s="234" t="n"/>
      <x:c r="AG41" s="234" t="n"/>
      <x:c r="AH41" s="234" t="inlineStr">
        <x:is>
          <x:t xml:space="preserve">single_page</x:t>
        </x:is>
      </x:c>
      <x:c r="AI41" s="234" t="inlineStr">
        <x:is>
          <x:t xml:space="preserve">26.JPG</x:t>
        </x:is>
      </x:c>
      <x:c r="AJ41" s="234" t="inlineStr">
        <x:is>
          <x:t xml:space="preserve">CSV-D010</x:t>
        </x:is>
      </x:c>
      <x:c r="AK41" s="234" t="n">
        <x:v>10</x:v>
      </x:c>
      <x:c r="AL41" s="234" t="inlineStr">
        <x:is>
          <x:t xml:space="preserve">FIBO BRANCH WITH STEMS</x:t>
        </x:is>
      </x:c>
      <x:c r="AM41" s="234" t="inlineStr">
        <x:is>
          <x:t xml:space="preserve">0</x:t>
        </x:is>
      </x:c>
      <x:c r="AN41" s="234" t="inlineStr">
        <x:is>
          <x:t xml:space="preserve">1</x:t>
        </x:is>
      </x:c>
      <x:c r="AO41" s="234" t="inlineStr">
        <x:is>
          <x:t xml:space="preserve">0</x:t>
        </x:is>
      </x:c>
      <x:c r="AP41" s="234" t="inlineStr">
        <x:is>
          <x:t xml:space="preserve">RIGHT PAGE</x:t>
        </x:is>
      </x:c>
      <x:c r="AQ41" s="234" t="inlineStr">
        <x:is>
          <x:t xml:space="preserve">0</x:t>
        </x:is>
      </x:c>
      <x:c r="AR41"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1" s="234" t="n"/>
      <x:c r="AT41" s="234" t="inlineStr">
        <x:is>
          <x:t xml:space="preserve">POPULATED_SOURCE_RECORD</x:t>
        </x:is>
      </x:c>
      <x:c r="AU41" s="234" t="inlineStr">
        <x:is>
          <x:t xml:space="preserve">ANNOTATED_IMAGE_AVAILABLE; NEW FEATURE/COUNT NOT INDEPENDENTLY RECOUNTED</x:t>
        </x:is>
      </x:c>
    </x:row>
    <x:row r="42" s="232" customFormat="1" ht="32" customHeight="1">
      <x:c r="A42" s="81" t="n">
        <x:v>27</x:v>
      </x:c>
      <x:c r="B42" s="234" t="inlineStr">
        <x:is>
          <x:t xml:space="preserve">27.jpg</x:t>
        </x:is>
      </x:c>
      <x:c r="C42" s="234" t="inlineStr">
        <x:is>
          <x:t xml:space="preserve">LP027-F01</x:t>
        </x:is>
      </x:c>
      <x:c r="D42" s="234" t="inlineStr">
        <x:is>
          <x:t xml:space="preserve">original artwork</x:t>
        </x:is>
      </x:c>
      <x:c r="E42" s="234" t="n"/>
      <x:c r="F42" s="234" t="n"/>
      <x:c r="G42" s="234" t="inlineStr">
        <x:is>
          <x:t xml:space="preserve">branch/tree ornament</x:t>
        </x:is>
      </x:c>
      <x:c r="H42" s="234" t="inlineStr">
        <x:is>
          <x:t xml:space="preserve">Single tall, mostly bare tree/branch drawing placed on the left margin.</x:t>
        </x:is>
      </x:c>
      <x:c r="I42" s="83" t="n"/>
      <x:c r="J42" s="83" t="n"/>
      <x:c r="K42" s="83" t="n"/>
      <x:c r="L42" s="83" t="n"/>
      <x:c r="M42" s="83" t="n"/>
      <x:c r="N42" s="83" t="n"/>
      <x:c r="O42" s="83" t="n"/>
      <x:c r="P42" s="83" t="n"/>
      <x:c r="Q42" s="234" t="inlineStr">
        <x:is>
          <x:t xml:space="preserve">left margin</x:t>
        </x:is>
      </x:c>
      <x:c r="R42" s="234" t="n"/>
      <x:c r="S42" s="234" t="n"/>
      <x:c r="T42" s="234" t="n"/>
      <x:c r="U42" s="234" t="n"/>
      <x:c r="V42" s="234" t="n"/>
      <x:c r="W42" s="234" t="n"/>
      <x:c r="X42" s="234" t="inlineStr">
        <x:is>
          <x:t xml:space="preserve">beside main text block</x:t>
        </x:is>
      </x:c>
      <x:c r="Y42" s="234" t="inlineStr">
        <x:is>
          <x:t xml:space="preserve">Page-side placement across pages 25–31 appears to alternate L/R; whether intentional encoding is unresolved.</x:t>
        </x:is>
      </x:c>
      <x:c r="Z42" s="234" t="inlineStr">
        <x:is>
          <x:t xml:space="preserve">high</x:t>
        </x:is>
      </x:c>
      <x:c r="AA42" s="234" t="inlineStr">
        <x:is>
          <x:t xml:space="preserve">OBSERVED</x:t>
        </x:is>
      </x:c>
      <x:c r="AB42" s="234" t="inlineStr">
        <x:is>
          <x:t xml:space="preserve">https://github.com/mrroot01011001/Cicada-3301-/blob/main/liber-primus/pages/27.jpg</x:t>
        </x:is>
      </x:c>
      <x:c r="AC42" s="234" t="inlineStr">
        <x:is>
          <x:t xml:space="preserve">https://github.com/mrfentmen/annotated-pages/blob/main/27.jpg</x:t>
        </x:is>
      </x:c>
      <x:c r="AD42" s="234" t="inlineStr">
        <x:is>
          <x:t xml:space="preserve">No branch counts, line angles, or endpoints have yet been measured.</x:t>
        </x:is>
      </x:c>
      <x:c r="AE42" s="234" t="n"/>
      <x:c r="AF42" s="234" t="n"/>
      <x:c r="AG42" s="234" t="n"/>
      <x:c r="AH42" s="234" t="inlineStr">
        <x:is>
          <x:t xml:space="preserve">single_page</x:t>
        </x:is>
      </x:c>
      <x:c r="AI42" s="234" t="inlineStr">
        <x:is>
          <x:t xml:space="preserve">27.JPG</x:t>
        </x:is>
      </x:c>
      <x:c r="AJ42" s="234" t="inlineStr">
        <x:is>
          <x:t xml:space="preserve">CSV-D011</x:t>
        </x:is>
      </x:c>
      <x:c r="AK42" s="234" t="n">
        <x:v>11</x:v>
      </x:c>
      <x:c r="AL42" s="234" t="inlineStr">
        <x:is>
          <x:t xml:space="preserve">FIBO BRANCH WITH STEMS</x:t>
        </x:is>
      </x:c>
      <x:c r="AM42" s="234" t="inlineStr">
        <x:is>
          <x:t xml:space="preserve">0</x:t>
        </x:is>
      </x:c>
      <x:c r="AN42" s="234" t="inlineStr">
        <x:is>
          <x:t xml:space="preserve">1</x:t>
        </x:is>
      </x:c>
      <x:c r="AO42" s="234" t="inlineStr">
        <x:is>
          <x:t xml:space="preserve">0</x:t>
        </x:is>
      </x:c>
      <x:c r="AP42" s="234" t="inlineStr">
        <x:is>
          <x:t xml:space="preserve">LEFT PAGE</x:t>
        </x:is>
      </x:c>
      <x:c r="AQ42" s="234" t="inlineStr">
        <x:is>
          <x:t xml:space="preserve">0</x:t>
        </x:is>
      </x:c>
      <x:c r="AR42"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2" s="234" t="n"/>
      <x:c r="AT42" s="234" t="inlineStr">
        <x:is>
          <x:t xml:space="preserve">POPULATED_SOURCE_RECORD</x:t>
        </x:is>
      </x:c>
      <x:c r="AU42" s="234" t="inlineStr">
        <x:is>
          <x:t xml:space="preserve">ANNOTATED_IMAGE_AVAILABLE</x:t>
        </x:is>
      </x:c>
    </x:row>
    <x:row r="43" s="232" customFormat="1" ht="32" customHeight="1">
      <x:c r="A43" s="81" t="n">
        <x:v>27</x:v>
      </x:c>
      <x:c r="B43" s="234" t="inlineStr">
        <x:is>
          <x:t xml:space="preserve">27.jpg</x:t>
        </x:is>
      </x:c>
      <x:c r="C43" s="234" t="inlineStr">
        <x:is>
          <x:t xml:space="preserve">LP027-F90</x:t>
        </x:is>
      </x:c>
      <x:c r="D43" s="234" t="inlineStr">
        <x:is>
          <x:t xml:space="preserve">CSV source spreadsheet; feature-level representation</x:t>
        </x:is>
      </x:c>
      <x:c r="E43" s="234" t="n"/>
      <x:c r="F43" s="234" t="n"/>
      <x:c r="G43" s="234" t="inlineStr">
        <x:is>
          <x:t xml:space="preserve">branch-associated dot</x:t>
        </x:is>
      </x:c>
      <x:c r="H43" s="234" t="inlineStr">
        <x:is>
          <x:t xml:space="preserve">Source CSV records one dot to the right of the branch/tree drawing.</x:t>
        </x:is>
      </x:c>
      <x:c r="I43" s="83" t="n">
        <x:v>1</x:v>
      </x:c>
      <x:c r="J43" s="83" t="n"/>
      <x:c r="K43" s="83" t="n">
        <x:v>1</x:v>
      </x:c>
      <x:c r="L43" s="83" t="n"/>
      <x:c r="M43" s="83" t="n"/>
      <x:c r="N43" s="83" t="n"/>
      <x:c r="O43" s="83" t="n"/>
      <x:c r="P43" s="83" t="n"/>
      <x:c r="Q43" s="234" t="inlineStr">
        <x:is>
          <x:t xml:space="preserve">LEFT PAGE</x:t>
        </x:is>
      </x:c>
      <x:c r="R43" s="234" t="n"/>
      <x:c r="S43" s="234" t="n"/>
      <x:c r="T43" s="234" t="n"/>
      <x:c r="U43" s="234" t="n"/>
      <x:c r="V43" s="234" t="n"/>
      <x:c r="W43" s="234" t="n"/>
      <x:c r="X43" s="234" t="inlineStr">
        <x:is>
          <x:t xml:space="preserve">To the right of the branch/tree illustration</x:t>
        </x:is>
      </x:c>
      <x:c r="Y43" s="234" t="inlineStr">
        <x:is>
          <x:t xml:space="preserve">Pages 25–30 alternate left/right branch placement; whether the dot placement encodes an instruction is unresolved.</x:t>
        </x:is>
      </x:c>
      <x:c r="Z43" s="234" t="inlineStr">
        <x:is>
          <x:t xml:space="preserve">medium</x:t>
        </x:is>
      </x:c>
      <x:c r="AA43" s="234" t="inlineStr">
        <x:is>
          <x:t xml:space="preserve">CSV_RECORDED_NOT_INDEPENDENTLY_RECOUNTED</x:t>
        </x:is>
      </x:c>
      <x:c r="AB43" s="234" t="inlineStr">
        <x:is>
          <x:t xml:space="preserve">https://github.com/mrroot01011001/Cicada-3301-/blob/main/liber-primus/pages/27.jpg</x:t>
        </x:is>
      </x:c>
      <x:c r="AC43" s="234" t="inlineStr">
        <x:is>
          <x:t xml:space="preserve">https://github.com/mrfentmen/annotated-pages/blob/main/27.jpg</x:t>
        </x:is>
      </x:c>
      <x:c r="AD43" s="234" t="inlineStr">
        <x:is>
          <x:t xml:space="preserve">CSV also repeats a historical Fibonacci hypothesis referring to pages 09–15; preserve as hypothesis, not established result.</x:t>
        </x:is>
      </x:c>
      <x:c r="AE43" s="234" t="n"/>
      <x:c r="AF43" s="234" t="n"/>
      <x:c r="AG43" s="234" t="n"/>
      <x:c r="AH43" s="234" t="inlineStr">
        <x:is>
          <x:t xml:space="preserve">single_page</x:t>
        </x:is>
      </x:c>
      <x:c r="AI43" s="234" t="inlineStr">
        <x:is>
          <x:t xml:space="preserve">27.JPG</x:t>
        </x:is>
      </x:c>
      <x:c r="AJ43" s="234" t="inlineStr">
        <x:is>
          <x:t xml:space="preserve">CSV-D011</x:t>
        </x:is>
      </x:c>
      <x:c r="AK43" s="234" t="n">
        <x:v>11</x:v>
      </x:c>
      <x:c r="AL43" s="234" t="inlineStr">
        <x:is>
          <x:t xml:space="preserve">FIBO BRANCH WITH STEMS</x:t>
        </x:is>
      </x:c>
      <x:c r="AM43" s="234" t="inlineStr">
        <x:is>
          <x:t xml:space="preserve">0</x:t>
        </x:is>
      </x:c>
      <x:c r="AN43" s="234" t="inlineStr">
        <x:is>
          <x:t xml:space="preserve">1</x:t>
        </x:is>
      </x:c>
      <x:c r="AO43" s="234" t="inlineStr">
        <x:is>
          <x:t xml:space="preserve">0</x:t>
        </x:is>
      </x:c>
      <x:c r="AP43" s="234" t="inlineStr">
        <x:is>
          <x:t xml:space="preserve">LEFT PAGE</x:t>
        </x:is>
      </x:c>
      <x:c r="AQ43" s="234" t="inlineStr">
        <x:is>
          <x:t xml:space="preserve">0</x:t>
        </x:is>
      </x:c>
      <x:c r="AR43"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3" s="234" t="n"/>
      <x:c r="AT43" s="234" t="inlineStr">
        <x:is>
          <x:t xml:space="preserve">POPULATED_SOURCE_RECORD</x:t>
        </x:is>
      </x:c>
      <x:c r="AU43" s="234" t="inlineStr">
        <x:is>
          <x:t xml:space="preserve">ANNOTATED_IMAGE_AVAILABLE; NEW FEATURE/COUNT NOT INDEPENDENTLY RECOUNTED</x:t>
        </x:is>
      </x:c>
    </x:row>
    <x:row r="44" s="232" customFormat="1" ht="32" customHeight="1">
      <x:c r="A44" s="81" t="n">
        <x:v>28</x:v>
      </x:c>
      <x:c r="B44" s="234" t="inlineStr">
        <x:is>
          <x:t xml:space="preserve">28.jpg</x:t>
        </x:is>
      </x:c>
      <x:c r="C44" s="234" t="inlineStr">
        <x:is>
          <x:t xml:space="preserve">LP028-F01</x:t>
        </x:is>
      </x:c>
      <x:c r="D44" s="234" t="inlineStr">
        <x:is>
          <x:t xml:space="preserve">original artwork</x:t>
        </x:is>
      </x:c>
      <x:c r="E44" s="234" t="n"/>
      <x:c r="F44" s="234" t="n"/>
      <x:c r="G44" s="234" t="inlineStr">
        <x:is>
          <x:t xml:space="preserve">branch/tree ornament</x:t>
        </x:is>
      </x:c>
      <x:c r="H44" s="234" t="inlineStr">
        <x:is>
          <x:t xml:space="preserve">Single tall, mostly bare tree/branch drawing placed on the right margin.</x:t>
        </x:is>
      </x:c>
      <x:c r="I44" s="83" t="n"/>
      <x:c r="J44" s="83" t="n"/>
      <x:c r="K44" s="83" t="n"/>
      <x:c r="L44" s="83" t="n"/>
      <x:c r="M44" s="83" t="n"/>
      <x:c r="N44" s="83" t="n"/>
      <x:c r="O44" s="83" t="n"/>
      <x:c r="P44" s="83" t="n"/>
      <x:c r="Q44" s="234" t="inlineStr">
        <x:is>
          <x:t xml:space="preserve">right margin</x:t>
        </x:is>
      </x:c>
      <x:c r="R44" s="234" t="n"/>
      <x:c r="S44" s="234" t="n"/>
      <x:c r="T44" s="234" t="n"/>
      <x:c r="U44" s="234" t="n"/>
      <x:c r="V44" s="234" t="n"/>
      <x:c r="W44" s="234" t="n"/>
      <x:c r="X44" s="234" t="inlineStr">
        <x:is>
          <x:t xml:space="preserve">beside main text block</x:t>
        </x:is>
      </x:c>
      <x:c r="Y44" s="234" t="inlineStr">
        <x:is>
          <x:t xml:space="preserve">Page-side placement across pages 25–31 appears to alternate L/R; whether intentional encoding is unresolved.</x:t>
        </x:is>
      </x:c>
      <x:c r="Z44" s="234" t="inlineStr">
        <x:is>
          <x:t xml:space="preserve">high</x:t>
        </x:is>
      </x:c>
      <x:c r="AA44" s="234" t="inlineStr">
        <x:is>
          <x:t xml:space="preserve">OBSERVED</x:t>
        </x:is>
      </x:c>
      <x:c r="AB44" s="234" t="inlineStr">
        <x:is>
          <x:t xml:space="preserve">https://github.com/mrroot01011001/Cicada-3301-/blob/main/liber-primus/pages/28.jpg</x:t>
        </x:is>
      </x:c>
      <x:c r="AC44" s="234" t="inlineStr">
        <x:is>
          <x:t xml:space="preserve">https://github.com/mrfentmen/annotated-pages/blob/main/28.jpg</x:t>
        </x:is>
      </x:c>
      <x:c r="AD44" s="234" t="inlineStr">
        <x:is>
          <x:t xml:space="preserve">No branch counts, line angles, or endpoints have yet been measured.</x:t>
        </x:is>
      </x:c>
      <x:c r="AE44" s="234" t="n"/>
      <x:c r="AF44" s="234" t="n"/>
      <x:c r="AG44" s="234" t="n"/>
      <x:c r="AH44" s="234" t="inlineStr">
        <x:is>
          <x:t xml:space="preserve">single_page</x:t>
        </x:is>
      </x:c>
      <x:c r="AI44" s="234" t="inlineStr">
        <x:is>
          <x:t xml:space="preserve">28.JPG</x:t>
        </x:is>
      </x:c>
      <x:c r="AJ44" s="234" t="inlineStr">
        <x:is>
          <x:t xml:space="preserve">CSV-D012</x:t>
        </x:is>
      </x:c>
      <x:c r="AK44" s="234" t="n">
        <x:v>12</x:v>
      </x:c>
      <x:c r="AL44" s="234" t="inlineStr">
        <x:is>
          <x:t xml:space="preserve">FIBO BRANCH WITH STEMS</x:t>
        </x:is>
      </x:c>
      <x:c r="AM44" s="234" t="inlineStr">
        <x:is>
          <x:t xml:space="preserve">0</x:t>
        </x:is>
      </x:c>
      <x:c r="AN44" s="234" t="inlineStr">
        <x:is>
          <x:t xml:space="preserve">1</x:t>
        </x:is>
      </x:c>
      <x:c r="AO44" s="234" t="inlineStr">
        <x:is>
          <x:t xml:space="preserve">0</x:t>
        </x:is>
      </x:c>
      <x:c r="AP44" s="234" t="inlineStr">
        <x:is>
          <x:t xml:space="preserve">RIGHT PAGE</x:t>
        </x:is>
      </x:c>
      <x:c r="AQ44" s="234" t="inlineStr">
        <x:is>
          <x:t xml:space="preserve">0</x:t>
        </x:is>
      </x:c>
      <x:c r="AR44"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4" s="234" t="n"/>
      <x:c r="AT44" s="234" t="inlineStr">
        <x:is>
          <x:t xml:space="preserve">POPULATED_SOURCE_RECORD</x:t>
        </x:is>
      </x:c>
      <x:c r="AU44" s="234" t="inlineStr">
        <x:is>
          <x:t xml:space="preserve">ANNOTATED_IMAGE_AVAILABLE</x:t>
        </x:is>
      </x:c>
    </x:row>
    <x:row r="45" s="232" customFormat="1" ht="32" customHeight="1">
      <x:c r="A45" s="81" t="n">
        <x:v>28</x:v>
      </x:c>
      <x:c r="B45" s="234" t="inlineStr">
        <x:is>
          <x:t xml:space="preserve">28.jpg</x:t>
        </x:is>
      </x:c>
      <x:c r="C45" s="234" t="inlineStr">
        <x:is>
          <x:t xml:space="preserve">LP028-F90</x:t>
        </x:is>
      </x:c>
      <x:c r="D45" s="234" t="inlineStr">
        <x:is>
          <x:t xml:space="preserve">CSV source spreadsheet; feature-level representation</x:t>
        </x:is>
      </x:c>
      <x:c r="E45" s="234" t="n"/>
      <x:c r="F45" s="234" t="n"/>
      <x:c r="G45" s="234" t="inlineStr">
        <x:is>
          <x:t xml:space="preserve">branch-associated dot</x:t>
        </x:is>
      </x:c>
      <x:c r="H45" s="234" t="inlineStr">
        <x:is>
          <x:t xml:space="preserve">Source CSV records one dot to the right of the branch/tree drawing.</x:t>
        </x:is>
      </x:c>
      <x:c r="I45" s="83" t="n">
        <x:v>1</x:v>
      </x:c>
      <x:c r="J45" s="83" t="n"/>
      <x:c r="K45" s="83" t="n">
        <x:v>1</x:v>
      </x:c>
      <x:c r="L45" s="83" t="n"/>
      <x:c r="M45" s="83" t="n"/>
      <x:c r="N45" s="83" t="n"/>
      <x:c r="O45" s="83" t="n"/>
      <x:c r="P45" s="83" t="n"/>
      <x:c r="Q45" s="234" t="inlineStr">
        <x:is>
          <x:t xml:space="preserve">RIGHT PAGE</x:t>
        </x:is>
      </x:c>
      <x:c r="R45" s="234" t="n"/>
      <x:c r="S45" s="234" t="n"/>
      <x:c r="T45" s="234" t="n"/>
      <x:c r="U45" s="234" t="n"/>
      <x:c r="V45" s="234" t="n"/>
      <x:c r="W45" s="234" t="n"/>
      <x:c r="X45" s="234" t="inlineStr">
        <x:is>
          <x:t xml:space="preserve">To the right of the branch/tree illustration</x:t>
        </x:is>
      </x:c>
      <x:c r="Y45" s="234" t="inlineStr">
        <x:is>
          <x:t xml:space="preserve">Pages 25–30 alternate left/right branch placement; whether the dot placement encodes an instruction is unresolved.</x:t>
        </x:is>
      </x:c>
      <x:c r="Z45" s="234" t="inlineStr">
        <x:is>
          <x:t xml:space="preserve">medium</x:t>
        </x:is>
      </x:c>
      <x:c r="AA45" s="234" t="inlineStr">
        <x:is>
          <x:t xml:space="preserve">CSV_RECORDED_NOT_INDEPENDENTLY_RECOUNTED</x:t>
        </x:is>
      </x:c>
      <x:c r="AB45" s="234" t="inlineStr">
        <x:is>
          <x:t xml:space="preserve">https://github.com/mrroot01011001/Cicada-3301-/blob/main/liber-primus/pages/28.jpg</x:t>
        </x:is>
      </x:c>
      <x:c r="AC45" s="234" t="inlineStr">
        <x:is>
          <x:t xml:space="preserve">https://github.com/mrfentmen/annotated-pages/blob/main/28.jpg</x:t>
        </x:is>
      </x:c>
      <x:c r="AD45" s="234" t="inlineStr">
        <x:is>
          <x:t xml:space="preserve">CSV also repeats a historical Fibonacci hypothesis referring to pages 09–15; preserve as hypothesis, not established result.</x:t>
        </x:is>
      </x:c>
      <x:c r="AE45" s="234" t="n"/>
      <x:c r="AF45" s="234" t="n"/>
      <x:c r="AG45" s="234" t="n"/>
      <x:c r="AH45" s="234" t="inlineStr">
        <x:is>
          <x:t xml:space="preserve">single_page</x:t>
        </x:is>
      </x:c>
      <x:c r="AI45" s="234" t="inlineStr">
        <x:is>
          <x:t xml:space="preserve">28.JPG</x:t>
        </x:is>
      </x:c>
      <x:c r="AJ45" s="234" t="inlineStr">
        <x:is>
          <x:t xml:space="preserve">CSV-D012</x:t>
        </x:is>
      </x:c>
      <x:c r="AK45" s="234" t="n">
        <x:v>12</x:v>
      </x:c>
      <x:c r="AL45" s="234" t="inlineStr">
        <x:is>
          <x:t xml:space="preserve">FIBO BRANCH WITH STEMS</x:t>
        </x:is>
      </x:c>
      <x:c r="AM45" s="234" t="inlineStr">
        <x:is>
          <x:t xml:space="preserve">0</x:t>
        </x:is>
      </x:c>
      <x:c r="AN45" s="234" t="inlineStr">
        <x:is>
          <x:t xml:space="preserve">1</x:t>
        </x:is>
      </x:c>
      <x:c r="AO45" s="234" t="inlineStr">
        <x:is>
          <x:t xml:space="preserve">0</x:t>
        </x:is>
      </x:c>
      <x:c r="AP45" s="234" t="inlineStr">
        <x:is>
          <x:t xml:space="preserve">RIGHT PAGE</x:t>
        </x:is>
      </x:c>
      <x:c r="AQ45" s="234" t="inlineStr">
        <x:is>
          <x:t xml:space="preserve">0</x:t>
        </x:is>
      </x:c>
      <x:c r="AR45"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5" s="234" t="n"/>
      <x:c r="AT45" s="234" t="inlineStr">
        <x:is>
          <x:t xml:space="preserve">POPULATED_SOURCE_RECORD</x:t>
        </x:is>
      </x:c>
      <x:c r="AU45" s="234" t="inlineStr">
        <x:is>
          <x:t xml:space="preserve">ANNOTATED_IMAGE_AVAILABLE; NEW FEATURE/COUNT NOT INDEPENDENTLY RECOUNTED</x:t>
        </x:is>
      </x:c>
    </x:row>
    <x:row r="46" s="232" customFormat="1" ht="32" customHeight="1">
      <x:c r="A46" s="81" t="n">
        <x:v>29</x:v>
      </x:c>
      <x:c r="B46" s="234" t="inlineStr">
        <x:is>
          <x:t xml:space="preserve">29.jpg</x:t>
        </x:is>
      </x:c>
      <x:c r="C46" s="234" t="inlineStr">
        <x:is>
          <x:t xml:space="preserve">LP029-F01</x:t>
        </x:is>
      </x:c>
      <x:c r="D46" s="234" t="inlineStr">
        <x:is>
          <x:t xml:space="preserve">original artwork</x:t>
        </x:is>
      </x:c>
      <x:c r="E46" s="234" t="n"/>
      <x:c r="F46" s="234" t="n"/>
      <x:c r="G46" s="234" t="inlineStr">
        <x:is>
          <x:t xml:space="preserve">branch/tree ornament</x:t>
        </x:is>
      </x:c>
      <x:c r="H46" s="234" t="inlineStr">
        <x:is>
          <x:t xml:space="preserve">Single tall, mostly bare tree/branch drawing placed on the left margin.</x:t>
        </x:is>
      </x:c>
      <x:c r="I46" s="83" t="n"/>
      <x:c r="J46" s="83" t="n"/>
      <x:c r="K46" s="83" t="n"/>
      <x:c r="L46" s="83" t="n"/>
      <x:c r="M46" s="83" t="n"/>
      <x:c r="N46" s="83" t="n"/>
      <x:c r="O46" s="83" t="n"/>
      <x:c r="P46" s="83" t="n"/>
      <x:c r="Q46" s="234" t="inlineStr">
        <x:is>
          <x:t xml:space="preserve">left margin</x:t>
        </x:is>
      </x:c>
      <x:c r="R46" s="234" t="n"/>
      <x:c r="S46" s="234" t="n"/>
      <x:c r="T46" s="234" t="n"/>
      <x:c r="U46" s="234" t="n"/>
      <x:c r="V46" s="234" t="n"/>
      <x:c r="W46" s="234" t="n"/>
      <x:c r="X46" s="234" t="inlineStr">
        <x:is>
          <x:t xml:space="preserve">beside main text block</x:t>
        </x:is>
      </x:c>
      <x:c r="Y46" s="234" t="inlineStr">
        <x:is>
          <x:t xml:space="preserve">Page-side placement across pages 25–31 appears to alternate L/R; whether intentional encoding is unresolved.</x:t>
        </x:is>
      </x:c>
      <x:c r="Z46" s="234" t="inlineStr">
        <x:is>
          <x:t xml:space="preserve">high</x:t>
        </x:is>
      </x:c>
      <x:c r="AA46" s="234" t="inlineStr">
        <x:is>
          <x:t xml:space="preserve">OBSERVED</x:t>
        </x:is>
      </x:c>
      <x:c r="AB46" s="234" t="inlineStr">
        <x:is>
          <x:t xml:space="preserve">https://github.com/mrroot01011001/Cicada-3301-/blob/main/liber-primus/pages/29.jpg</x:t>
        </x:is>
      </x:c>
      <x:c r="AC46" s="234" t="inlineStr">
        <x:is>
          <x:t xml:space="preserve">https://github.com/mrfentmen/annotated-pages/blob/main/29.jpg</x:t>
        </x:is>
      </x:c>
      <x:c r="AD46" s="234" t="inlineStr">
        <x:is>
          <x:t xml:space="preserve">No branch counts, line angles, or endpoints have yet been measured.</x:t>
        </x:is>
      </x:c>
      <x:c r="AE46" s="234" t="n"/>
      <x:c r="AF46" s="234" t="n"/>
      <x:c r="AG46" s="234" t="n"/>
      <x:c r="AH46" s="234" t="inlineStr">
        <x:is>
          <x:t xml:space="preserve">single_page</x:t>
        </x:is>
      </x:c>
      <x:c r="AI46" s="234" t="inlineStr">
        <x:is>
          <x:t xml:space="preserve">29.JPG</x:t>
        </x:is>
      </x:c>
      <x:c r="AJ46" s="234" t="inlineStr">
        <x:is>
          <x:t xml:space="preserve">CSV-D013</x:t>
        </x:is>
      </x:c>
      <x:c r="AK46" s="234" t="n">
        <x:v>13</x:v>
      </x:c>
      <x:c r="AL46" s="234" t="inlineStr">
        <x:is>
          <x:t xml:space="preserve">FIBO BRANCH WITH STEMS</x:t>
        </x:is>
      </x:c>
      <x:c r="AM46" s="234" t="inlineStr">
        <x:is>
          <x:t xml:space="preserve">0</x:t>
        </x:is>
      </x:c>
      <x:c r="AN46" s="234" t="inlineStr">
        <x:is>
          <x:t xml:space="preserve">1</x:t>
        </x:is>
      </x:c>
      <x:c r="AO46" s="234" t="inlineStr">
        <x:is>
          <x:t xml:space="preserve">0</x:t>
        </x:is>
      </x:c>
      <x:c r="AP46" s="234" t="inlineStr">
        <x:is>
          <x:t xml:space="preserve">LEFT PAGE</x:t>
        </x:is>
      </x:c>
      <x:c r="AQ46" s="234" t="inlineStr">
        <x:is>
          <x:t xml:space="preserve">0</x:t>
        </x:is>
      </x:c>
      <x:c r="AR46"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6" s="234" t="n"/>
      <x:c r="AT46" s="234" t="inlineStr">
        <x:is>
          <x:t xml:space="preserve">POPULATED_SOURCE_RECORD</x:t>
        </x:is>
      </x:c>
      <x:c r="AU46" s="234" t="inlineStr">
        <x:is>
          <x:t xml:space="preserve">ANNOTATED_IMAGE_AVAILABLE</x:t>
        </x:is>
      </x:c>
    </x:row>
    <x:row r="47" s="232" customFormat="1" ht="32" customHeight="1">
      <x:c r="A47" s="81" t="n">
        <x:v>29</x:v>
      </x:c>
      <x:c r="B47" s="234" t="inlineStr">
        <x:is>
          <x:t xml:space="preserve">29.jpg</x:t>
        </x:is>
      </x:c>
      <x:c r="C47" s="234" t="inlineStr">
        <x:is>
          <x:t xml:space="preserve">LP029-F90</x:t>
        </x:is>
      </x:c>
      <x:c r="D47" s="234" t="inlineStr">
        <x:is>
          <x:t xml:space="preserve">CSV source spreadsheet; feature-level representation</x:t>
        </x:is>
      </x:c>
      <x:c r="E47" s="234" t="n"/>
      <x:c r="F47" s="234" t="n"/>
      <x:c r="G47" s="234" t="inlineStr">
        <x:is>
          <x:t xml:space="preserve">branch-associated dot</x:t>
        </x:is>
      </x:c>
      <x:c r="H47" s="234" t="inlineStr">
        <x:is>
          <x:t xml:space="preserve">Source CSV records one dot to the right of the branch/tree drawing.</x:t>
        </x:is>
      </x:c>
      <x:c r="I47" s="83" t="n">
        <x:v>1</x:v>
      </x:c>
      <x:c r="J47" s="83" t="n"/>
      <x:c r="K47" s="83" t="n">
        <x:v>1</x:v>
      </x:c>
      <x:c r="L47" s="83" t="n"/>
      <x:c r="M47" s="83" t="n"/>
      <x:c r="N47" s="83" t="n"/>
      <x:c r="O47" s="83" t="n"/>
      <x:c r="P47" s="83" t="n"/>
      <x:c r="Q47" s="234" t="inlineStr">
        <x:is>
          <x:t xml:space="preserve">LEFT PAGE</x:t>
        </x:is>
      </x:c>
      <x:c r="R47" s="234" t="n"/>
      <x:c r="S47" s="234" t="n"/>
      <x:c r="T47" s="234" t="n"/>
      <x:c r="U47" s="234" t="n"/>
      <x:c r="V47" s="234" t="n"/>
      <x:c r="W47" s="234" t="n"/>
      <x:c r="X47" s="234" t="inlineStr">
        <x:is>
          <x:t xml:space="preserve">To the right of the branch/tree illustration</x:t>
        </x:is>
      </x:c>
      <x:c r="Y47" s="234" t="inlineStr">
        <x:is>
          <x:t xml:space="preserve">Pages 25–30 alternate left/right branch placement; whether the dot placement encodes an instruction is unresolved.</x:t>
        </x:is>
      </x:c>
      <x:c r="Z47" s="234" t="inlineStr">
        <x:is>
          <x:t xml:space="preserve">medium</x:t>
        </x:is>
      </x:c>
      <x:c r="AA47" s="234" t="inlineStr">
        <x:is>
          <x:t xml:space="preserve">CSV_RECORDED_NOT_INDEPENDENTLY_RECOUNTED</x:t>
        </x:is>
      </x:c>
      <x:c r="AB47" s="234" t="inlineStr">
        <x:is>
          <x:t xml:space="preserve">https://github.com/mrroot01011001/Cicada-3301-/blob/main/liber-primus/pages/29.jpg</x:t>
        </x:is>
      </x:c>
      <x:c r="AC47" s="234" t="inlineStr">
        <x:is>
          <x:t xml:space="preserve">https://github.com/mrfentmen/annotated-pages/blob/main/29.jpg</x:t>
        </x:is>
      </x:c>
      <x:c r="AD47" s="234" t="inlineStr">
        <x:is>
          <x:t xml:space="preserve">CSV also repeats a historical Fibonacci hypothesis referring to pages 09–15; preserve as hypothesis, not established result.</x:t>
        </x:is>
      </x:c>
      <x:c r="AE47" s="234" t="n"/>
      <x:c r="AF47" s="234" t="n"/>
      <x:c r="AG47" s="234" t="n"/>
      <x:c r="AH47" s="234" t="inlineStr">
        <x:is>
          <x:t xml:space="preserve">single_page</x:t>
        </x:is>
      </x:c>
      <x:c r="AI47" s="234" t="inlineStr">
        <x:is>
          <x:t xml:space="preserve">29.JPG</x:t>
        </x:is>
      </x:c>
      <x:c r="AJ47" s="234" t="inlineStr">
        <x:is>
          <x:t xml:space="preserve">CSV-D013</x:t>
        </x:is>
      </x:c>
      <x:c r="AK47" s="234" t="n">
        <x:v>13</x:v>
      </x:c>
      <x:c r="AL47" s="234" t="inlineStr">
        <x:is>
          <x:t xml:space="preserve">FIBO BRANCH WITH STEMS</x:t>
        </x:is>
      </x:c>
      <x:c r="AM47" s="234" t="inlineStr">
        <x:is>
          <x:t xml:space="preserve">0</x:t>
        </x:is>
      </x:c>
      <x:c r="AN47" s="234" t="inlineStr">
        <x:is>
          <x:t xml:space="preserve">1</x:t>
        </x:is>
      </x:c>
      <x:c r="AO47" s="234" t="inlineStr">
        <x:is>
          <x:t xml:space="preserve">0</x:t>
        </x:is>
      </x:c>
      <x:c r="AP47" s="234" t="inlineStr">
        <x:is>
          <x:t xml:space="preserve">LEFT PAGE</x:t>
        </x:is>
      </x:c>
      <x:c r="AQ47" s="234" t="inlineStr">
        <x:is>
          <x:t xml:space="preserve">0</x:t>
        </x:is>
      </x:c>
      <x:c r="AR47" s="234"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7" s="234" t="n"/>
      <x:c r="AT47" s="234" t="inlineStr">
        <x:is>
          <x:t xml:space="preserve">POPULATED_SOURCE_RECORD</x:t>
        </x:is>
      </x:c>
      <x:c r="AU47" s="234" t="inlineStr">
        <x:is>
          <x:t xml:space="preserve">ANNOTATED_IMAGE_AVAILABLE; NEW FEATURE/COUNT NOT INDEPENDENTLY RECOUNTED</x:t>
        </x:is>
      </x:c>
    </x:row>
    <x:row r="48" s="232" customFormat="1" ht="32" customHeight="1">
      <x:c r="A48" s="81" t="n">
        <x:v>30</x:v>
      </x:c>
      <x:c r="B48" s="234" t="inlineStr">
        <x:is>
          <x:t xml:space="preserve">30.jpg</x:t>
        </x:is>
      </x:c>
      <x:c r="C48" s="234" t="inlineStr">
        <x:is>
          <x:t xml:space="preserve">LP030-F01</x:t>
        </x:is>
      </x:c>
      <x:c r="D48" s="234" t="inlineStr">
        <x:is>
          <x:t xml:space="preserve">original artwork + user annotation</x:t>
        </x:is>
      </x:c>
      <x:c r="E48" s="234" t="inlineStr">
        <x:is>
          <x:t xml:space="preserve">blue</x:t>
        </x:is>
      </x:c>
      <x:c r="F48" s="234" t="inlineStr">
        <x:is>
          <x:t xml:space="preserve">1 inside a blue oval</x:t>
        </x:is>
      </x:c>
      <x:c r="G48" s="234" t="inlineStr">
        <x:is>
          <x:t xml:space="preserve">branch/tree ornament</x:t>
        </x:is>
      </x:c>
      <x:c r="H48" s="234" t="inlineStr">
        <x:is>
          <x:t xml:space="preserve">Single tall, mostly bare tree/branch drawing placed on the right margin.</x:t>
        </x:is>
      </x:c>
      <x:c r="I48" s="83" t="n"/>
      <x:c r="J48" s="83" t="n"/>
      <x:c r="K48" s="83" t="n"/>
      <x:c r="L48" s="83" t="n"/>
      <x:c r="M48" s="83" t="n"/>
      <x:c r="N48" s="83" t="n"/>
      <x:c r="O48" s="83" t="n"/>
      <x:c r="P48" s="83" t="n"/>
      <x:c r="Q48" s="234" t="inlineStr">
        <x:is>
          <x:t xml:space="preserve">right margin</x:t>
        </x:is>
      </x:c>
      <x:c r="R48" s="234" t="n"/>
      <x:c r="S48" s="234" t="n"/>
      <x:c r="T48" s="234" t="n"/>
      <x:c r="U48" s="234" t="n"/>
      <x:c r="V48" s="234" t="n"/>
      <x:c r="W48" s="234" t="n"/>
      <x:c r="X48" s="234" t="inlineStr">
        <x:is>
          <x:t xml:space="preserve">beside main text block</x:t>
        </x:is>
      </x:c>
      <x:c r="Y48" s="234" t="inlineStr">
        <x:is>
          <x:t xml:space="preserve">Page-side placement across pages 25–31 appears to alternate L/R; whether intentional encoding is unresolved.</x:t>
        </x:is>
      </x:c>
      <x:c r="Z48" s="234" t="inlineStr">
        <x:is>
          <x:t xml:space="preserve">high</x:t>
        </x:is>
      </x:c>
      <x:c r="AA48" s="234" t="inlineStr">
        <x:is>
          <x:t xml:space="preserve">ANNOTATION_VISIBLE</x:t>
        </x:is>
      </x:c>
      <x:c r="AB48" s="234" t="inlineStr">
        <x:is>
          <x:t xml:space="preserve">https://github.com/mrroot01011001/Cicada-3301-/blob/main/liber-primus/pages/30.jpg</x:t>
        </x:is>
      </x:c>
      <x:c r="AC48" s="234" t="inlineStr">
        <x:is>
          <x:t xml:space="preserve">https://github.com/mrfentmen/annotated-pages/blob/main/30.jpg</x:t>
        </x:is>
      </x:c>
      <x:c r="AD48" s="234" t="inlineStr">
        <x:is>
          <x:t xml:space="preserve">No branch counts, line angles, or endpoints have yet been measured.A blue circled 1 is visible adjacent to the branch stem.</x:t>
        </x:is>
      </x:c>
      <x:c r="AE48" s="234" t="n"/>
      <x:c r="AF48" s="234" t="n"/>
      <x:c r="AG48" s="234" t="n"/>
      <x:c r="AH48" s="234" t="inlineStr">
        <x:is>
          <x:t xml:space="preserve">single_page</x:t>
        </x:is>
      </x:c>
      <x:c r="AI48" s="234" t="inlineStr">
        <x:is>
          <x:t xml:space="preserve">30.JPG</x:t>
        </x:is>
      </x:c>
      <x:c r="AJ48" s="234" t="inlineStr">
        <x:is>
          <x:t xml:space="preserve">CSV-D014</x:t>
        </x:is>
      </x:c>
      <x:c r="AK48" s="234" t="n">
        <x:v>14</x:v>
      </x:c>
      <x:c r="AL48" s="234" t="inlineStr">
        <x:is>
          <x:t xml:space="preserve">FIBO BRANCH WITH STEMS</x:t>
        </x:is>
      </x:c>
      <x:c r="AM48" s="234" t="inlineStr">
        <x:is>
          <x:t xml:space="preserve">0</x:t>
        </x:is>
      </x:c>
      <x:c r="AN48" s="234" t="inlineStr">
        <x:is>
          <x:t xml:space="preserve">1</x:t>
        </x:is>
      </x:c>
      <x:c r="AO48" s="234" t="inlineStr">
        <x:is>
          <x:t xml:space="preserve">0</x:t>
        </x:is>
      </x:c>
      <x:c r="AP48" s="234" t="inlineStr">
        <x:is>
          <x:t xml:space="preserve">RIGHT PAGE</x:t>
        </x:is>
      </x:c>
      <x:c r="AQ48" s="234" t="inlineStr">
        <x:is>
          <x:t xml:space="preserve">0</x:t>
        </x:is>
      </x:c>
      <x:c r="AR48"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8" s="234" t="n"/>
      <x:c r="AT48" s="234" t="inlineStr">
        <x:is>
          <x:t xml:space="preserve">POPULATED_SOURCE_RECORD</x:t>
        </x:is>
      </x:c>
      <x:c r="AU48" s="234" t="inlineStr">
        <x:is>
          <x:t xml:space="preserve">ANNOTATED_IMAGE_AVAILABLE</x:t>
        </x:is>
      </x:c>
    </x:row>
    <x:row r="49" s="232" customFormat="1" ht="32" customHeight="1">
      <x:c r="A49" s="81" t="n">
        <x:v>30</x:v>
      </x:c>
      <x:c r="B49" s="234" t="inlineStr">
        <x:is>
          <x:t xml:space="preserve">30.jpg</x:t>
        </x:is>
      </x:c>
      <x:c r="C49" s="234" t="inlineStr">
        <x:is>
          <x:t xml:space="preserve">LP030-F90</x:t>
        </x:is>
      </x:c>
      <x:c r="D49" s="234" t="inlineStr">
        <x:is>
          <x:t xml:space="preserve">CSV source spreadsheet; feature-level representation</x:t>
        </x:is>
      </x:c>
      <x:c r="E49" s="234" t="n"/>
      <x:c r="F49" s="234" t="n"/>
      <x:c r="G49" s="234" t="inlineStr">
        <x:is>
          <x:t xml:space="preserve">branch-associated dot</x:t>
        </x:is>
      </x:c>
      <x:c r="H49" s="234" t="inlineStr">
        <x:is>
          <x:t xml:space="preserve">Source CSV records one dot to the right of the branch/tree drawing.</x:t>
        </x:is>
      </x:c>
      <x:c r="I49" s="83" t="n">
        <x:v>1</x:v>
      </x:c>
      <x:c r="J49" s="83" t="n"/>
      <x:c r="K49" s="83" t="n">
        <x:v>1</x:v>
      </x:c>
      <x:c r="L49" s="83" t="n"/>
      <x:c r="M49" s="83" t="n"/>
      <x:c r="N49" s="83" t="n"/>
      <x:c r="O49" s="83" t="n"/>
      <x:c r="P49" s="83" t="n"/>
      <x:c r="Q49" s="234" t="inlineStr">
        <x:is>
          <x:t xml:space="preserve">RIGHT PAGE</x:t>
        </x:is>
      </x:c>
      <x:c r="R49" s="234" t="n"/>
      <x:c r="S49" s="234" t="n"/>
      <x:c r="T49" s="234" t="n"/>
      <x:c r="U49" s="234" t="n"/>
      <x:c r="V49" s="234" t="n"/>
      <x:c r="W49" s="234" t="n"/>
      <x:c r="X49" s="234" t="inlineStr">
        <x:is>
          <x:t xml:space="preserve">To the right of the branch/tree illustration</x:t>
        </x:is>
      </x:c>
      <x:c r="Y49" s="234" t="inlineStr">
        <x:is>
          <x:t xml:space="preserve">Pages 25–30 alternate left/right branch placement; whether the dot placement encodes an instruction is unresolved.</x:t>
        </x:is>
      </x:c>
      <x:c r="Z49" s="234" t="inlineStr">
        <x:is>
          <x:t xml:space="preserve">medium</x:t>
        </x:is>
      </x:c>
      <x:c r="AA49" s="234" t="inlineStr">
        <x:is>
          <x:t xml:space="preserve">CSV_RECORDED_NOT_INDEPENDENTLY_RECOUNTED</x:t>
        </x:is>
      </x:c>
      <x:c r="AB49" s="234" t="inlineStr">
        <x:is>
          <x:t xml:space="preserve">https://github.com/mrroot01011001/Cicada-3301-/blob/main/liber-primus/pages/30.jpg</x:t>
        </x:is>
      </x:c>
      <x:c r="AC49" s="234" t="inlineStr">
        <x:is>
          <x:t xml:space="preserve">https://github.com/mrfentmen/annotated-pages/blob/main/30.jpg</x:t>
        </x:is>
      </x:c>
      <x:c r="AD49" s="234" t="inlineStr">
        <x:is>
          <x:t xml:space="preserve">CSV also repeats a historical Fibonacci hypothesis referring to pages 09–15; preserve as hypothesis, not established result.</x:t>
        </x:is>
      </x:c>
      <x:c r="AE49" s="234" t="n"/>
      <x:c r="AF49" s="234" t="n"/>
      <x:c r="AG49" s="234" t="n"/>
      <x:c r="AH49" s="234" t="inlineStr">
        <x:is>
          <x:t xml:space="preserve">single_page</x:t>
        </x:is>
      </x:c>
      <x:c r="AI49" s="234" t="inlineStr">
        <x:is>
          <x:t xml:space="preserve">30.JPG</x:t>
        </x:is>
      </x:c>
      <x:c r="AJ49" s="234" t="inlineStr">
        <x:is>
          <x:t xml:space="preserve">CSV-D014</x:t>
        </x:is>
      </x:c>
      <x:c r="AK49" s="234" t="n">
        <x:v>14</x:v>
      </x:c>
      <x:c r="AL49" s="234" t="inlineStr">
        <x:is>
          <x:t xml:space="preserve">FIBO BRANCH WITH STEMS</x:t>
        </x:is>
      </x:c>
      <x:c r="AM49" s="234" t="inlineStr">
        <x:is>
          <x:t xml:space="preserve">0</x:t>
        </x:is>
      </x:c>
      <x:c r="AN49" s="234" t="inlineStr">
        <x:is>
          <x:t xml:space="preserve">1</x:t>
        </x:is>
      </x:c>
      <x:c r="AO49" s="234" t="inlineStr">
        <x:is>
          <x:t xml:space="preserve">0</x:t>
        </x:is>
      </x:c>
      <x:c r="AP49" s="234" t="inlineStr">
        <x:is>
          <x:t xml:space="preserve">RIGHT PAGE</x:t>
        </x:is>
      </x:c>
      <x:c r="AQ49" s="234" t="inlineStr">
        <x:is>
          <x:t xml:space="preserve">0</x:t>
        </x:is>
      </x:c>
      <x:c r="AR49" s="234"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AS49" s="234" t="n"/>
      <x:c r="AT49" s="234" t="inlineStr">
        <x:is>
          <x:t xml:space="preserve">POPULATED_SOURCE_RECORD</x:t>
        </x:is>
      </x:c>
      <x:c r="AU49" s="234" t="inlineStr">
        <x:is>
          <x:t xml:space="preserve">ANNOTATED_IMAGE_AVAILABLE; NEW FEATURE/COUNT NOT INDEPENDENTLY RECOUNTED</x:t>
        </x:is>
      </x:c>
    </x:row>
    <x:row r="50" s="232" customFormat="1" ht="32" customHeight="1">
      <x:c r="A50" s="81" t="n">
        <x:v>31</x:v>
      </x:c>
      <x:c r="B50" s="234" t="inlineStr">
        <x:is>
          <x:t xml:space="preserve">31.jpg</x:t>
        </x:is>
      </x:c>
      <x:c r="C50" s="234" t="inlineStr">
        <x:is>
          <x:t xml:space="preserve">LP031-F01</x:t>
        </x:is>
      </x:c>
      <x:c r="D50" s="234" t="inlineStr">
        <x:is>
          <x:t xml:space="preserve">original artwork + user annotation</x:t>
        </x:is>
      </x:c>
      <x:c r="E50" s="234" t="inlineStr">
        <x:is>
          <x:t xml:space="preserve">blue; green; purple</x:t>
        </x:is>
      </x:c>
      <x:c r="F50" s="234" t="inlineStr">
        <x:is>
          <x:t xml:space="preserve">blue circled 1; green sequence labels near insect; one purple 1 near head</x:t>
        </x:is>
      </x:c>
      <x:c r="G50" s="234" t="inlineStr">
        <x:is>
          <x:t xml:space="preserve">branch/tree ornament</x:t>
        </x:is>
      </x:c>
      <x:c r="H50" s="234" t="inlineStr">
        <x:is>
          <x:t xml:space="preserve">Single tall, mostly bare tree/branch drawing placed on the left margin.</x:t>
        </x:is>
      </x:c>
      <x:c r="I50" s="83" t="n"/>
      <x:c r="J50" s="83" t="n"/>
      <x:c r="K50" s="83" t="n"/>
      <x:c r="L50" s="83" t="n"/>
      <x:c r="M50" s="83" t="n"/>
      <x:c r="N50" s="83" t="n"/>
      <x:c r="O50" s="83" t="n"/>
      <x:c r="P50" s="83" t="n"/>
      <x:c r="Q50" s="234" t="inlineStr">
        <x:is>
          <x:t xml:space="preserve">left margin</x:t>
        </x:is>
      </x:c>
      <x:c r="R50" s="234" t="n"/>
      <x:c r="S50" s="234" t="n"/>
      <x:c r="T50" s="234" t="n"/>
      <x:c r="U50" s="234" t="n"/>
      <x:c r="V50" s="234" t="n"/>
      <x:c r="W50" s="234" t="n"/>
      <x:c r="X50" s="234" t="inlineStr">
        <x:is>
          <x:t xml:space="preserve">beside main text block</x:t>
        </x:is>
      </x:c>
      <x:c r="Y50" s="234" t="inlineStr">
        <x:is>
          <x:t xml:space="preserve">Page-side placement across pages 25–31 appears to alternate L/R; whether intentional encoding is unresolved.</x:t>
        </x:is>
      </x:c>
      <x:c r="Z50" s="234" t="inlineStr">
        <x:is>
          <x:t xml:space="preserve">high</x:t>
        </x:is>
      </x:c>
      <x:c r="AA50" s="234" t="inlineStr">
        <x:is>
          <x:t xml:space="preserve">ANNOTATION_VISIBLE</x:t>
        </x:is>
      </x:c>
      <x:c r="AB50" s="234" t="inlineStr">
        <x:is>
          <x:t xml:space="preserve">https://github.com/mrroot01011001/Cicada-3301-/blob/main/liber-primus/pages/31.jpg</x:t>
        </x:is>
      </x:c>
      <x:c r="AC50" s="234" t="inlineStr">
        <x:is>
          <x:t xml:space="preserve">https://github.com/mrfentmen/annotated-pages/blob/main/31.jpg</x:t>
        </x:is>
      </x:c>
      <x:c r="AD50" s="234" t="inlineStr">
        <x:is>
          <x:t xml:space="preserve">No branch counts, line angles, or endpoints have yet been measured.The plant label and insect labels are separate annotations; crop-level audit needed.</x:t>
        </x:is>
      </x:c>
      <x:c r="AE50" s="234" t="n"/>
      <x:c r="AF50" s="234" t="n"/>
      <x:c r="AG50" s="234" t="n"/>
      <x:c r="AH50" s="234" t="inlineStr">
        <x:is>
          <x:t xml:space="preserve">single_page</x:t>
        </x:is>
      </x:c>
      <x:c r="AI50" s="234" t="inlineStr">
        <x:is>
          <x:t xml:space="preserve">31.JPG</x:t>
        </x:is>
      </x:c>
      <x:c r="AJ50" s="234" t="inlineStr">
        <x:is>
          <x:t xml:space="preserve">CSV-D015</x:t>
        </x:is>
      </x:c>
      <x:c r="AK50" s="234" t="n">
        <x:v>15</x:v>
      </x:c>
      <x:c r="AL50" s="234" t="inlineStr">
        <x:is>
          <x:t xml:space="preserve">BRANCH WITH STEMS AND DRAGONFLY/MAYFLY</x:t>
        </x:is>
      </x:c>
      <x:c r="AM50" s="234" t="inlineStr">
        <x:is>
          <x:t xml:space="preserve">0</x:t>
        </x:is>
      </x:c>
      <x:c r="AN50" s="234" t="inlineStr">
        <x:is>
          <x:t xml:space="preserve">1 OR 2 IF WE COUNT THE MAYFLYS EYE</x:t>
        </x:is>
      </x:c>
      <x:c r="AO50" s="234" t="inlineStr">
        <x:is>
          <x:t xml:space="preserve">0</x:t>
        </x:is>
      </x:c>
      <x:c r="AP50" s="234" t="inlineStr">
        <x:is>
          <x:t xml:space="preserve">LEFT PAGE</x:t>
        </x:is>
      </x:c>
      <x:c r="AQ50" s="234" t="inlineStr">
        <x:is>
          <x:t xml:space="preserve">0</x:t>
        </x:is>
      </x:c>
      <x:c r="AR50" s="234" t="inlineStr">
        <x:is>
          <x:t xml:space="preserve">BRANCH WITH STEMS SITTING ON THE LEFT SIDE OF THE PAGE WITH A DOT TO THE RIGHT OF IT BELOW THE GLYPHS IS A MAY FLY WITH 3 LINES COMING OUT OF ITS BACK  IT HAS 7 LINES</x:t>
        </x:is>
      </x:c>
      <x:c r="AS50" s="234" t="inlineStr">
        <x:is>
          <x:t xml:space="preserve">3 LINES COME OUT OF THE MOTH/MAYFLYS BACK 5 LINES ON THE MAYFLY IT SELF AND THEN 7 LINES THAT GO ACROSS THE MAYFLYS/MOTH WING</x:t>
        </x:is>
      </x:c>
      <x:c r="AT50" s="234" t="inlineStr">
        <x:is>
          <x:t xml:space="preserve">POPULATED_SOURCE_RECORD</x:t>
        </x:is>
      </x:c>
      <x:c r="AU50" s="234" t="inlineStr">
        <x:is>
          <x:t xml:space="preserve">ANNOTATED_IMAGE_AVAILABLE</x:t>
        </x:is>
      </x:c>
    </x:row>
    <x:row r="51" s="232" customFormat="1" ht="32" customHeight="1">
      <x:c r="A51" s="81" t="n">
        <x:v>31</x:v>
      </x:c>
      <x:c r="B51" s="234" t="inlineStr">
        <x:is>
          <x:t xml:space="preserve">31.jpg</x:t>
        </x:is>
      </x:c>
      <x:c r="C51" s="234" t="inlineStr">
        <x:is>
          <x:t xml:space="preserve">LP031-F02</x:t>
        </x:is>
      </x:c>
      <x:c r="D51" s="234" t="inlineStr">
        <x:is>
          <x:t xml:space="preserve">original artwork + user annotation</x:t>
        </x:is>
      </x:c>
      <x:c r="E51" s="234" t="inlineStr">
        <x:is>
          <x:t xml:space="preserve">green and purple</x:t>
        </x:is>
      </x:c>
      <x:c r="F51" s="234" t="inlineStr">
        <x:is>
          <x:t xml:space="preserve">green numbered labels along abdomen/body; purple 1 near head</x:t>
        </x:is>
      </x:c>
      <x:c r="G51" s="234" t="inlineStr">
        <x:is>
          <x:t xml:space="preserve">insect-like figure</x:t>
        </x:is>
      </x:c>
      <x:c r="H51" s="234" t="inlineStr">
        <x:is>
          <x:t xml:space="preserve">A small winged insect-like drawing in the lower-right area, with numbered labels along the body and near the head.</x:t>
        </x:is>
      </x:c>
      <x:c r="I51" s="83" t="n"/>
      <x:c r="J51" s="83" t="n"/>
      <x:c r="K51" s="83" t="n"/>
      <x:c r="L51" s="83" t="n"/>
      <x:c r="M51" s="83" t="n"/>
      <x:c r="N51" s="83" t="n"/>
      <x:c r="O51" s="83" t="n"/>
      <x:c r="P51" s="83" t="n"/>
      <x:c r="Q51" s="234" t="n"/>
      <x:c r="R51" s="234" t="n"/>
      <x:c r="S51" s="234" t="n"/>
      <x:c r="T51" s="234" t="n"/>
      <x:c r="U51" s="234" t="n"/>
      <x:c r="V51" s="234" t="n"/>
      <x:c r="W51" s="234" t="n"/>
      <x:c r="X51" s="234" t="inlineStr">
        <x:is>
          <x:t xml:space="preserve">lower-right area</x:t>
        </x:is>
      </x:c>
      <x:c r="Y51" s="234" t="inlineStr">
        <x:is>
          <x:t xml:space="preserve">Labels may index body/wing regions; not yet converted to a graph.</x:t>
        </x:is>
      </x:c>
      <x:c r="Z51" s="234" t="inlineStr">
        <x:is>
          <x:t xml:space="preserve">medium</x:t>
        </x:is>
      </x:c>
      <x:c r="AA51" s="234" t="inlineStr">
        <x:is>
          <x:t xml:space="preserve">ANNOTATION_VISIBLE</x:t>
        </x:is>
      </x:c>
      <x:c r="AB51" s="234" t="inlineStr">
        <x:is>
          <x:t xml:space="preserve">https://github.com/mrroot01011001/Cicada-3301-/blob/main/liber-primus/pages/31.jpg</x:t>
        </x:is>
      </x:c>
      <x:c r="AC51" s="234" t="inlineStr">
        <x:is>
          <x:t xml:space="preserve">https://github.com/mrfentmen/annotated-pages/blob/main/31.jpg</x:t>
        </x:is>
      </x:c>
      <x:c r="AD51" s="234" t="inlineStr">
        <x:is>
          <x:t xml:space="preserve">Visible green labels include a sequence along the abdomen; exact segment boundaries need a crop.</x:t>
        </x:is>
      </x:c>
      <x:c r="AE51" s="234" t="n"/>
      <x:c r="AF51" s="234" t="n"/>
      <x:c r="AG51" s="234" t="n"/>
      <x:c r="AH51" s="234" t="inlineStr">
        <x:is>
          <x:t xml:space="preserve">single_page</x:t>
        </x:is>
      </x:c>
      <x:c r="AI51" s="234" t="inlineStr">
        <x:is>
          <x:t xml:space="preserve">31.JPG</x:t>
        </x:is>
      </x:c>
      <x:c r="AJ51" s="234" t="inlineStr">
        <x:is>
          <x:t xml:space="preserve">CSV-D015</x:t>
        </x:is>
      </x:c>
      <x:c r="AK51" s="234" t="n">
        <x:v>15</x:v>
      </x:c>
      <x:c r="AL51" s="234" t="inlineStr">
        <x:is>
          <x:t xml:space="preserve">BRANCH WITH STEMS AND DRAGONFLY/MAYFLY</x:t>
        </x:is>
      </x:c>
      <x:c r="AM51" s="234" t="inlineStr">
        <x:is>
          <x:t xml:space="preserve">0</x:t>
        </x:is>
      </x:c>
      <x:c r="AN51" s="234" t="inlineStr">
        <x:is>
          <x:t xml:space="preserve">1 OR 2 IF WE COUNT THE MAYFLYS EYE</x:t>
        </x:is>
      </x:c>
      <x:c r="AO51" s="234" t="inlineStr">
        <x:is>
          <x:t xml:space="preserve">0</x:t>
        </x:is>
      </x:c>
      <x:c r="AP51" s="234" t="inlineStr">
        <x:is>
          <x:t xml:space="preserve">LEFT PAGE</x:t>
        </x:is>
      </x:c>
      <x:c r="AQ51" s="234" t="inlineStr">
        <x:is>
          <x:t xml:space="preserve">0</x:t>
        </x:is>
      </x:c>
      <x:c r="AR51" s="234" t="inlineStr">
        <x:is>
          <x:t xml:space="preserve">BRANCH WITH STEMS SITTING ON THE LEFT SIDE OF THE PAGE WITH A DOT TO THE RIGHT OF IT BELOW THE GLYPHS IS A MAY FLY WITH 3 LINES COMING OUT OF ITS BACK  IT HAS 7 LINES</x:t>
        </x:is>
      </x:c>
      <x:c r="AS51" s="234" t="inlineStr">
        <x:is>
          <x:t xml:space="preserve">3 LINES COME OUT OF THE MOTH/MAYFLYS BACK 5 LINES ON THE MAYFLY IT SELF AND THEN 7 LINES THAT GO ACROSS THE MAYFLYS/MOTH WING</x:t>
        </x:is>
      </x:c>
      <x:c r="AT51" s="234" t="inlineStr">
        <x:is>
          <x:t xml:space="preserve">POPULATED_SOURCE_RECORD</x:t>
        </x:is>
      </x:c>
      <x:c r="AU51" s="234" t="inlineStr">
        <x:is>
          <x:t xml:space="preserve">ANNOTATED_IMAGE_AVAILABLE</x:t>
        </x:is>
      </x:c>
    </x:row>
    <x:row r="52" s="232" customFormat="1" ht="32" customHeight="1">
      <x:c r="A52" s="81" t="n">
        <x:v>31</x:v>
      </x:c>
      <x:c r="B52" s="234" t="inlineStr">
        <x:is>
          <x:t xml:space="preserve">31.jpg</x:t>
        </x:is>
      </x:c>
      <x:c r="C52" s="234" t="inlineStr">
        <x:is>
          <x:t xml:space="preserve">LP031-F90</x:t>
        </x:is>
      </x:c>
      <x:c r="D52" s="234" t="inlineStr">
        <x:is>
          <x:t xml:space="preserve">CSV source spreadsheet; feature-level representation</x:t>
        </x:is>
      </x:c>
      <x:c r="E52" s="234" t="n"/>
      <x:c r="F52" s="234" t="n"/>
      <x:c r="G52" s="234" t="inlineStr">
        <x:is>
          <x:t xml:space="preserve">branch-associated dot / possible insect-eye count</x:t>
        </x:is>
      </x:c>
      <x:c r="H52" s="234" t="inlineStr">
        <x:is>
          <x:t xml:space="preserve">Source CSV records a dot to the right of the branch and says external-dot count may be 1 or 2 if the mayfly's eye is counted.</x:t>
        </x:is>
      </x:c>
      <x:c r="I52" s="83" t="n"/>
      <x:c r="J52" s="83" t="n"/>
      <x:c r="K52" s="83" t="n"/>
      <x:c r="L52" s="83" t="n"/>
      <x:c r="M52" s="83" t="n"/>
      <x:c r="N52" s="83" t="n"/>
      <x:c r="O52" s="83" t="n"/>
      <x:c r="P52" s="83" t="n"/>
      <x:c r="Q52" s="234" t="inlineStr">
        <x:is>
          <x:t xml:space="preserve">left side of page</x:t>
        </x:is>
      </x:c>
      <x:c r="R52" s="234" t="n"/>
      <x:c r="S52" s="234" t="n"/>
      <x:c r="T52" s="234" t="n"/>
      <x:c r="U52" s="234" t="n"/>
      <x:c r="V52" s="234" t="n"/>
      <x:c r="W52" s="234" t="n"/>
      <x:c r="X52" s="234" t="inlineStr">
        <x:is>
          <x:t xml:space="preserve">Beside branch and below glyphs</x:t>
        </x:is>
      </x:c>
      <x:c r="Y52" s="234" t="n"/>
      <x:c r="Z52" s="234" t="inlineStr">
        <x:is>
          <x:t xml:space="preserve">low</x:t>
        </x:is>
      </x:c>
      <x:c r="AA52" s="234" t="inlineStr">
        <x:is>
          <x:t xml:space="preserve">CSV_RECORDED_AMBIGUOUS_COUNT</x:t>
        </x:is>
      </x:c>
      <x:c r="AB52" s="234" t="inlineStr">
        <x:is>
          <x:t xml:space="preserve">https://github.com/mrroot01011001/Cicada-3301-/blob/main/liber-primus/pages/31.jpg</x:t>
        </x:is>
      </x:c>
      <x:c r="AC52" s="234" t="inlineStr">
        <x:is>
          <x:t xml:space="preserve">https://github.com/mrfentmen/annotated-pages/blob/main/31.jpg</x:t>
        </x:is>
      </x:c>
      <x:c r="AD52" s="234" t="inlineStr">
        <x:is>
          <x:t xml:space="preserve">External-dot count intentionally left unknown; raw wording is preserved in source_csv_external_dots_raw.</x:t>
        </x:is>
      </x:c>
      <x:c r="AE52" s="234" t="n"/>
      <x:c r="AF52" s="234" t="n"/>
      <x:c r="AG52" s="234" t="n"/>
      <x:c r="AH52" s="234" t="inlineStr">
        <x:is>
          <x:t xml:space="preserve">single_page</x:t>
        </x:is>
      </x:c>
      <x:c r="AI52" s="234" t="inlineStr">
        <x:is>
          <x:t xml:space="preserve">31.JPG</x:t>
        </x:is>
      </x:c>
      <x:c r="AJ52" s="234" t="inlineStr">
        <x:is>
          <x:t xml:space="preserve">CSV-D015</x:t>
        </x:is>
      </x:c>
      <x:c r="AK52" s="234" t="n">
        <x:v>15</x:v>
      </x:c>
      <x:c r="AL52" s="234" t="inlineStr">
        <x:is>
          <x:t xml:space="preserve">BRANCH WITH STEMS AND DRAGONFLY/MAYFLY</x:t>
        </x:is>
      </x:c>
      <x:c r="AM52" s="234" t="inlineStr">
        <x:is>
          <x:t xml:space="preserve">0</x:t>
        </x:is>
      </x:c>
      <x:c r="AN52" s="234" t="inlineStr">
        <x:is>
          <x:t xml:space="preserve">1 OR 2 IF WE COUNT THE MAYFLYS EYE</x:t>
        </x:is>
      </x:c>
      <x:c r="AO52" s="234" t="inlineStr">
        <x:is>
          <x:t xml:space="preserve">0</x:t>
        </x:is>
      </x:c>
      <x:c r="AP52" s="234" t="inlineStr">
        <x:is>
          <x:t xml:space="preserve">LEFT PAGE</x:t>
        </x:is>
      </x:c>
      <x:c r="AQ52" s="234" t="inlineStr">
        <x:is>
          <x:t xml:space="preserve">0</x:t>
        </x:is>
      </x:c>
      <x:c r="AR52" s="234" t="inlineStr">
        <x:is>
          <x:t xml:space="preserve">BRANCH WITH STEMS SITTING ON THE LEFT SIDE OF THE PAGE WITH A DOT TO THE RIGHT OF IT BELOW THE GLYPHS IS A MAY FLY WITH 3 LINES COMING OUT OF ITS BACK  IT HAS 7 LINES</x:t>
        </x:is>
      </x:c>
      <x:c r="AS52" s="234" t="inlineStr">
        <x:is>
          <x:t xml:space="preserve">3 LINES COME OUT OF THE MOTH/MAYFLYS BACK 5 LINES ON THE MAYFLY IT SELF AND THEN 7 LINES THAT GO ACROSS THE MAYFLYS/MOTH WING</x:t>
        </x:is>
      </x:c>
      <x:c r="AT52" s="234" t="inlineStr">
        <x:is>
          <x:t xml:space="preserve">POPULATED_SOURCE_RECORD</x:t>
        </x:is>
      </x:c>
      <x:c r="AU52" s="234" t="inlineStr">
        <x:is>
          <x:t xml:space="preserve">ANNOTATED_IMAGE_AVAILABLE</x:t>
        </x:is>
      </x:c>
    </x:row>
    <x:row r="53" s="232" customFormat="1" ht="32" customHeight="1">
      <x:c r="A53" s="81" t="n">
        <x:v>31</x:v>
      </x:c>
      <x:c r="B53" s="234" t="inlineStr">
        <x:is>
          <x:t xml:space="preserve">31.jpg</x:t>
        </x:is>
      </x:c>
      <x:c r="C53" s="234" t="inlineStr">
        <x:is>
          <x:t xml:space="preserve">LP031-F91</x:t>
        </x:is>
      </x:c>
      <x:c r="D53" s="234" t="inlineStr">
        <x:is>
          <x:t xml:space="preserve">CSV source spreadsheet; feature-level representation</x:t>
        </x:is>
      </x:c>
      <x:c r="E53" s="234" t="n"/>
      <x:c r="F53" s="234" t="n"/>
      <x:c r="G53" s="234" t="inlineStr">
        <x:is>
          <x:t xml:space="preserve">insect back-originating lines</x:t>
        </x:is>
      </x:c>
      <x:c r="H53" s="234" t="inlineStr">
        <x:is>
          <x:t xml:space="preserve">CSV says three lines come out of the moth/mayfly's back.</x:t>
        </x:is>
      </x:c>
      <x:c r="I53" s="83" t="n"/>
      <x:c r="J53" s="83" t="n"/>
      <x:c r="K53" s="83" t="n"/>
      <x:c r="L53" s="83" t="n"/>
      <x:c r="M53" s="83" t="n">
        <x:v>3</x:v>
      </x:c>
      <x:c r="N53" s="83" t="n"/>
      <x:c r="O53" s="83" t="n"/>
      <x:c r="P53" s="83" t="n"/>
      <x:c r="Q53" s="234" t="n"/>
      <x:c r="R53" s="234" t="n"/>
      <x:c r="S53" s="234" t="n"/>
      <x:c r="T53" s="234" t="n"/>
      <x:c r="U53" s="234" t="n"/>
      <x:c r="V53" s="234" t="n"/>
      <x:c r="W53" s="234" t="n"/>
      <x:c r="X53" s="234" t="inlineStr">
        <x:is>
          <x:t xml:space="preserve">insect back</x:t>
        </x:is>
      </x:c>
      <x:c r="Y53" s="234" t="n"/>
      <x:c r="Z53" s="234" t="inlineStr">
        <x:is>
          <x:t xml:space="preserve">medium</x:t>
        </x:is>
      </x:c>
      <x:c r="AA53" s="234" t="inlineStr">
        <x:is>
          <x:t xml:space="preserve">CSV_RECORDED_NOT_INDEPENDENTLY_RECOUNTED</x:t>
        </x:is>
      </x:c>
      <x:c r="AB53" s="234" t="inlineStr">
        <x:is>
          <x:t xml:space="preserve">https://github.com/mrroot01011001/Cicada-3301-/blob/main/liber-primus/pages/31.jpg</x:t>
        </x:is>
      </x:c>
      <x:c r="AC53" s="234" t="inlineStr">
        <x:is>
          <x:t xml:space="preserve">https://github.com/mrfentmen/annotated-pages/blob/main/31.jpg</x:t>
        </x:is>
      </x:c>
      <x:c r="AD53" s="234" t="inlineStr">
        <x:is>
          <x:t xml:space="preserve">Line group stored separately; the three values 3, 5, and 7 are not added together as a total.</x:t>
        </x:is>
      </x:c>
      <x:c r="AE53" s="234" t="n"/>
      <x:c r="AF53" s="234" t="n"/>
      <x:c r="AG53" s="234" t="n"/>
      <x:c r="AH53" s="234" t="inlineStr">
        <x:is>
          <x:t xml:space="preserve">single_page</x:t>
        </x:is>
      </x:c>
      <x:c r="AI53" s="234" t="inlineStr">
        <x:is>
          <x:t xml:space="preserve">31.JPG</x:t>
        </x:is>
      </x:c>
      <x:c r="AJ53" s="234" t="inlineStr">
        <x:is>
          <x:t xml:space="preserve">CSV-D015</x:t>
        </x:is>
      </x:c>
      <x:c r="AK53" s="234" t="n">
        <x:v>15</x:v>
      </x:c>
      <x:c r="AL53" s="234" t="inlineStr">
        <x:is>
          <x:t xml:space="preserve">BRANCH WITH STEMS AND DRAGONFLY/MAYFLY</x:t>
        </x:is>
      </x:c>
      <x:c r="AM53" s="234" t="inlineStr">
        <x:is>
          <x:t xml:space="preserve">0</x:t>
        </x:is>
      </x:c>
      <x:c r="AN53" s="234" t="inlineStr">
        <x:is>
          <x:t xml:space="preserve">1 OR 2 IF WE COUNT THE MAYFLYS EYE</x:t>
        </x:is>
      </x:c>
      <x:c r="AO53" s="234" t="inlineStr">
        <x:is>
          <x:t xml:space="preserve">0</x:t>
        </x:is>
      </x:c>
      <x:c r="AP53" s="234" t="inlineStr">
        <x:is>
          <x:t xml:space="preserve">LEFT PAGE</x:t>
        </x:is>
      </x:c>
      <x:c r="AQ53" s="234" t="inlineStr">
        <x:is>
          <x:t xml:space="preserve">0</x:t>
        </x:is>
      </x:c>
      <x:c r="AR53" s="234" t="inlineStr">
        <x:is>
          <x:t xml:space="preserve">BRANCH WITH STEMS SITTING ON THE LEFT SIDE OF THE PAGE WITH A DOT TO THE RIGHT OF IT BELOW THE GLYPHS IS A MAY FLY WITH 3 LINES COMING OUT OF ITS BACK  IT HAS 7 LINES</x:t>
        </x:is>
      </x:c>
      <x:c r="AS53" s="234" t="inlineStr">
        <x:is>
          <x:t xml:space="preserve">3 LINES COME OUT OF THE MOTH/MAYFLYS BACK 5 LINES ON THE MAYFLY IT SELF AND THEN 7 LINES THAT GO ACROSS THE MAYFLYS/MOTH WING</x:t>
        </x:is>
      </x:c>
      <x:c r="AT53" s="234" t="inlineStr">
        <x:is>
          <x:t xml:space="preserve">POPULATED_SOURCE_RECORD</x:t>
        </x:is>
      </x:c>
      <x:c r="AU53" s="234" t="inlineStr">
        <x:is>
          <x:t xml:space="preserve">ANNOTATED_IMAGE_AVAILABLE; NEW FEATURE/COUNT NOT INDEPENDENTLY RECOUNTED</x:t>
        </x:is>
      </x:c>
    </x:row>
    <x:row r="54" s="232" customFormat="1" ht="32" customHeight="1">
      <x:c r="A54" s="81" t="n">
        <x:v>31</x:v>
      </x:c>
      <x:c r="B54" s="234" t="inlineStr">
        <x:is>
          <x:t xml:space="preserve">31.jpg</x:t>
        </x:is>
      </x:c>
      <x:c r="C54" s="234" t="inlineStr">
        <x:is>
          <x:t xml:space="preserve">LP031-F92</x:t>
        </x:is>
      </x:c>
      <x:c r="D54" s="234" t="inlineStr">
        <x:is>
          <x:t xml:space="preserve">CSV source spreadsheet; feature-level representation</x:t>
        </x:is>
      </x:c>
      <x:c r="E54" s="234" t="n"/>
      <x:c r="F54" s="234" t="n"/>
      <x:c r="G54" s="234" t="inlineStr">
        <x:is>
          <x:t xml:space="preserve">insect body line/structure count</x:t>
        </x:is>
      </x:c>
      <x:c r="H54" s="234" t="inlineStr">
        <x:is>
          <x:t xml:space="preserve">CSV says five lines are on the mayfly itself; exact structural definition is not specified.</x:t>
        </x:is>
      </x:c>
      <x:c r="I54" s="83" t="n"/>
      <x:c r="J54" s="83" t="n"/>
      <x:c r="K54" s="83" t="n"/>
      <x:c r="L54" s="83" t="n"/>
      <x:c r="M54" s="83" t="n">
        <x:v>5</x:v>
      </x:c>
      <x:c r="N54" s="83" t="n"/>
      <x:c r="O54" s="83" t="n"/>
      <x:c r="P54" s="83" t="n"/>
      <x:c r="Q54" s="234" t="n"/>
      <x:c r="R54" s="234" t="n"/>
      <x:c r="S54" s="234" t="n"/>
      <x:c r="T54" s="234" t="n"/>
      <x:c r="U54" s="234" t="n"/>
      <x:c r="V54" s="234" t="n"/>
      <x:c r="W54" s="234" t="n"/>
      <x:c r="X54" s="234" t="inlineStr">
        <x:is>
          <x:t xml:space="preserve">insect body</x:t>
        </x:is>
      </x:c>
      <x:c r="Y54" s="234" t="n"/>
      <x:c r="Z54" s="234" t="inlineStr">
        <x:is>
          <x:t xml:space="preserve">medium</x:t>
        </x:is>
      </x:c>
      <x:c r="AA54" s="234" t="inlineStr">
        <x:is>
          <x:t xml:space="preserve">CSV_RECORDED_NOT_INDEPENDENTLY_RECOUNTED</x:t>
        </x:is>
      </x:c>
      <x:c r="AB54" s="234" t="inlineStr">
        <x:is>
          <x:t xml:space="preserve">https://github.com/mrroot01011001/Cicada-3301-/blob/main/liber-primus/pages/31.jpg</x:t>
        </x:is>
      </x:c>
      <x:c r="AC54" s="234" t="inlineStr">
        <x:is>
          <x:t xml:space="preserve">https://github.com/mrfentmen/annotated-pages/blob/main/31.jpg</x:t>
        </x:is>
      </x:c>
      <x:c r="AD54" s="234" t="inlineStr">
        <x:is>
          <x:t xml:space="preserve">Line group stored separately; the three values 3, 5, and 7 are not added together as a total.</x:t>
        </x:is>
      </x:c>
      <x:c r="AE54" s="234" t="n"/>
      <x:c r="AF54" s="234" t="n"/>
      <x:c r="AG54" s="234" t="n"/>
      <x:c r="AH54" s="234" t="inlineStr">
        <x:is>
          <x:t xml:space="preserve">single_page</x:t>
        </x:is>
      </x:c>
      <x:c r="AI54" s="234" t="inlineStr">
        <x:is>
          <x:t xml:space="preserve">31.JPG</x:t>
        </x:is>
      </x:c>
      <x:c r="AJ54" s="234" t="inlineStr">
        <x:is>
          <x:t xml:space="preserve">CSV-D015</x:t>
        </x:is>
      </x:c>
      <x:c r="AK54" s="234" t="n">
        <x:v>15</x:v>
      </x:c>
      <x:c r="AL54" s="234" t="inlineStr">
        <x:is>
          <x:t xml:space="preserve">BRANCH WITH STEMS AND DRAGONFLY/MAYFLY</x:t>
        </x:is>
      </x:c>
      <x:c r="AM54" s="234" t="inlineStr">
        <x:is>
          <x:t xml:space="preserve">0</x:t>
        </x:is>
      </x:c>
      <x:c r="AN54" s="234" t="inlineStr">
        <x:is>
          <x:t xml:space="preserve">1 OR 2 IF WE COUNT THE MAYFLYS EYE</x:t>
        </x:is>
      </x:c>
      <x:c r="AO54" s="234" t="inlineStr">
        <x:is>
          <x:t xml:space="preserve">0</x:t>
        </x:is>
      </x:c>
      <x:c r="AP54" s="234" t="inlineStr">
        <x:is>
          <x:t xml:space="preserve">LEFT PAGE</x:t>
        </x:is>
      </x:c>
      <x:c r="AQ54" s="234" t="inlineStr">
        <x:is>
          <x:t xml:space="preserve">0</x:t>
        </x:is>
      </x:c>
      <x:c r="AR54" s="234" t="inlineStr">
        <x:is>
          <x:t xml:space="preserve">BRANCH WITH STEMS SITTING ON THE LEFT SIDE OF THE PAGE WITH A DOT TO THE RIGHT OF IT BELOW THE GLYPHS IS A MAY FLY WITH 3 LINES COMING OUT OF ITS BACK  IT HAS 7 LINES</x:t>
        </x:is>
      </x:c>
      <x:c r="AS54" s="234" t="inlineStr">
        <x:is>
          <x:t xml:space="preserve">3 LINES COME OUT OF THE MOTH/MAYFLYS BACK 5 LINES ON THE MAYFLY IT SELF AND THEN 7 LINES THAT GO ACROSS THE MAYFLYS/MOTH WING</x:t>
        </x:is>
      </x:c>
      <x:c r="AT54" s="234" t="inlineStr">
        <x:is>
          <x:t xml:space="preserve">POPULATED_SOURCE_RECORD</x:t>
        </x:is>
      </x:c>
      <x:c r="AU54" s="234" t="inlineStr">
        <x:is>
          <x:t xml:space="preserve">ANNOTATED_IMAGE_AVAILABLE; NEW FEATURE/COUNT NOT INDEPENDENTLY RECOUNTED</x:t>
        </x:is>
      </x:c>
    </x:row>
    <x:row r="55" s="232" customFormat="1" ht="32" customHeight="1">
      <x:c r="A55" s="81" t="n">
        <x:v>31</x:v>
      </x:c>
      <x:c r="B55" s="234" t="inlineStr">
        <x:is>
          <x:t xml:space="preserve">31.jpg</x:t>
        </x:is>
      </x:c>
      <x:c r="C55" s="234" t="inlineStr">
        <x:is>
          <x:t xml:space="preserve">LP031-F93</x:t>
        </x:is>
      </x:c>
      <x:c r="D55" s="234" t="inlineStr">
        <x:is>
          <x:t xml:space="preserve">CSV source spreadsheet; feature-level representation</x:t>
        </x:is>
      </x:c>
      <x:c r="E55" s="234" t="n"/>
      <x:c r="F55" s="234" t="n"/>
      <x:c r="G55" s="234" t="inlineStr">
        <x:is>
          <x:t xml:space="preserve">insect wing-crossing lines</x:t>
        </x:is>
      </x:c>
      <x:c r="H55" s="234" t="inlineStr">
        <x:is>
          <x:t xml:space="preserve">CSV says seven lines go across the mayfly/moth wing.</x:t>
        </x:is>
      </x:c>
      <x:c r="I55" s="83" t="n"/>
      <x:c r="J55" s="83" t="n"/>
      <x:c r="K55" s="83" t="n"/>
      <x:c r="L55" s="83" t="n"/>
      <x:c r="M55" s="83" t="n">
        <x:v>7</x:v>
      </x:c>
      <x:c r="N55" s="83" t="n"/>
      <x:c r="O55" s="83" t="n"/>
      <x:c r="P55" s="83" t="n"/>
      <x:c r="Q55" s="234" t="n"/>
      <x:c r="R55" s="234" t="n"/>
      <x:c r="S55" s="234" t="n"/>
      <x:c r="T55" s="234" t="n"/>
      <x:c r="U55" s="234" t="n"/>
      <x:c r="V55" s="234" t="n"/>
      <x:c r="W55" s="234" t="n"/>
      <x:c r="X55" s="234" t="inlineStr">
        <x:is>
          <x:t xml:space="preserve">insect wing</x:t>
        </x:is>
      </x:c>
      <x:c r="Y55" s="234" t="n"/>
      <x:c r="Z55" s="234" t="inlineStr">
        <x:is>
          <x:t xml:space="preserve">medium</x:t>
        </x:is>
      </x:c>
      <x:c r="AA55" s="234" t="inlineStr">
        <x:is>
          <x:t xml:space="preserve">CSV_RECORDED_NOT_INDEPENDENTLY_RECOUNTED</x:t>
        </x:is>
      </x:c>
      <x:c r="AB55" s="234" t="inlineStr">
        <x:is>
          <x:t xml:space="preserve">https://github.com/mrroot01011001/Cicada-3301-/blob/main/liber-primus/pages/31.jpg</x:t>
        </x:is>
      </x:c>
      <x:c r="AC55" s="234" t="inlineStr">
        <x:is>
          <x:t xml:space="preserve">https://github.com/mrfentmen/annotated-pages/blob/main/31.jpg</x:t>
        </x:is>
      </x:c>
      <x:c r="AD55" s="234" t="inlineStr">
        <x:is>
          <x:t xml:space="preserve">Line group stored separately; the three values 3, 5, and 7 are not added together as a total.</x:t>
        </x:is>
      </x:c>
      <x:c r="AE55" s="234" t="n"/>
      <x:c r="AF55" s="234" t="n"/>
      <x:c r="AG55" s="234" t="n"/>
      <x:c r="AH55" s="234" t="inlineStr">
        <x:is>
          <x:t xml:space="preserve">single_page</x:t>
        </x:is>
      </x:c>
      <x:c r="AI55" s="234" t="inlineStr">
        <x:is>
          <x:t xml:space="preserve">31.JPG</x:t>
        </x:is>
      </x:c>
      <x:c r="AJ55" s="234" t="inlineStr">
        <x:is>
          <x:t xml:space="preserve">CSV-D015</x:t>
        </x:is>
      </x:c>
      <x:c r="AK55" s="234" t="n">
        <x:v>15</x:v>
      </x:c>
      <x:c r="AL55" s="234" t="inlineStr">
        <x:is>
          <x:t xml:space="preserve">BRANCH WITH STEMS AND DRAGONFLY/MAYFLY</x:t>
        </x:is>
      </x:c>
      <x:c r="AM55" s="234" t="inlineStr">
        <x:is>
          <x:t xml:space="preserve">0</x:t>
        </x:is>
      </x:c>
      <x:c r="AN55" s="234" t="inlineStr">
        <x:is>
          <x:t xml:space="preserve">1 OR 2 IF WE COUNT THE MAYFLYS EYE</x:t>
        </x:is>
      </x:c>
      <x:c r="AO55" s="234" t="inlineStr">
        <x:is>
          <x:t xml:space="preserve">0</x:t>
        </x:is>
      </x:c>
      <x:c r="AP55" s="234" t="inlineStr">
        <x:is>
          <x:t xml:space="preserve">LEFT PAGE</x:t>
        </x:is>
      </x:c>
      <x:c r="AQ55" s="234" t="inlineStr">
        <x:is>
          <x:t xml:space="preserve">0</x:t>
        </x:is>
      </x:c>
      <x:c r="AR55" s="234" t="inlineStr">
        <x:is>
          <x:t xml:space="preserve">BRANCH WITH STEMS SITTING ON THE LEFT SIDE OF THE PAGE WITH A DOT TO THE RIGHT OF IT BELOW THE GLYPHS IS A MAY FLY WITH 3 LINES COMING OUT OF ITS BACK  IT HAS 7 LINES</x:t>
        </x:is>
      </x:c>
      <x:c r="AS55" s="234" t="inlineStr">
        <x:is>
          <x:t xml:space="preserve">3 LINES COME OUT OF THE MOTH/MAYFLYS BACK 5 LINES ON THE MAYFLY IT SELF AND THEN 7 LINES THAT GO ACROSS THE MAYFLYS/MOTH WING</x:t>
        </x:is>
      </x:c>
      <x:c r="AT55" s="234" t="inlineStr">
        <x:is>
          <x:t xml:space="preserve">POPULATED_SOURCE_RECORD</x:t>
        </x:is>
      </x:c>
      <x:c r="AU55" s="234" t="inlineStr">
        <x:is>
          <x:t xml:space="preserve">ANNOTATED_IMAGE_AVAILABLE; NEW FEATURE/COUNT NOT INDEPENDENTLY RECOUNTED</x:t>
        </x:is>
      </x:c>
    </x:row>
    <x:row r="56" s="232" customFormat="1" ht="32" customHeight="1">
      <x:c r="A56" s="81" t="n">
        <x:v>32</x:v>
      </x:c>
      <x:c r="B56" s="234" t="inlineStr">
        <x:is>
          <x:t xml:space="preserve">32.jpg</x:t>
        </x:is>
      </x:c>
      <x:c r="C56" s="234" t="inlineStr">
        <x:is>
          <x:t xml:space="preserve">LP032-F01</x:t>
        </x:is>
      </x:c>
      <x:c r="D56" s="234" t="inlineStr">
        <x:is>
          <x:t xml:space="preserve">original artwork + user annotation</x:t>
        </x:is>
      </x:c>
      <x:c r="E56" s="234" t="inlineStr">
        <x:is>
          <x:t xml:space="preserve">magenta/purple label</x:t>
        </x:is>
      </x:c>
      <x:c r="F56" s="234" t="inlineStr">
        <x:is>
          <x:t xml:space="preserve">1</x:t>
        </x:is>
      </x:c>
      <x:c r="G56" s="234" t="inlineStr">
        <x:is>
          <x:t xml:space="preserve">infinity symbol</x:t>
        </x:is>
      </x:c>
      <x:c r="H56" s="234" t="inlineStr">
        <x:is>
          <x:t xml:space="preserve">Hand-drawn infinity-like symbol below a 4×4 number grid, labeled 1.</x:t>
        </x:is>
      </x:c>
      <x:c r="I56" s="83" t="n"/>
      <x:c r="J56" s="83" t="n"/>
      <x:c r="K56" s="83" t="n"/>
      <x:c r="L56" s="83" t="n">
        <x:v>1</x:v>
      </x:c>
      <x:c r="M56" s="83" t="n"/>
      <x:c r="N56" s="83" t="n"/>
      <x:c r="O56" s="83" t="n"/>
      <x:c r="P56" s="83" t="n"/>
      <x:c r="Q56" s="234" t="n"/>
      <x:c r="R56" s="234" t="n"/>
      <x:c r="S56" s="234" t="n"/>
      <x:c r="T56" s="234" t="n"/>
      <x:c r="U56" s="234" t="n"/>
      <x:c r="V56" s="234" t="n"/>
      <x:c r="W56" s="234" t="n"/>
      <x:c r="X56" s="234" t="inlineStr">
        <x:is>
          <x:t xml:space="preserve">middle area under numeric grid</x:t>
        </x:is>
      </x:c>
      <x:c r="Y56" s="234" t="n"/>
      <x:c r="Z56" s="234" t="inlineStr">
        <x:is>
          <x:t xml:space="preserve">high</x:t>
        </x:is>
      </x:c>
      <x:c r="AA56" s="234" t="inlineStr">
        <x:is>
          <x:t xml:space="preserve">ANNOTATION_VISIBLE</x:t>
        </x:is>
      </x:c>
      <x:c r="AB56" s="234" t="inlineStr">
        <x:is>
          <x:t xml:space="preserve">https://github.com/mrroot01011001/Cicada-3301-/blob/main/liber-primus/pages/32.jpg</x:t>
        </x:is>
      </x:c>
      <x:c r="AC56" s="234" t="inlineStr">
        <x:is>
          <x:t xml:space="preserve">https://github.com/mrfentmen/annotated-pages/blob/main/32.jpg</x:t>
        </x:is>
      </x:c>
      <x:c r="AD56" s="234" t="inlineStr">
        <x:is>
          <x:t xml:space="preserve">The label is visible above the symbol; no geometry/coordinates measured.</x:t>
        </x:is>
      </x:c>
      <x:c r="AE56" s="234" t="n"/>
      <x:c r="AF56" s="234" t="n"/>
      <x:c r="AG56" s="234" t="n"/>
      <x:c r="AH56" s="234" t="inlineStr">
        <x:is>
          <x:t xml:space="preserve">single_page</x:t>
        </x:is>
      </x:c>
      <x:c r="AI56" s="234" t="inlineStr">
        <x:is>
          <x:t xml:space="preserve">32.JPG</x:t>
        </x:is>
      </x:c>
      <x:c r="AJ56" s="234" t="inlineStr">
        <x:is>
          <x:t xml:space="preserve">CSV-D016</x:t>
        </x:is>
      </x:c>
      <x:c r="AK56" s="234" t="n">
        <x:v>16</x:v>
      </x:c>
      <x:c r="AL56" s="234" t="inlineStr">
        <x:is>
          <x:t xml:space="preserve">INFINITY MIDDLE OF PAGE</x:t>
        </x:is>
      </x:c>
      <x:c r="AM56" s="234" t="inlineStr">
        <x:is>
          <x:t xml:space="preserve">0</x:t>
        </x:is>
      </x:c>
      <x:c r="AN56" s="234" t="inlineStr">
        <x:is>
          <x:t xml:space="preserve">0</x:t>
        </x:is>
      </x:c>
      <x:c r="AO56" s="234" t="inlineStr">
        <x:is>
          <x:t xml:space="preserve">1</x:t>
        </x:is>
      </x:c>
      <x:c r="AP56" s="234" t="inlineStr">
        <x:is>
          <x:t xml:space="preserve">MIDDLE OF PAGE</x:t>
        </x:is>
      </x:c>
      <x:c r="AQ56" s="234" t="inlineStr">
        <x:is>
          <x:t xml:space="preserve">0</x:t>
        </x:is>
      </x:c>
      <x:c r="AR56" s="234" t="inlineStr">
        <x:is>
          <x:t xml:space="preserve">INFINTY SITS BETWEEN A SET OF NUMBERS 16 DIFFERENT NUMBERS ONE OF THEM BEING IN RED"3299" BELOW THE NUMBERS IS IN THE INFINTY SYMBOL AND THEN GLYPHS BELOW THE SYMBOL</x:t>
        </x:is>
      </x:c>
      <x:c r="AS56" s="234" t="n"/>
      <x:c r="AT56" s="234" t="inlineStr">
        <x:is>
          <x:t xml:space="preserve">POPULATED_SOURCE_RECORD</x:t>
        </x:is>
      </x:c>
      <x:c r="AU56" s="234" t="inlineStr">
        <x:is>
          <x:t xml:space="preserve">ANNOTATED_IMAGE_AVAILABLE</x:t>
        </x:is>
      </x:c>
    </x:row>
    <x:row r="57" s="232" customFormat="1" ht="32" customHeight="1">
      <x:c r="A57" s="81" t="n">
        <x:v>32</x:v>
      </x:c>
      <x:c r="B57" s="234" t="inlineStr">
        <x:is>
          <x:t xml:space="preserve">32.jpg</x:t>
        </x:is>
      </x:c>
      <x:c r="C57" s="234" t="inlineStr">
        <x:is>
          <x:t xml:space="preserve">LP032-F02</x:t>
        </x:is>
      </x:c>
      <x:c r="D57" s="234" t="inlineStr">
        <x:is>
          <x:t xml:space="preserve">original artwork</x:t>
        </x:is>
      </x:c>
      <x:c r="E57" s="234" t="n"/>
      <x:c r="F57" s="234" t="n"/>
      <x:c r="G57" s="234" t="inlineStr">
        <x:is>
          <x:t xml:space="preserve">4×4 numeric grid</x:t>
        </x:is>
      </x:c>
      <x:c r="H57" s="234" t="inlineStr">
        <x:is>
          <x:t xml:space="preserve">Sixteen numeric entries arranged in four rows and four columns as printed: 3258, 3222, 3152, 3038 / 3278, 3299, 3298, 2838 / 3288, 3294, 3296, 2472 / 4516, 1206, 708, 1820.</x:t>
        </x:is>
      </x:c>
      <x:c r="I57" s="83" t="n"/>
      <x:c r="J57" s="83" t="n"/>
      <x:c r="K57" s="83" t="n"/>
      <x:c r="L57" s="83" t="n"/>
      <x:c r="M57" s="83" t="n"/>
      <x:c r="N57" s="83" t="n"/>
      <x:c r="O57" s="83" t="n"/>
      <x:c r="P57" s="83" t="n"/>
      <x:c r="Q57" s="234" t="n"/>
      <x:c r="R57" s="234" t="n"/>
      <x:c r="S57" s="234" t="n"/>
      <x:c r="T57" s="234" t="n"/>
      <x:c r="U57" s="234" t="n"/>
      <x:c r="V57" s="234" t="n"/>
      <x:c r="W57" s="234" t="n"/>
      <x:c r="X57" s="234" t="inlineStr">
        <x:is>
          <x:t xml:space="preserve">above infinity symbol</x:t>
        </x:is>
      </x:c>
      <x:c r="Y57" s="234" t="n"/>
      <x:c r="Z57" s="234" t="inlineStr">
        <x:is>
          <x:t xml:space="preserve">medium</x:t>
        </x:is>
      </x:c>
      <x:c r="AA57" s="234" t="inlineStr">
        <x:is>
          <x:t xml:space="preserve">OBSERVED</x:t>
        </x:is>
      </x:c>
      <x:c r="AB57" s="234" t="inlineStr">
        <x:is>
          <x:t xml:space="preserve">https://github.com/mrroot01011001/Cicada-3301-/blob/main/liber-primus/pages/32.jpg</x:t>
        </x:is>
      </x:c>
      <x:c r="AC57" s="234" t="inlineStr">
        <x:is>
          <x:t xml:space="preserve">https://github.com/mrfentmen/annotated-pages/blob/main/32.jpg</x:t>
        </x:is>
      </x:c>
      <x:c r="AD57" s="234" t="inlineStr">
        <x:is>
          <x:t xml:space="preserve">The final row contains a three-digit entry printed as 708 in the current view. Do not add a leading zero unless the original scan or a pixel-level check confirms one.</x:t>
        </x:is>
      </x:c>
      <x:c r="AE57" s="234" t="n"/>
      <x:c r="AF57" s="234" t="n"/>
      <x:c r="AG57" s="234" t="n"/>
      <x:c r="AH57" s="234" t="inlineStr">
        <x:is>
          <x:t xml:space="preserve">single_page</x:t>
        </x:is>
      </x:c>
      <x:c r="AI57" s="234" t="inlineStr">
        <x:is>
          <x:t xml:space="preserve">32.JPG</x:t>
        </x:is>
      </x:c>
      <x:c r="AJ57" s="234" t="inlineStr">
        <x:is>
          <x:t xml:space="preserve">CSV-D016</x:t>
        </x:is>
      </x:c>
      <x:c r="AK57" s="234" t="n">
        <x:v>16</x:v>
      </x:c>
      <x:c r="AL57" s="234" t="inlineStr">
        <x:is>
          <x:t xml:space="preserve">INFINITY MIDDLE OF PAGE</x:t>
        </x:is>
      </x:c>
      <x:c r="AM57" s="234" t="inlineStr">
        <x:is>
          <x:t xml:space="preserve">0</x:t>
        </x:is>
      </x:c>
      <x:c r="AN57" s="234" t="inlineStr">
        <x:is>
          <x:t xml:space="preserve">0</x:t>
        </x:is>
      </x:c>
      <x:c r="AO57" s="234" t="inlineStr">
        <x:is>
          <x:t xml:space="preserve">1</x:t>
        </x:is>
      </x:c>
      <x:c r="AP57" s="234" t="inlineStr">
        <x:is>
          <x:t xml:space="preserve">MIDDLE OF PAGE</x:t>
        </x:is>
      </x:c>
      <x:c r="AQ57" s="234" t="inlineStr">
        <x:is>
          <x:t xml:space="preserve">0</x:t>
        </x:is>
      </x:c>
      <x:c r="AR57" s="234" t="inlineStr">
        <x:is>
          <x:t xml:space="preserve">INFINTY SITS BETWEEN A SET OF NUMBERS 16 DIFFERENT NUMBERS ONE OF THEM BEING IN RED"3299" BELOW THE NUMBERS IS IN THE INFINTY SYMBOL AND THEN GLYPHS BELOW THE SYMBOL</x:t>
        </x:is>
      </x:c>
      <x:c r="AS57" s="234" t="n"/>
      <x:c r="AT57" s="234" t="inlineStr">
        <x:is>
          <x:t xml:space="preserve">POPULATED_SOURCE_RECORD</x:t>
        </x:is>
      </x:c>
      <x:c r="AU57" s="234" t="inlineStr">
        <x:is>
          <x:t xml:space="preserve">ANNOTATED_IMAGE_AVAILABLE</x:t>
        </x:is>
      </x:c>
    </x:row>
    <x:row r="58" s="232" customFormat="1" ht="32" customHeight="1">
      <x:c r="A58" s="81" t="n">
        <x:v>32</x:v>
      </x:c>
      <x:c r="B58" s="234" t="inlineStr">
        <x:is>
          <x:t xml:space="preserve">32.jpg</x:t>
        </x:is>
      </x:c>
      <x:c r="C58" s="234" t="inlineStr">
        <x:is>
          <x:t xml:space="preserve">LP032-F03</x:t>
        </x:is>
      </x:c>
      <x:c r="D58" s="234" t="inlineStr">
        <x:is>
          <x:t xml:space="preserve">original artwork</x:t>
        </x:is>
      </x:c>
      <x:c r="E58" s="234" t="inlineStr">
        <x:is>
          <x:t xml:space="preserve">red</x:t>
        </x:is>
      </x:c>
      <x:c r="F58" s="234" t="n"/>
      <x:c r="G58" s="234" t="inlineStr">
        <x:is>
          <x:t xml:space="preserve">oversized red initial rune</x:t>
        </x:is>
      </x:c>
      <x:c r="H58" s="234" t="inlineStr">
        <x:is>
          <x:t xml:space="preserve">Large red angular rune at the beginning of the lower text block.</x:t>
        </x:is>
      </x:c>
      <x:c r="I58" s="83" t="n"/>
      <x:c r="J58" s="83" t="n"/>
      <x:c r="K58" s="83" t="n"/>
      <x:c r="L58" s="83" t="n"/>
      <x:c r="M58" s="83" t="n"/>
      <x:c r="N58" s="83" t="n"/>
      <x:c r="O58" s="83" t="n"/>
      <x:c r="P58" s="83" t="n"/>
      <x:c r="Q58" s="234" t="n"/>
      <x:c r="R58" s="234" t="n"/>
      <x:c r="S58" s="234" t="n"/>
      <x:c r="T58" s="234" t="n"/>
      <x:c r="U58" s="234" t="n"/>
      <x:c r="V58" s="234" t="n"/>
      <x:c r="W58" s="234" t="n"/>
      <x:c r="X58" s="234" t="inlineStr">
        <x:is>
          <x:t xml:space="preserve">left of lower paragraph</x:t>
        </x:is>
      </x:c>
      <x:c r="Y58" s="234" t="n"/>
      <x:c r="Z58" s="234" t="inlineStr">
        <x:is>
          <x:t xml:space="preserve">high</x:t>
        </x:is>
      </x:c>
      <x:c r="AA58" s="234" t="inlineStr">
        <x:is>
          <x:t xml:space="preserve">OBSERVED</x:t>
        </x:is>
      </x:c>
      <x:c r="AB58" s="234" t="inlineStr">
        <x:is>
          <x:t xml:space="preserve">https://github.com/mrroot01011001/Cicada-3301-/blob/main/liber-primus/pages/32.jpg</x:t>
        </x:is>
      </x:c>
      <x:c r="AC58" s="234" t="inlineStr">
        <x:is>
          <x:t xml:space="preserve">https://github.com/mrfentmen/annotated-pages/blob/main/32.jpg</x:t>
        </x:is>
      </x:c>
      <x:c r="AD58" s="234" t="inlineStr">
        <x:is>
          <x:t xml:space="preserve">Printed page artwork, not a user-added marking.</x:t>
        </x:is>
      </x:c>
      <x:c r="AE58" s="234" t="n"/>
      <x:c r="AF58" s="234" t="n"/>
      <x:c r="AG58" s="234" t="n"/>
      <x:c r="AH58" s="234" t="inlineStr">
        <x:is>
          <x:t xml:space="preserve">single_page</x:t>
        </x:is>
      </x:c>
      <x:c r="AI58" s="234" t="inlineStr">
        <x:is>
          <x:t xml:space="preserve">32.JPG</x:t>
        </x:is>
      </x:c>
      <x:c r="AJ58" s="234" t="inlineStr">
        <x:is>
          <x:t xml:space="preserve">CSV-D016</x:t>
        </x:is>
      </x:c>
      <x:c r="AK58" s="234" t="n">
        <x:v>16</x:v>
      </x:c>
      <x:c r="AL58" s="234" t="inlineStr">
        <x:is>
          <x:t xml:space="preserve">INFINITY MIDDLE OF PAGE</x:t>
        </x:is>
      </x:c>
      <x:c r="AM58" s="234" t="inlineStr">
        <x:is>
          <x:t xml:space="preserve">0</x:t>
        </x:is>
      </x:c>
      <x:c r="AN58" s="234" t="inlineStr">
        <x:is>
          <x:t xml:space="preserve">0</x:t>
        </x:is>
      </x:c>
      <x:c r="AO58" s="234" t="inlineStr">
        <x:is>
          <x:t xml:space="preserve">1</x:t>
        </x:is>
      </x:c>
      <x:c r="AP58" s="234" t="inlineStr">
        <x:is>
          <x:t xml:space="preserve">MIDDLE OF PAGE</x:t>
        </x:is>
      </x:c>
      <x:c r="AQ58" s="234" t="inlineStr">
        <x:is>
          <x:t xml:space="preserve">0</x:t>
        </x:is>
      </x:c>
      <x:c r="AR58" s="234" t="inlineStr">
        <x:is>
          <x:t xml:space="preserve">INFINTY SITS BETWEEN A SET OF NUMBERS 16 DIFFERENT NUMBERS ONE OF THEM BEING IN RED"3299" BELOW THE NUMBERS IS IN THE INFINTY SYMBOL AND THEN GLYPHS BELOW THE SYMBOL</x:t>
        </x:is>
      </x:c>
      <x:c r="AS58" s="234" t="n"/>
      <x:c r="AT58" s="234" t="inlineStr">
        <x:is>
          <x:t xml:space="preserve">POPULATED_SOURCE_RECORD</x:t>
        </x:is>
      </x:c>
      <x:c r="AU58" s="234" t="inlineStr">
        <x:is>
          <x:t xml:space="preserve">ANNOTATED_IMAGE_AVAILABLE</x:t>
        </x:is>
      </x:c>
    </x:row>
    <x:row r="59" s="232" customFormat="1" ht="32" customHeight="1">
      <x:c r="A59" s="81" t="n">
        <x:v>39</x:v>
      </x:c>
      <x:c r="B59" s="234" t="inlineStr">
        <x:is>
          <x:t xml:space="preserve">39.jpg</x:t>
        </x:is>
      </x:c>
      <x:c r="C59" s="234" t="inlineStr">
        <x:is>
          <x:t xml:space="preserve">LP039-F01</x:t>
        </x:is>
      </x:c>
      <x:c r="D59" s="234" t="inlineStr">
        <x:is>
          <x:t xml:space="preserve">original artwork</x:t>
        </x:is>
      </x:c>
      <x:c r="E59" s="234" t="n"/>
      <x:c r="F59" s="234" t="n"/>
      <x:c r="G59" s="234" t="inlineStr">
        <x:is>
          <x:t xml:space="preserve">horizontal multi-bar cross</x:t>
        </x:is>
      </x:c>
      <x:c r="H59" s="234" t="inlineStr">
        <x:is>
          <x:t xml:space="preserve">Rough, elongated horizontal cross-like object above a reclining human figure; three small contrasting diamond/square-like marks are visible along its central structure.</x:t>
        </x:is>
      </x:c>
      <x:c r="I59" s="83" t="n">
        <x:v>3</x:v>
      </x:c>
      <x:c r="J59" s="83" t="n">
        <x:v>3</x:v>
      </x:c>
      <x:c r="K59" s="83" t="n"/>
      <x:c r="L59" s="83" t="n"/>
      <x:c r="M59" s="83" t="n"/>
      <x:c r="N59" s="83" t="n"/>
      <x:c r="O59" s="83" t="n"/>
      <x:c r="P59" s="83" t="n"/>
      <x:c r="Q59" s="234" t="n"/>
      <x:c r="R59" s="234" t="n"/>
      <x:c r="S59" s="234" t="n"/>
      <x:c r="T59" s="234" t="n"/>
      <x:c r="U59" s="234" t="n"/>
      <x:c r="V59" s="234" t="n"/>
      <x:c r="W59" s="234" t="n"/>
      <x:c r="X59" s="234" t="inlineStr">
        <x:is>
          <x:t xml:space="preserve">center-lower area above reclining figure</x:t>
        </x:is>
      </x:c>
      <x:c r="Y59" s="234" t="inlineStr">
        <x:is>
          <x:t xml:space="preserve">The three contrasting marks may correspond to the user's proposed internal jewel-like points, but their classification as dots is unresolved.</x:t>
        </x:is>
      </x:c>
      <x:c r="Z59" s="234" t="inlineStr">
        <x:is>
          <x:t xml:space="preserve">high</x:t>
        </x:is>
      </x:c>
      <x:c r="AA59" s="234" t="inlineStr">
        <x:is>
          <x:t xml:space="preserve">OBSERVED</x:t>
        </x:is>
      </x:c>
      <x:c r="AB59" s="234" t="inlineStr">
        <x:is>
          <x:t xml:space="preserve">https://github.com/mrroot01011001/Cicada-3301-/blob/main/liber-primus/pages/39.jpg</x:t>
        </x:is>
      </x:c>
      <x:c r="AC59" s="234" t="inlineStr">
        <x:is>
          <x:t xml:space="preserve">https://github.com/mrfentmen/annotated-pages/blob/main/39.jpg</x:t>
        </x:is>
      </x:c>
      <x:c r="AD59" s="234" t="inlineStr">
        <x:is>
          <x:t xml:space="preserve">Six separate external dots are visible at the pointed/right end; they are recorded independently as F02. Line/vertex counts not measured. CSV records 3 cross jewels; the six external dots are stored separately as LP039-F02 to prevent double-counting.</x:t>
        </x:is>
      </x:c>
      <x:c r="AE59" s="234" t="n"/>
      <x:c r="AF59" s="234" t="n"/>
      <x:c r="AG59" s="234" t="n"/>
      <x:c r="AH59" s="234" t="inlineStr">
        <x:is>
          <x:t xml:space="preserve">single_page</x:t>
        </x:is>
      </x:c>
      <x:c r="AI59" s="234" t="inlineStr">
        <x:is>
          <x:t xml:space="preserve">39.JPG</x:t>
        </x:is>
      </x:c>
      <x:c r="AJ59" s="234" t="inlineStr">
        <x:is>
          <x:t xml:space="preserve">CSV-D017</x:t>
        </x:is>
      </x:c>
      <x:c r="AK59" s="234" t="n">
        <x:v>17</x:v>
      </x:c>
      <x:c r="AL59" s="234" t="inlineStr">
        <x:is>
          <x:t xml:space="preserve">CROSS OVER LAYING BODY</x:t>
        </x:is>
      </x:c>
      <x:c r="AM59" s="234" t="inlineStr">
        <x:is>
          <x:t xml:space="preserve">3</x:t>
        </x:is>
      </x:c>
      <x:c r="AN59" s="234" t="inlineStr">
        <x:is>
          <x:t xml:space="preserve">6</x:t>
        </x:is>
      </x:c>
      <x:c r="AO59" s="234" t="inlineStr">
        <x:is>
          <x:t xml:space="preserve">0</x:t>
        </x:is>
      </x:c>
      <x:c r="AP59" s="234" t="inlineStr">
        <x:is>
          <x:t xml:space="preserve">BOTTOM OF PAGE LAYING 180 DEGREES / HORIZONTAL</x:t>
        </x:is>
      </x:c>
      <x:c r="AQ59" s="234" t="inlineStr">
        <x:is>
          <x:t xml:space="preserve">0</x:t>
        </x:is>
      </x:c>
      <x:c r="AR59" s="234" t="n"/>
      <x:c r="AS59" s="234" t="n"/>
      <x:c r="AT59" s="234" t="inlineStr">
        <x:is>
          <x:t xml:space="preserve">POPULATED_SOURCE_RECORD</x:t>
        </x:is>
      </x:c>
      <x:c r="AU59" s="234" t="inlineStr">
        <x:is>
          <x:t xml:space="preserve">ANNOTATED_IMAGE_AVAILABLE</x:t>
        </x:is>
      </x:c>
    </x:row>
    <x:row r="60" s="232" customFormat="1" ht="32" customHeight="1">
      <x:c r="A60" s="81" t="n">
        <x:v>39</x:v>
      </x:c>
      <x:c r="B60" s="234" t="inlineStr">
        <x:is>
          <x:t xml:space="preserve">39.jpg</x:t>
        </x:is>
      </x:c>
      <x:c r="C60" s="234" t="inlineStr">
        <x:is>
          <x:t xml:space="preserve">LP039-F02</x:t>
        </x:is>
      </x:c>
      <x:c r="D60" s="234" t="inlineStr">
        <x:is>
          <x:t xml:space="preserve">original artwork + user annotation</x:t>
        </x:is>
      </x:c>
      <x:c r="E60" s="234" t="inlineStr">
        <x:is>
          <x:t xml:space="preserve">red/orange labels</x:t>
        </x:is>
      </x:c>
      <x:c r="F60" s="234" t="inlineStr">
        <x:is>
          <x:t xml:space="preserve">1–6</x:t>
        </x:is>
      </x:c>
      <x:c r="G60" s="234" t="inlineStr">
        <x:is>
          <x:t xml:space="preserve">six-dot cluster</x:t>
        </x:is>
      </x:c>
      <x:c r="H60" s="234" t="inlineStr">
        <x:is>
          <x:t xml:space="preserve">Six black external dots adjacent to the pointed/right end of the horizontal cross; labels 1–6 appear around the group.</x:t>
        </x:is>
      </x:c>
      <x:c r="I60" s="83" t="n">
        <x:v>6</x:v>
      </x:c>
      <x:c r="J60" s="83" t="n"/>
      <x:c r="K60" s="83" t="n">
        <x:v>6</x:v>
      </x:c>
      <x:c r="L60" s="83" t="n"/>
      <x:c r="M60" s="83" t="n"/>
      <x:c r="N60" s="83" t="n"/>
      <x:c r="O60" s="83" t="n"/>
      <x:c r="P60" s="83" t="n"/>
      <x:c r="Q60" s="234" t="n"/>
      <x:c r="R60" s="234" t="n"/>
      <x:c r="S60" s="234" t="n"/>
      <x:c r="T60" s="234" t="n"/>
      <x:c r="U60" s="234" t="n"/>
      <x:c r="V60" s="234" t="n"/>
      <x:c r="W60" s="234" t="n"/>
      <x:c r="X60" s="234" t="inlineStr">
        <x:is>
          <x:t xml:space="preserve">right end of cross</x:t>
        </x:is>
      </x:c>
      <x:c r="Y60" s="234" t="n"/>
      <x:c r="Z60" s="234" t="inlineStr">
        <x:is>
          <x:t xml:space="preserve">high</x:t>
        </x:is>
      </x:c>
      <x:c r="AA60" s="234" t="inlineStr">
        <x:is>
          <x:t xml:space="preserve">ANNOTATION_VISIBLE</x:t>
        </x:is>
      </x:c>
      <x:c r="AB60" s="234" t="inlineStr">
        <x:is>
          <x:t xml:space="preserve">https://github.com/mrroot01011001/Cicada-3301-/blob/main/liber-primus/pages/39.jpg</x:t>
        </x:is>
      </x:c>
      <x:c r="AC60" s="234" t="inlineStr">
        <x:is>
          <x:t xml:space="preserve">https://github.com/mrfentmen/annotated-pages/blob/main/39.jpg</x:t>
        </x:is>
      </x:c>
      <x:c r="AD60" s="234" t="inlineStr">
        <x:is>
          <x:t xml:space="preserve">Spatial arrangement matters; coordinates are not yet measured.</x:t>
        </x:is>
      </x:c>
      <x:c r="AE60" s="234" t="n"/>
      <x:c r="AF60" s="234" t="n"/>
      <x:c r="AG60" s="234" t="n"/>
      <x:c r="AH60" s="234" t="inlineStr">
        <x:is>
          <x:t xml:space="preserve">single_page</x:t>
        </x:is>
      </x:c>
      <x:c r="AI60" s="234" t="inlineStr">
        <x:is>
          <x:t xml:space="preserve">39.JPG</x:t>
        </x:is>
      </x:c>
      <x:c r="AJ60" s="234" t="inlineStr">
        <x:is>
          <x:t xml:space="preserve">CSV-D017</x:t>
        </x:is>
      </x:c>
      <x:c r="AK60" s="234" t="n">
        <x:v>17</x:v>
      </x:c>
      <x:c r="AL60" s="234" t="inlineStr">
        <x:is>
          <x:t xml:space="preserve">CROSS OVER LAYING BODY</x:t>
        </x:is>
      </x:c>
      <x:c r="AM60" s="234" t="inlineStr">
        <x:is>
          <x:t xml:space="preserve">3</x:t>
        </x:is>
      </x:c>
      <x:c r="AN60" s="234" t="inlineStr">
        <x:is>
          <x:t xml:space="preserve">6</x:t>
        </x:is>
      </x:c>
      <x:c r="AO60" s="234" t="inlineStr">
        <x:is>
          <x:t xml:space="preserve">0</x:t>
        </x:is>
      </x:c>
      <x:c r="AP60" s="234" t="inlineStr">
        <x:is>
          <x:t xml:space="preserve">BOTTOM OF PAGE LAYING 180 DEGREES / HORIZONTAL</x:t>
        </x:is>
      </x:c>
      <x:c r="AQ60" s="234" t="inlineStr">
        <x:is>
          <x:t xml:space="preserve">0</x:t>
        </x:is>
      </x:c>
      <x:c r="AR60" s="234" t="n"/>
      <x:c r="AS60" s="234" t="n"/>
      <x:c r="AT60" s="234" t="inlineStr">
        <x:is>
          <x:t xml:space="preserve">POPULATED_SOURCE_RECORD</x:t>
        </x:is>
      </x:c>
      <x:c r="AU60" s="234" t="inlineStr">
        <x:is>
          <x:t xml:space="preserve">ANNOTATED_IMAGE_AVAILABLE</x:t>
        </x:is>
      </x:c>
    </x:row>
    <x:row r="61" s="232" customFormat="1" ht="32" customHeight="1">
      <x:c r="A61" s="81" t="n">
        <x:v>39</x:v>
      </x:c>
      <x:c r="B61" s="234" t="inlineStr">
        <x:is>
          <x:t xml:space="preserve">39.jpg</x:t>
        </x:is>
      </x:c>
      <x:c r="C61" s="234" t="inlineStr">
        <x:is>
          <x:t xml:space="preserve">LP039-F03</x:t>
        </x:is>
      </x:c>
      <x:c r="D61" s="234" t="inlineStr">
        <x:is>
          <x:t xml:space="preserve">original artwork</x:t>
        </x:is>
      </x:c>
      <x:c r="E61" s="234" t="n"/>
      <x:c r="F61" s="234" t="n"/>
      <x:c r="G61" s="234" t="inlineStr">
        <x:is>
          <x:t xml:space="preserve">reclining human figure</x:t>
        </x:is>
      </x:c>
      <x:c r="H61" s="234" t="inlineStr">
        <x:is>
          <x:t xml:space="preserve">Large reclining body illustration extending across the bottom of the page.</x:t>
        </x:is>
      </x:c>
      <x:c r="I61" s="83" t="n"/>
      <x:c r="J61" s="83" t="n"/>
      <x:c r="K61" s="83" t="n"/>
      <x:c r="L61" s="83" t="n"/>
      <x:c r="M61" s="83" t="n"/>
      <x:c r="N61" s="83" t="n"/>
      <x:c r="O61" s="83" t="n"/>
      <x:c r="P61" s="83" t="n"/>
      <x:c r="Q61" s="234" t="n"/>
      <x:c r="R61" s="234" t="n"/>
      <x:c r="S61" s="234" t="n"/>
      <x:c r="T61" s="234" t="n"/>
      <x:c r="U61" s="234" t="n"/>
      <x:c r="V61" s="234" t="n"/>
      <x:c r="W61" s="234" t="n"/>
      <x:c r="X61" s="234" t="inlineStr">
        <x:is>
          <x:t xml:space="preserve">bottom edge beneath cross</x:t>
        </x:is>
      </x:c>
      <x:c r="Y61" s="234" t="n"/>
      <x:c r="Z61" s="234" t="inlineStr">
        <x:is>
          <x:t xml:space="preserve">high</x:t>
        </x:is>
      </x:c>
      <x:c r="AA61" s="234" t="inlineStr">
        <x:is>
          <x:t xml:space="preserve">OBSERVED</x:t>
        </x:is>
      </x:c>
      <x:c r="AB61" s="234" t="inlineStr">
        <x:is>
          <x:t xml:space="preserve">https://github.com/mrroot01011001/Cicada-3301-/blob/main/liber-primus/pages/39.jpg</x:t>
        </x:is>
      </x:c>
      <x:c r="AC61" s="234" t="inlineStr">
        <x:is>
          <x:t xml:space="preserve">https://github.com/mrfentmen/annotated-pages/blob/main/39.jpg</x:t>
        </x:is>
      </x:c>
      <x:c r="AD61" s="234" t="inlineStr">
        <x:is>
          <x:t xml:space="preserve">The figure is a separate feature, not part of the cross geometry.</x:t>
        </x:is>
      </x:c>
      <x:c r="AE61" s="234" t="n"/>
      <x:c r="AF61" s="234" t="n"/>
      <x:c r="AG61" s="234" t="n"/>
      <x:c r="AH61" s="234" t="inlineStr">
        <x:is>
          <x:t xml:space="preserve">single_page</x:t>
        </x:is>
      </x:c>
      <x:c r="AI61" s="234" t="inlineStr">
        <x:is>
          <x:t xml:space="preserve">39.JPG</x:t>
        </x:is>
      </x:c>
      <x:c r="AJ61" s="234" t="inlineStr">
        <x:is>
          <x:t xml:space="preserve">CSV-D017</x:t>
        </x:is>
      </x:c>
      <x:c r="AK61" s="234" t="n">
        <x:v>17</x:v>
      </x:c>
      <x:c r="AL61" s="234" t="inlineStr">
        <x:is>
          <x:t xml:space="preserve">CROSS OVER LAYING BODY</x:t>
        </x:is>
      </x:c>
      <x:c r="AM61" s="234" t="inlineStr">
        <x:is>
          <x:t xml:space="preserve">3</x:t>
        </x:is>
      </x:c>
      <x:c r="AN61" s="234" t="inlineStr">
        <x:is>
          <x:t xml:space="preserve">6</x:t>
        </x:is>
      </x:c>
      <x:c r="AO61" s="234" t="inlineStr">
        <x:is>
          <x:t xml:space="preserve">0</x:t>
        </x:is>
      </x:c>
      <x:c r="AP61" s="234" t="inlineStr">
        <x:is>
          <x:t xml:space="preserve">BOTTOM OF PAGE LAYING 180 DEGREES / HORIZONTAL</x:t>
        </x:is>
      </x:c>
      <x:c r="AQ61" s="234" t="inlineStr">
        <x:is>
          <x:t xml:space="preserve">0</x:t>
        </x:is>
      </x:c>
      <x:c r="AR61" s="234" t="n"/>
      <x:c r="AS61" s="234" t="n"/>
      <x:c r="AT61" s="234" t="inlineStr">
        <x:is>
          <x:t xml:space="preserve">POPULATED_SOURCE_RECORD</x:t>
        </x:is>
      </x:c>
      <x:c r="AU61" s="234" t="inlineStr">
        <x:is>
          <x:t xml:space="preserve">ANNOTATED_IMAGE_AVAILABLE</x:t>
        </x:is>
      </x:c>
    </x:row>
    <x:row r="62" s="232" customFormat="1" ht="32" customHeight="1">
      <x:c r="A62" s="81" t="n">
        <x:v>40</x:v>
      </x:c>
      <x:c r="B62" s="234" t="inlineStr">
        <x:is>
          <x:t xml:space="preserve">40.jpg</x:t>
        </x:is>
      </x:c>
      <x:c r="C62" s="234" t="inlineStr">
        <x:is>
          <x:t xml:space="preserve">LP040-F01</x:t>
        </x:is>
      </x:c>
      <x:c r="D62" s="234" t="inlineStr">
        <x:is>
          <x:t xml:space="preserve">original artwork + user annotation</x:t>
        </x:is>
      </x:c>
      <x:c r="E62" s="234" t="inlineStr">
        <x:is>
          <x:t xml:space="preserve">orange labels</x:t>
        </x:is>
      </x:c>
      <x:c r="F62" s="234" t="inlineStr">
        <x:is>
          <x:t xml:space="preserve">1–5</x:t>
        </x:is>
      </x:c>
      <x:c r="G62" s="234" t="inlineStr">
        <x:is>
          <x:t xml:space="preserve">five-dot arrangement</x:t>
        </x:is>
      </x:c>
      <x:c r="H62" s="234" t="inlineStr">
        <x:is>
          <x:t xml:space="preserve">Five separate black dots above the main text, numbered 1–5 in orange.</x:t>
        </x:is>
      </x:c>
      <x:c r="I62" s="83" t="n">
        <x:v>5</x:v>
      </x:c>
      <x:c r="J62" s="83" t="n"/>
      <x:c r="K62" s="83" t="n">
        <x:v>5</x:v>
      </x:c>
      <x:c r="L62" s="83" t="n"/>
      <x:c r="M62" s="83" t="n"/>
      <x:c r="N62" s="83" t="n"/>
      <x:c r="O62" s="83" t="n"/>
      <x:c r="P62" s="83" t="n"/>
      <x:c r="Q62" s="234" t="n"/>
      <x:c r="R62" s="234" t="n"/>
      <x:c r="S62" s="234" t="n"/>
      <x:c r="T62" s="234" t="n"/>
      <x:c r="U62" s="234" t="n"/>
      <x:c r="V62" s="234" t="n"/>
      <x:c r="W62" s="234" t="n"/>
      <x:c r="X62" s="234" t="inlineStr">
        <x:is>
          <x:t xml:space="preserve">top area</x:t>
        </x:is>
      </x:c>
      <x:c r="Y62" s="234" t="inlineStr">
        <x:is>
          <x:t xml:space="preserve">May be a rotated or reflected counterpart of the five-dot groups on pages 24 and 73; not coordinate-verified.</x:t>
        </x:is>
      </x:c>
      <x:c r="Z62" s="234" t="inlineStr">
        <x:is>
          <x:t xml:space="preserve">high</x:t>
        </x:is>
      </x:c>
      <x:c r="AA62" s="234" t="inlineStr">
        <x:is>
          <x:t xml:space="preserve">ANNOTATION_VISIBLE</x:t>
        </x:is>
      </x:c>
      <x:c r="AB62" s="234" t="inlineStr">
        <x:is>
          <x:t xml:space="preserve">https://github.com/mrroot01011001/Cicada-3301-/blob/main/liber-primus/pages/40.jpg</x:t>
        </x:is>
      </x:c>
      <x:c r="AC62" s="234" t="inlineStr">
        <x:is>
          <x:t xml:space="preserve">https://github.com/mrfentmen/annotated-pages/blob/main/40.jpg</x:t>
        </x:is>
      </x:c>
      <x:c r="AD62" s="234" t="inlineStr">
        <x:is>
          <x:t xml:space="preserve">Ordering is page-specific and must be preserved exactly as labeled.</x:t>
        </x:is>
      </x:c>
      <x:c r="AE62" s="234" t="n"/>
      <x:c r="AF62" s="234" t="n"/>
      <x:c r="AG62" s="234" t="n"/>
      <x:c r="AH62" s="234" t="inlineStr">
        <x:is>
          <x:t xml:space="preserve">single_page</x:t>
        </x:is>
      </x:c>
      <x:c r="AI62" s="234" t="inlineStr">
        <x:is>
          <x:t xml:space="preserve">40.JPG</x:t>
        </x:is>
      </x:c>
      <x:c r="AJ62" s="234" t="inlineStr">
        <x:is>
          <x:t xml:space="preserve">CSV-D018</x:t>
        </x:is>
      </x:c>
      <x:c r="AK62" s="234" t="n">
        <x:v>18</x:v>
      </x:c>
      <x:c r="AL62" s="234" t="inlineStr">
        <x:is>
          <x:t xml:space="preserve">5 DOT CONSTILLATION</x:t>
        </x:is>
      </x:c>
      <x:c r="AM62" s="234" t="inlineStr">
        <x:is>
          <x:t xml:space="preserve">0</x:t>
        </x:is>
      </x:c>
      <x:c r="AN62" s="234" t="inlineStr">
        <x:is>
          <x:t xml:space="preserve">5</x:t>
        </x:is>
      </x:c>
      <x:c r="AO62" s="234" t="inlineStr">
        <x:is>
          <x:t xml:space="preserve">0</x:t>
        </x:is>
      </x:c>
      <x:c r="AP62" s="234" t="inlineStr">
        <x:is>
          <x:t xml:space="preserve">TOP OF THE PAGE</x:t>
        </x:is>
      </x:c>
      <x:c r="AQ62" s="234" t="inlineStr">
        <x:is>
          <x:t xml:space="preserve">5</x:t>
        </x:is>
      </x:c>
      <x:c r="AR62" s="234" t="inlineStr">
        <x:is>
          <x:t xml:space="preserve">5 DOTS SIT ABOVE GLYPHS AT THE  TOP OF THE PAGE</x:t>
        </x:is>
      </x:c>
      <x:c r="AS62" s="234" t="n"/>
      <x:c r="AT62" s="234" t="inlineStr">
        <x:is>
          <x:t xml:space="preserve">POPULATED_SOURCE_RECORD</x:t>
        </x:is>
      </x:c>
      <x:c r="AU62" s="234" t="inlineStr">
        <x:is>
          <x:t xml:space="preserve">ANNOTATED_IMAGE_AVAILABLE</x:t>
        </x:is>
      </x:c>
    </x:row>
    <x:row r="63" s="232" customFormat="1" ht="32" customHeight="1">
      <x:c r="A63" s="81" t="n">
        <x:v>40</x:v>
      </x:c>
      <x:c r="B63" s="234" t="inlineStr">
        <x:is>
          <x:t xml:space="preserve">40.jpg</x:t>
        </x:is>
      </x:c>
      <x:c r="C63" s="234" t="inlineStr">
        <x:is>
          <x:t xml:space="preserve">LP040-F02</x:t>
        </x:is>
      </x:c>
      <x:c r="D63" s="234" t="inlineStr">
        <x:is>
          <x:t xml:space="preserve">original artwork</x:t>
        </x:is>
      </x:c>
      <x:c r="E63" s="234" t="inlineStr">
        <x:is>
          <x:t xml:space="preserve">red</x:t>
        </x:is>
      </x:c>
      <x:c r="F63" s="234" t="n"/>
      <x:c r="G63" s="234" t="inlineStr">
        <x:is>
          <x:t xml:space="preserve">oversized red initial rune</x:t>
        </x:is>
      </x:c>
      <x:c r="H63" s="234" t="inlineStr">
        <x:is>
          <x:t xml:space="preserve">Large red angular rune at the beginning of the text block.</x:t>
        </x:is>
      </x:c>
      <x:c r="I63" s="83" t="n"/>
      <x:c r="J63" s="83" t="n"/>
      <x:c r="K63" s="83" t="n"/>
      <x:c r="L63" s="83" t="n"/>
      <x:c r="M63" s="83" t="n"/>
      <x:c r="N63" s="83" t="n"/>
      <x:c r="O63" s="83" t="n"/>
      <x:c r="P63" s="83" t="n"/>
      <x:c r="Q63" s="234" t="n"/>
      <x:c r="R63" s="234" t="n"/>
      <x:c r="S63" s="234" t="n"/>
      <x:c r="T63" s="234" t="n"/>
      <x:c r="U63" s="234" t="n"/>
      <x:c r="V63" s="234" t="n"/>
      <x:c r="W63" s="234" t="n"/>
      <x:c r="X63" s="234" t="inlineStr">
        <x:is>
          <x:t xml:space="preserve">left side of text</x:t>
        </x:is>
      </x:c>
      <x:c r="Y63" s="234" t="n"/>
      <x:c r="Z63" s="234" t="inlineStr">
        <x:is>
          <x:t xml:space="preserve">high</x:t>
        </x:is>
      </x:c>
      <x:c r="AA63" s="234" t="inlineStr">
        <x:is>
          <x:t xml:space="preserve">OBSERVED</x:t>
        </x:is>
      </x:c>
      <x:c r="AB63" s="234" t="inlineStr">
        <x:is>
          <x:t xml:space="preserve">https://github.com/mrroot01011001/Cicada-3301-/blob/main/liber-primus/pages/40.jpg</x:t>
        </x:is>
      </x:c>
      <x:c r="AC63" s="234" t="inlineStr">
        <x:is>
          <x:t xml:space="preserve">https://github.com/mrfentmen/annotated-pages/blob/main/40.jpg</x:t>
        </x:is>
      </x:c>
      <x:c r="AD63" s="234" t="inlineStr">
        <x:is>
          <x:t xml:space="preserve">Printed page artwork, not user-added markup.</x:t>
        </x:is>
      </x:c>
      <x:c r="AE63" s="234" t="n"/>
      <x:c r="AF63" s="234" t="n"/>
      <x:c r="AG63" s="234" t="n"/>
      <x:c r="AH63" s="234" t="inlineStr">
        <x:is>
          <x:t xml:space="preserve">single_page</x:t>
        </x:is>
      </x:c>
      <x:c r="AI63" s="234" t="inlineStr">
        <x:is>
          <x:t xml:space="preserve">40.JPG</x:t>
        </x:is>
      </x:c>
      <x:c r="AJ63" s="234" t="inlineStr">
        <x:is>
          <x:t xml:space="preserve">CSV-D018</x:t>
        </x:is>
      </x:c>
      <x:c r="AK63" s="234" t="n">
        <x:v>18</x:v>
      </x:c>
      <x:c r="AL63" s="234" t="inlineStr">
        <x:is>
          <x:t xml:space="preserve">5 DOT CONSTILLATION</x:t>
        </x:is>
      </x:c>
      <x:c r="AM63" s="234" t="inlineStr">
        <x:is>
          <x:t xml:space="preserve">0</x:t>
        </x:is>
      </x:c>
      <x:c r="AN63" s="234" t="inlineStr">
        <x:is>
          <x:t xml:space="preserve">5</x:t>
        </x:is>
      </x:c>
      <x:c r="AO63" s="234" t="inlineStr">
        <x:is>
          <x:t xml:space="preserve">0</x:t>
        </x:is>
      </x:c>
      <x:c r="AP63" s="234" t="inlineStr">
        <x:is>
          <x:t xml:space="preserve">TOP OF THE PAGE</x:t>
        </x:is>
      </x:c>
      <x:c r="AQ63" s="234" t="inlineStr">
        <x:is>
          <x:t xml:space="preserve">5</x:t>
        </x:is>
      </x:c>
      <x:c r="AR63" s="234" t="inlineStr">
        <x:is>
          <x:t xml:space="preserve">5 DOTS SIT ABOVE GLYPHS AT THE  TOP OF THE PAGE</x:t>
        </x:is>
      </x:c>
      <x:c r="AS63" s="234" t="n"/>
      <x:c r="AT63" s="234" t="inlineStr">
        <x:is>
          <x:t xml:space="preserve">POPULATED_SOURCE_RECORD</x:t>
        </x:is>
      </x:c>
      <x:c r="AU63" s="234" t="inlineStr">
        <x:is>
          <x:t xml:space="preserve">ANNOTATED_IMAGE_AVAILABLE</x:t>
        </x:is>
      </x:c>
    </x:row>
    <x:row r="64" s="232" customFormat="1" ht="32" customHeight="1">
      <x:c r="A64" s="81" t="n">
        <x:v>41</x:v>
      </x:c>
      <x:c r="B64" s="234" t="inlineStr">
        <x:is>
          <x:t xml:space="preserve">41.jpg</x:t>
        </x:is>
      </x:c>
      <x:c r="C64" s="234" t="inlineStr">
        <x:is>
          <x:t xml:space="preserve">LP041-F01</x:t>
        </x:is>
      </x:c>
      <x:c r="D64" s="234" t="inlineStr">
        <x:is>
          <x:t xml:space="preserve">original artwork</x:t>
        </x:is>
      </x:c>
      <x:c r="E64" s="234" t="n"/>
      <x:c r="F64" s="234" t="n"/>
      <x:c r="G64" s="234" t="inlineStr">
        <x:is>
          <x:t xml:space="preserve">paired insect-like figures</x:t>
        </x:is>
      </x:c>
      <x:c r="H64" s="234" t="inlineStr">
        <x:is>
          <x:t xml:space="preserve">Two elongated winged insect/moth/dragonfly-like figures flank the central text in a near-mirrored arrangement.</x:t>
        </x:is>
      </x:c>
      <x:c r="I64" s="83" t="n"/>
      <x:c r="J64" s="83" t="n"/>
      <x:c r="K64" s="83" t="n"/>
      <x:c r="L64" s="83" t="n"/>
      <x:c r="M64" s="83" t="n"/>
      <x:c r="N64" s="83" t="n"/>
      <x:c r="O64" s="83" t="n"/>
      <x:c r="P64" s="83" t="n"/>
      <x:c r="Q64" s="234" t="n"/>
      <x:c r="R64" s="234" t="inlineStr">
        <x:is>
          <x:t xml:space="preserve">Approximate left-right mirror appearance; coordinate test pending</x:t>
        </x:is>
      </x:c>
      <x:c r="S64" s="234" t="n"/>
      <x:c r="T64" s="234" t="n"/>
      <x:c r="U64" s="234" t="inlineStr">
        <x:is>
          <x:t xml:space="preserve">Prism/bipyramid resemblance is only a hypothesis, not a classification.</x:t>
        </x:is>
      </x:c>
      <x:c r="V64" s="234" t="n"/>
      <x:c r="W64" s="234" t="n"/>
      <x:c r="X64" s="234" t="inlineStr">
        <x:is>
          <x:t xml:space="preserve">left and right margins</x:t>
        </x:is>
      </x:c>
      <x:c r="Y64" s="234" t="inlineStr">
        <x:is>
          <x:t xml:space="preserve">Test graph topology and bilateral reflection from traced coordinates before naming a polyhedron.</x:t>
        </x:is>
      </x:c>
      <x:c r="Z64" s="234" t="inlineStr">
        <x:is>
          <x:t xml:space="preserve">high</x:t>
        </x:is>
      </x:c>
      <x:c r="AA64" s="234" t="inlineStr">
        <x:is>
          <x:t xml:space="preserve">OBSERVED</x:t>
        </x:is>
      </x:c>
      <x:c r="AB64" s="234" t="inlineStr">
        <x:is>
          <x:t xml:space="preserve">https://github.com/mrroot01011001/Cicada-3301-/blob/main/liber-primus/pages/41.jpg</x:t>
        </x:is>
      </x:c>
      <x:c r="AC64" s="234" t="inlineStr">
        <x:is>
          <x:t xml:space="preserve">https://github.com/mrfentmen/annotated-pages/blob/main/41.jpg</x:t>
        </x:is>
      </x:c>
      <x:c r="AD64" s="234" t="inlineStr">
        <x:is>
          <x:t xml:space="preserve">No clear numbering overlay is visible on these figures in the current annotated image.</x:t>
        </x:is>
      </x:c>
      <x:c r="AE64" s="234" t="n"/>
      <x:c r="AF64" s="234" t="n"/>
      <x:c r="AG64" s="234" t="n"/>
      <x:c r="AH64" s="234" t="inlineStr">
        <x:is>
          <x:t xml:space="preserve">single_page</x:t>
        </x:is>
      </x:c>
      <x:c r="AI64" s="234" t="inlineStr">
        <x:is>
          <x:t xml:space="preserve">41.JPG</x:t>
        </x:is>
      </x:c>
      <x:c r="AJ64" s="234" t="inlineStr">
        <x:is>
          <x:t xml:space="preserve">CSV-D019</x:t>
        </x:is>
      </x:c>
      <x:c r="AK64" s="234" t="n">
        <x:v>19</x:v>
      </x:c>
      <x:c r="AL64" s="234" t="inlineStr">
        <x:is>
          <x:t xml:space="preserve">MOTH LIKE FIGURE MIRRORED</x:t>
        </x:is>
      </x:c>
      <x:c r="AM64" s="234" t="inlineStr">
        <x:is>
          <x:t xml:space="preserve">0</x:t>
        </x:is>
      </x:c>
      <x:c r="AN64" s="234" t="inlineStr">
        <x:is>
          <x:t xml:space="preserve">0</x:t>
        </x:is>
      </x:c>
      <x:c r="AO64" s="234" t="inlineStr">
        <x:is>
          <x:t xml:space="preserve">0</x:t>
        </x:is>
      </x:c>
      <x:c r="AP64" s="234" t="inlineStr">
        <x:is>
          <x:t xml:space="preserve">LEFT AND RIGHT OF THE PAGE</x:t>
        </x:is>
      </x:c>
      <x:c r="AQ64" s="234" t="inlineStr">
        <x:is>
          <x:t xml:space="preserve">0</x:t>
        </x:is>
      </x:c>
      <x:c r="AR64" s="234" t="inlineStr">
        <x:is>
          <x:t xml:space="preserve">TWO VISUALLY MIRRORED FIGURES FLANK THE TEXT, GEOMETRY APPEARTS INTENTIONALLY SYMETRIC  - elongated polygonal/diamond forms - 
3 LINES COME OUT OF EACH MOTHS BACK AND 2 FROM ITS HEAD</x:t>
        </x:is>
      </x:c>
      <x:c r="AS64" s="234" t="inlineStr">
        <x:is>
          <x:t xml:space="preserve">2 LINES COME OUT OF THE MOTHS HEAD AND 3 COME OUT ITS BACK 
SO 5 IN TOTAL FOR EACH MOTH? 4 MOTHS PER PAGE 20 TOTAL?</x:t>
        </x:is>
      </x:c>
      <x:c r="AT64" s="234" t="inlineStr">
        <x:is>
          <x:t xml:space="preserve">POPULATED_SOURCE_RECORD</x:t>
        </x:is>
      </x:c>
      <x:c r="AU64" s="234" t="inlineStr">
        <x:is>
          <x:t xml:space="preserve">ANNOTATED_IMAGE_AVAILABLE</x:t>
        </x:is>
      </x:c>
    </x:row>
    <x:row r="65" s="232" customFormat="1" ht="32" customHeight="1">
      <x:c r="A65" s="81" t="n">
        <x:v>41</x:v>
      </x:c>
      <x:c r="B65" s="234" t="inlineStr">
        <x:is>
          <x:t xml:space="preserve">41.jpg</x:t>
        </x:is>
      </x:c>
      <x:c r="C65" s="234" t="inlineStr">
        <x:is>
          <x:t xml:space="preserve">LP041-F90</x:t>
        </x:is>
      </x:c>
      <x:c r="D65" s="234" t="inlineStr">
        <x:is>
          <x:t xml:space="preserve">CSV source spreadsheet; feature-level representation</x:t>
        </x:is>
      </x:c>
      <x:c r="E65" s="234" t="n"/>
      <x:c r="F65" s="234" t="n"/>
      <x:c r="G65" s="234" t="inlineStr">
        <x:is>
          <x:t xml:space="preserve">head-originating line group (per figure)</x:t>
        </x:is>
      </x:c>
      <x:c r="H65" s="234" t="inlineStr">
        <x:is>
          <x:t xml:space="preserve">Source CSV says two lines come out of each moth-like figure's head.</x:t>
        </x:is>
      </x:c>
      <x:c r="I65" s="83" t="n"/>
      <x:c r="J65" s="83" t="n"/>
      <x:c r="K65" s="83" t="n"/>
      <x:c r="L65" s="83" t="n"/>
      <x:c r="M65" s="83" t="n">
        <x:v>2</x:v>
      </x:c>
      <x:c r="N65" s="83" t="n"/>
      <x:c r="O65" s="83" t="n"/>
      <x:c r="P65" s="83" t="n"/>
      <x:c r="Q65" s="234" t="n"/>
      <x:c r="R65" s="234" t="n"/>
      <x:c r="S65" s="234" t="n"/>
      <x:c r="T65" s="234" t="n"/>
      <x:c r="U65" s="234" t="n"/>
      <x:c r="V65" s="234" t="n"/>
      <x:c r="W65" s="234" t="n"/>
      <x:c r="X65" s="234" t="inlineStr">
        <x:is>
          <x:t xml:space="preserve">head of each of the two side figures</x:t>
        </x:is>
      </x:c>
      <x:c r="Y65" s="234" t="n"/>
      <x:c r="Z65" s="234" t="inlineStr">
        <x:is>
          <x:t xml:space="preserve">medium</x:t>
        </x:is>
      </x:c>
      <x:c r="AA65" s="234" t="inlineStr">
        <x:is>
          <x:t xml:space="preserve">CSV_RECORDED_NOT_INDEPENDENTLY_RECOUNTED</x:t>
        </x:is>
      </x:c>
      <x:c r="AB65" s="234" t="inlineStr">
        <x:is>
          <x:t xml:space="preserve">https://github.com/mrroot01011001/Cicada-3301-/blob/main/liber-primus/pages/41.jpg</x:t>
        </x:is>
      </x:c>
      <x:c r="AC65" s="234" t="inlineStr">
        <x:is>
          <x:t xml:space="preserve">https://github.com/mrfentmen/annotated-pages/blob/main/41.jpg</x:t>
        </x:is>
      </x:c>
      <x:c r="AD65" s="234" t="inlineStr">
        <x:is>
          <x:t xml:space="preserve">Source's additional question is retained verbatim in source_csv_lines_new_raw: 'SO 5 IN TOTAL FOR EACH MOTH? 4 MOTHS PER PAGE 20 TOTAL?' Do not infer a page-wide total.</x:t>
        </x:is>
      </x:c>
      <x:c r="AE65" s="234" t="n"/>
      <x:c r="AF65" s="234" t="n"/>
      <x:c r="AG65" s="234" t="n"/>
      <x:c r="AH65" s="234" t="inlineStr">
        <x:is>
          <x:t xml:space="preserve">single_page</x:t>
        </x:is>
      </x:c>
      <x:c r="AI65" s="234" t="inlineStr">
        <x:is>
          <x:t xml:space="preserve">41.JPG</x:t>
        </x:is>
      </x:c>
      <x:c r="AJ65" s="234" t="inlineStr">
        <x:is>
          <x:t xml:space="preserve">CSV-D019</x:t>
        </x:is>
      </x:c>
      <x:c r="AK65" s="234" t="n">
        <x:v>19</x:v>
      </x:c>
      <x:c r="AL65" s="234" t="inlineStr">
        <x:is>
          <x:t xml:space="preserve">MOTH LIKE FIGURE MIRRORED</x:t>
        </x:is>
      </x:c>
      <x:c r="AM65" s="234" t="inlineStr">
        <x:is>
          <x:t xml:space="preserve">0</x:t>
        </x:is>
      </x:c>
      <x:c r="AN65" s="234" t="inlineStr">
        <x:is>
          <x:t xml:space="preserve">0</x:t>
        </x:is>
      </x:c>
      <x:c r="AO65" s="234" t="inlineStr">
        <x:is>
          <x:t xml:space="preserve">0</x:t>
        </x:is>
      </x:c>
      <x:c r="AP65" s="234" t="inlineStr">
        <x:is>
          <x:t xml:space="preserve">LEFT AND RIGHT OF THE PAGE</x:t>
        </x:is>
      </x:c>
      <x:c r="AQ65" s="234" t="inlineStr">
        <x:is>
          <x:t xml:space="preserve">0</x:t>
        </x:is>
      </x:c>
      <x:c r="AR65" s="234" t="inlineStr">
        <x:is>
          <x:t xml:space="preserve">TWO VISUALLY MIRRORED FIGURES FLANK THE TEXT, GEOMETRY APPEARTS INTENTIONALLY SYMETRIC  - elongated polygonal/diamond forms - 
3 LINES COME OUT OF EACH MOTHS BACK AND 2 FROM ITS HEAD</x:t>
        </x:is>
      </x:c>
      <x:c r="AS65" s="234" t="inlineStr">
        <x:is>
          <x:t xml:space="preserve">2 LINES COME OUT OF THE MOTHS HEAD AND 3 COME OUT ITS BACK 
SO 5 IN TOTAL FOR EACH MOTH? 4 MOTHS PER PAGE 20 TOTAL?</x:t>
        </x:is>
      </x:c>
      <x:c r="AT65" s="234" t="inlineStr">
        <x:is>
          <x:t xml:space="preserve">POPULATED_SOURCE_RECORD</x:t>
        </x:is>
      </x:c>
      <x:c r="AU65" s="234" t="inlineStr">
        <x:is>
          <x:t xml:space="preserve">ANNOTATED_IMAGE_AVAILABLE; NEW FEATURE/COUNT NOT INDEPENDENTLY RECOUNTED</x:t>
        </x:is>
      </x:c>
    </x:row>
    <x:row r="66" s="232" customFormat="1" ht="32" customHeight="1">
      <x:c r="A66" s="234" t="n">
        <x:v>41</x:v>
      </x:c>
      <x:c r="B66" s="234" t="inlineStr">
        <x:is>
          <x:t xml:space="preserve">41.jpg</x:t>
        </x:is>
      </x:c>
      <x:c r="C66" s="234" t="inlineStr">
        <x:is>
          <x:t xml:space="preserve">LP041-F91</x:t>
        </x:is>
      </x:c>
      <x:c r="D66" s="234" t="inlineStr">
        <x:is>
          <x:t xml:space="preserve">CSV source spreadsheet; feature-level representation</x:t>
        </x:is>
      </x:c>
      <x:c r="E66" s="234" t="n"/>
      <x:c r="F66" s="234" t="n"/>
      <x:c r="G66" s="234" t="inlineStr">
        <x:is>
          <x:t xml:space="preserve">back-originating line group (per figure)</x:t>
        </x:is>
      </x:c>
      <x:c r="H66" s="234" t="inlineStr">
        <x:is>
          <x:t xml:space="preserve">Source CSV says three lines come out of each moth-like figure's back.</x:t>
        </x:is>
      </x:c>
      <x:c r="I66" s="234" t="n"/>
      <x:c r="J66" s="234" t="n"/>
      <x:c r="K66" s="234" t="n"/>
      <x:c r="L66" s="234" t="n"/>
      <x:c r="M66" s="234" t="n">
        <x:v>3</x:v>
      </x:c>
      <x:c r="N66" s="234" t="n"/>
      <x:c r="O66" s="234" t="n"/>
      <x:c r="P66" s="234" t="n"/>
      <x:c r="Q66" s="234" t="n"/>
      <x:c r="R66" s="234" t="n"/>
      <x:c r="S66" s="234" t="n"/>
      <x:c r="T66" s="234" t="n"/>
      <x:c r="U66" s="234" t="n"/>
      <x:c r="V66" s="234" t="n"/>
      <x:c r="W66" s="234" t="n"/>
      <x:c r="X66" s="234" t="inlineStr">
        <x:is>
          <x:t xml:space="preserve">back of each of the two side figures</x:t>
        </x:is>
      </x:c>
      <x:c r="Y66" s="234" t="n"/>
      <x:c r="Z66" s="234" t="inlineStr">
        <x:is>
          <x:t xml:space="preserve">medium</x:t>
        </x:is>
      </x:c>
      <x:c r="AA66" s="234" t="inlineStr">
        <x:is>
          <x:t xml:space="preserve">CSV_RECORDED_NOT_INDEPENDENTLY_RECOUNTED</x:t>
        </x:is>
      </x:c>
      <x:c r="AB66" s="234" t="inlineStr">
        <x:is>
          <x:t xml:space="preserve">https://github.com/mrroot01011001/Cicada-3301-/blob/main/liber-primus/pages/41.jpg</x:t>
        </x:is>
      </x:c>
      <x:c r="AC66" s="234" t="inlineStr">
        <x:is>
          <x:t xml:space="preserve">https://github.com/mrfentmen/annotated-pages/blob/main/41.jpg</x:t>
        </x:is>
      </x:c>
      <x:c r="AD66" s="234" t="inlineStr">
        <x:is>
          <x:t xml:space="preserve">Source asks whether figures or line groups should be aggregated; total count remains unresolved.</x:t>
        </x:is>
      </x:c>
      <x:c r="AE66" s="234" t="n"/>
      <x:c r="AF66" s="234" t="n"/>
      <x:c r="AG66" s="234" t="n"/>
      <x:c r="AH66" s="234" t="inlineStr">
        <x:is>
          <x:t xml:space="preserve">single_page</x:t>
        </x:is>
      </x:c>
      <x:c r="AI66" s="234" t="inlineStr">
        <x:is>
          <x:t xml:space="preserve">41.JPG</x:t>
        </x:is>
      </x:c>
      <x:c r="AJ66" s="234" t="inlineStr">
        <x:is>
          <x:t xml:space="preserve">CSV-D019</x:t>
        </x:is>
      </x:c>
      <x:c r="AK66" s="234" t="n">
        <x:v>19</x:v>
      </x:c>
      <x:c r="AL66" s="234" t="inlineStr">
        <x:is>
          <x:t xml:space="preserve">MOTH LIKE FIGURE MIRRORED</x:t>
        </x:is>
      </x:c>
      <x:c r="AM66" s="234" t="inlineStr">
        <x:is>
          <x:t xml:space="preserve">0</x:t>
        </x:is>
      </x:c>
      <x:c r="AN66" s="234" t="inlineStr">
        <x:is>
          <x:t xml:space="preserve">0</x:t>
        </x:is>
      </x:c>
      <x:c r="AO66" s="234" t="inlineStr">
        <x:is>
          <x:t xml:space="preserve">0</x:t>
        </x:is>
      </x:c>
      <x:c r="AP66" s="234" t="inlineStr">
        <x:is>
          <x:t xml:space="preserve">LEFT AND RIGHT OF THE PAGE</x:t>
        </x:is>
      </x:c>
      <x:c r="AQ66" s="234" t="inlineStr">
        <x:is>
          <x:t xml:space="preserve">0</x:t>
        </x:is>
      </x:c>
      <x:c r="AR66" s="234" t="inlineStr">
        <x:is>
          <x:t xml:space="preserve">TWO VISUALLY MIRRORED FIGURES FLANK THE TEXT, GEOMETRY APPEARTS INTENTIONALLY SYMETRIC  - elongated polygonal/diamond forms - 
3 LINES COME OUT OF EACH MOTHS BACK AND 2 FROM ITS HEAD</x:t>
        </x:is>
      </x:c>
      <x:c r="AS66" s="234" t="inlineStr">
        <x:is>
          <x:t xml:space="preserve">2 LINES COME OUT OF THE MOTHS HEAD AND 3 COME OUT ITS BACK 
SO 5 IN TOTAL FOR EACH MOTH? 4 MOTHS PER PAGE 20 TOTAL?</x:t>
        </x:is>
      </x:c>
      <x:c r="AT66" s="234" t="inlineStr">
        <x:is>
          <x:t xml:space="preserve">POPULATED_SOURCE_RECORD</x:t>
        </x:is>
      </x:c>
      <x:c r="AU66" s="234" t="inlineStr">
        <x:is>
          <x:t xml:space="preserve">ANNOTATED_IMAGE_AVAILABLE; NEW FEATURE/COUNT NOT INDEPENDENTLY RECOUNTED</x:t>
        </x:is>
      </x:c>
    </x:row>
    <x:row r="67" s="232" customFormat="1" ht="32" customHeight="1">
      <x:c r="A67" s="234" t="n">
        <x:v>42</x:v>
      </x:c>
      <x:c r="B67" s="234" t="inlineStr">
        <x:is>
          <x:t xml:space="preserve">42.jpg</x:t>
        </x:is>
      </x:c>
      <x:c r="C67" s="234" t="inlineStr">
        <x:is>
          <x:t xml:space="preserve">LP042-F01</x:t>
        </x:is>
      </x:c>
      <x:c r="D67" s="234" t="inlineStr">
        <x:is>
          <x:t xml:space="preserve">original artwork</x:t>
        </x:is>
      </x:c>
      <x:c r="E67" s="234" t="n"/>
      <x:c r="F67" s="234" t="n"/>
      <x:c r="G67" s="234" t="inlineStr">
        <x:is>
          <x:t xml:space="preserve">paired insect-like figures</x:t>
        </x:is>
      </x:c>
      <x:c r="H67" s="234" t="inlineStr">
        <x:is>
          <x:t xml:space="preserve">Two elongated winged insect/moth/dragonfly-like figures flank the central text in a near-mirrored arrangement.</x:t>
        </x:is>
      </x:c>
      <x:c r="I67" s="234" t="n"/>
      <x:c r="J67" s="234" t="n"/>
      <x:c r="K67" s="234" t="n"/>
      <x:c r="L67" s="234" t="n"/>
      <x:c r="M67" s="234" t="n"/>
      <x:c r="N67" s="234" t="n"/>
      <x:c r="O67" s="234" t="n"/>
      <x:c r="P67" s="234" t="n"/>
      <x:c r="Q67" s="234" t="n"/>
      <x:c r="R67" s="234" t="inlineStr">
        <x:is>
          <x:t xml:space="preserve">Approximate left-right mirror appearance; coordinate test pending</x:t>
        </x:is>
      </x:c>
      <x:c r="S67" s="234" t="n"/>
      <x:c r="T67" s="234" t="n"/>
      <x:c r="U67" s="234" t="inlineStr">
        <x:is>
          <x:t xml:space="preserve">Prism/bipyramid resemblance is only a hypothesis, not a classification.</x:t>
        </x:is>
      </x:c>
      <x:c r="V67" s="234" t="n"/>
      <x:c r="W67" s="234" t="n"/>
      <x:c r="X67" s="234" t="inlineStr">
        <x:is>
          <x:t xml:space="preserve">left and right margins</x:t>
        </x:is>
      </x:c>
      <x:c r="Y67" s="234" t="inlineStr">
        <x:is>
          <x:t xml:space="preserve">Test graph topology and bilateral reflection from traced coordinates before naming a polyhedron.</x:t>
        </x:is>
      </x:c>
      <x:c r="Z67" s="234" t="inlineStr">
        <x:is>
          <x:t xml:space="preserve">high</x:t>
        </x:is>
      </x:c>
      <x:c r="AA67" s="234" t="inlineStr">
        <x:is>
          <x:t xml:space="preserve">OBSERVED</x:t>
        </x:is>
      </x:c>
      <x:c r="AB67" s="234" t="inlineStr">
        <x:is>
          <x:t xml:space="preserve">https://github.com/mrroot01011001/Cicada-3301-/blob/main/liber-primus/pages/42.jpg</x:t>
        </x:is>
      </x:c>
      <x:c r="AC67" s="234" t="inlineStr">
        <x:is>
          <x:t xml:space="preserve">https://github.com/mrfentmen/annotated-pages/blob/main/42.jpg</x:t>
        </x:is>
      </x:c>
      <x:c r="AD67" s="234" t="inlineStr">
        <x:is>
          <x:t xml:space="preserve">No clear numbering overlay is visible on these figures in the current annotated image.</x:t>
        </x:is>
      </x:c>
      <x:c r="AE67" s="234" t="n"/>
      <x:c r="AF67" s="234" t="n"/>
      <x:c r="AG67" s="234" t="n"/>
      <x:c r="AH67" s="234" t="inlineStr">
        <x:is>
          <x:t xml:space="preserve">single_page</x:t>
        </x:is>
      </x:c>
      <x:c r="AI67" s="234" t="inlineStr">
        <x:is>
          <x:t xml:space="preserve">42.JPG</x:t>
        </x:is>
      </x:c>
      <x:c r="AJ67" s="234" t="inlineStr">
        <x:is>
          <x:t xml:space="preserve">CSV-D020</x:t>
        </x:is>
      </x:c>
      <x:c r="AK67" s="234" t="n">
        <x:v>20</x:v>
      </x:c>
      <x:c r="AL67" s="234" t="inlineStr">
        <x:is>
          <x:t xml:space="preserve">MOTH LIKE FIGURE MIRRORED</x:t>
        </x:is>
      </x:c>
      <x:c r="AM67" s="234" t="inlineStr">
        <x:is>
          <x:t xml:space="preserve">0</x:t>
        </x:is>
      </x:c>
      <x:c r="AN67" s="234" t="inlineStr">
        <x:is>
          <x:t xml:space="preserve">0</x:t>
        </x:is>
      </x:c>
      <x:c r="AO67" s="234" t="inlineStr">
        <x:is>
          <x:t xml:space="preserve">0</x:t>
        </x:is>
      </x:c>
      <x:c r="AP67" s="234" t="inlineStr">
        <x:is>
          <x:t xml:space="preserve">LEFT AND RIGHT OF THE PAGE</x:t>
        </x:is>
      </x:c>
      <x:c r="AQ67" s="234" t="inlineStr">
        <x:is>
          <x:t xml:space="preserve">0</x:t>
        </x:is>
      </x:c>
      <x:c r="AR67" s="234" t="inlineStr">
        <x:is>
          <x:t xml:space="preserve">TWO VISUALLY MIRRORED FIGURES FLANK THE TEXT, GEOMETRY APPEARTS INTENTIONALLY SYMETRIC  - elongated polygonal/diamond forms - 
3 LINES COME OUT OF EACH MOTHS BACK AND 2 FROM ITS HEAD</x:t>
        </x:is>
      </x:c>
      <x:c r="AS67" s="234" t="inlineStr">
        <x:is>
          <x:t xml:space="preserve">2 LINES COME OUT OF THE MOTHS HEAD AND 3 COME OUT ITS BACK 
SO 5 IN TOTAL FOR EACH MOTH? 4 MOTHS PER PAGE 20 TOTAL?</x:t>
        </x:is>
      </x:c>
      <x:c r="AT67" s="234" t="inlineStr">
        <x:is>
          <x:t xml:space="preserve">POPULATED_SOURCE_RECORD</x:t>
        </x:is>
      </x:c>
      <x:c r="AU67" s="234" t="inlineStr">
        <x:is>
          <x:t xml:space="preserve">ANNOTATED_IMAGE_AVAILABLE</x:t>
        </x:is>
      </x:c>
    </x:row>
    <x:row r="68" s="232" customFormat="1" ht="32" customHeight="1">
      <x:c r="A68" s="234" t="n">
        <x:v>42</x:v>
      </x:c>
      <x:c r="B68" s="234" t="inlineStr">
        <x:is>
          <x:t xml:space="preserve">42.jpg</x:t>
        </x:is>
      </x:c>
      <x:c r="C68" s="234" t="inlineStr">
        <x:is>
          <x:t xml:space="preserve">LP042-F90</x:t>
        </x:is>
      </x:c>
      <x:c r="D68" s="234" t="inlineStr">
        <x:is>
          <x:t xml:space="preserve">CSV source spreadsheet; feature-level representation</x:t>
        </x:is>
      </x:c>
      <x:c r="E68" s="234" t="n"/>
      <x:c r="F68" s="234" t="n"/>
      <x:c r="G68" s="234" t="inlineStr">
        <x:is>
          <x:t xml:space="preserve">head-originating line group (per figure)</x:t>
        </x:is>
      </x:c>
      <x:c r="H68" s="234" t="inlineStr">
        <x:is>
          <x:t xml:space="preserve">Source CSV says two lines come out of each moth-like figure's head.</x:t>
        </x:is>
      </x:c>
      <x:c r="I68" s="234" t="n"/>
      <x:c r="J68" s="234" t="n"/>
      <x:c r="K68" s="234" t="n"/>
      <x:c r="L68" s="234" t="n"/>
      <x:c r="M68" s="234" t="n">
        <x:v>2</x:v>
      </x:c>
      <x:c r="N68" s="234" t="n"/>
      <x:c r="O68" s="234" t="n"/>
      <x:c r="P68" s="234" t="n"/>
      <x:c r="Q68" s="234" t="n"/>
      <x:c r="R68" s="234" t="n"/>
      <x:c r="S68" s="234" t="n"/>
      <x:c r="T68" s="234" t="n"/>
      <x:c r="U68" s="234" t="n"/>
      <x:c r="V68" s="234" t="n"/>
      <x:c r="W68" s="234" t="n"/>
      <x:c r="X68" s="234" t="inlineStr">
        <x:is>
          <x:t xml:space="preserve">head of each of the two side figures</x:t>
        </x:is>
      </x:c>
      <x:c r="Y68" s="234" t="n"/>
      <x:c r="Z68" s="234" t="inlineStr">
        <x:is>
          <x:t xml:space="preserve">medium</x:t>
        </x:is>
      </x:c>
      <x:c r="AA68" s="234" t="inlineStr">
        <x:is>
          <x:t xml:space="preserve">CSV_RECORDED_NOT_INDEPENDENTLY_RECOUNTED</x:t>
        </x:is>
      </x:c>
      <x:c r="AB68" s="234" t="inlineStr">
        <x:is>
          <x:t xml:space="preserve">https://github.com/mrroot01011001/Cicada-3301-/blob/main/liber-primus/pages/42.jpg</x:t>
        </x:is>
      </x:c>
      <x:c r="AC68" s="234" t="inlineStr">
        <x:is>
          <x:t xml:space="preserve">https://github.com/mrfentmen/annotated-pages/blob/main/42.jpg</x:t>
        </x:is>
      </x:c>
      <x:c r="AD68" s="234" t="inlineStr">
        <x:is>
          <x:t xml:space="preserve">Source's additional question is retained verbatim in source_csv_lines_new_raw: 'SO 5 IN TOTAL FOR EACH MOTH? 4 MOTHS PER PAGE 20 TOTAL?' Do not infer a page-wide total.</x:t>
        </x:is>
      </x:c>
      <x:c r="AE68" s="234" t="n"/>
      <x:c r="AF68" s="234" t="n"/>
      <x:c r="AG68" s="234" t="n"/>
      <x:c r="AH68" s="234" t="inlineStr">
        <x:is>
          <x:t xml:space="preserve">single_page</x:t>
        </x:is>
      </x:c>
      <x:c r="AI68" s="234" t="inlineStr">
        <x:is>
          <x:t xml:space="preserve">42.JPG</x:t>
        </x:is>
      </x:c>
      <x:c r="AJ68" s="234" t="inlineStr">
        <x:is>
          <x:t xml:space="preserve">CSV-D020</x:t>
        </x:is>
      </x:c>
      <x:c r="AK68" s="234" t="n">
        <x:v>20</x:v>
      </x:c>
      <x:c r="AL68" s="234" t="inlineStr">
        <x:is>
          <x:t xml:space="preserve">MOTH LIKE FIGURE MIRRORED</x:t>
        </x:is>
      </x:c>
      <x:c r="AM68" s="234" t="inlineStr">
        <x:is>
          <x:t xml:space="preserve">0</x:t>
        </x:is>
      </x:c>
      <x:c r="AN68" s="234" t="inlineStr">
        <x:is>
          <x:t xml:space="preserve">0</x:t>
        </x:is>
      </x:c>
      <x:c r="AO68" s="234" t="inlineStr">
        <x:is>
          <x:t xml:space="preserve">0</x:t>
        </x:is>
      </x:c>
      <x:c r="AP68" s="234" t="inlineStr">
        <x:is>
          <x:t xml:space="preserve">LEFT AND RIGHT OF THE PAGE</x:t>
        </x:is>
      </x:c>
      <x:c r="AQ68" s="234" t="inlineStr">
        <x:is>
          <x:t xml:space="preserve">0</x:t>
        </x:is>
      </x:c>
      <x:c r="AR68" s="234" t="inlineStr">
        <x:is>
          <x:t xml:space="preserve">TWO VISUALLY MIRRORED FIGURES FLANK THE TEXT, GEOMETRY APPEARTS INTENTIONALLY SYMETRIC  - elongated polygonal/diamond forms - 
3 LINES COME OUT OF EACH MOTHS BACK AND 2 FROM ITS HEAD</x:t>
        </x:is>
      </x:c>
      <x:c r="AS68" s="234" t="inlineStr">
        <x:is>
          <x:t xml:space="preserve">2 LINES COME OUT OF THE MOTHS HEAD AND 3 COME OUT ITS BACK 
SO 5 IN TOTAL FOR EACH MOTH? 4 MOTHS PER PAGE 20 TOTAL?</x:t>
        </x:is>
      </x:c>
      <x:c r="AT68" s="234" t="inlineStr">
        <x:is>
          <x:t xml:space="preserve">POPULATED_SOURCE_RECORD</x:t>
        </x:is>
      </x:c>
      <x:c r="AU68" s="234" t="inlineStr">
        <x:is>
          <x:t xml:space="preserve">ANNOTATED_IMAGE_AVAILABLE; NEW FEATURE/COUNT NOT INDEPENDENTLY RECOUNTED</x:t>
        </x:is>
      </x:c>
    </x:row>
    <x:row r="69" s="232" customFormat="1" ht="32" customHeight="1">
      <x:c r="A69" s="234" t="n">
        <x:v>42</x:v>
      </x:c>
      <x:c r="B69" s="234" t="inlineStr">
        <x:is>
          <x:t xml:space="preserve">42.jpg</x:t>
        </x:is>
      </x:c>
      <x:c r="C69" s="234" t="inlineStr">
        <x:is>
          <x:t xml:space="preserve">LP042-F91</x:t>
        </x:is>
      </x:c>
      <x:c r="D69" s="234" t="inlineStr">
        <x:is>
          <x:t xml:space="preserve">CSV source spreadsheet; feature-level representation</x:t>
        </x:is>
      </x:c>
      <x:c r="E69" s="234" t="n"/>
      <x:c r="F69" s="234" t="n"/>
      <x:c r="G69" s="234" t="inlineStr">
        <x:is>
          <x:t xml:space="preserve">back-originating line group (per figure)</x:t>
        </x:is>
      </x:c>
      <x:c r="H69" s="234" t="inlineStr">
        <x:is>
          <x:t xml:space="preserve">Source CSV says three lines come out of each moth-like figure's back.</x:t>
        </x:is>
      </x:c>
      <x:c r="I69" s="234" t="n"/>
      <x:c r="J69" s="234" t="n"/>
      <x:c r="K69" s="234" t="n"/>
      <x:c r="L69" s="234" t="n"/>
      <x:c r="M69" s="234" t="n">
        <x:v>3</x:v>
      </x:c>
      <x:c r="N69" s="234" t="n"/>
      <x:c r="O69" s="234" t="n"/>
      <x:c r="P69" s="234" t="n"/>
      <x:c r="Q69" s="234" t="n"/>
      <x:c r="R69" s="234" t="n"/>
      <x:c r="S69" s="234" t="n"/>
      <x:c r="T69" s="234" t="n"/>
      <x:c r="U69" s="234" t="n"/>
      <x:c r="V69" s="234" t="n"/>
      <x:c r="W69" s="234" t="n"/>
      <x:c r="X69" s="234" t="inlineStr">
        <x:is>
          <x:t xml:space="preserve">back of each of the two side figures</x:t>
        </x:is>
      </x:c>
      <x:c r="Y69" s="234" t="n"/>
      <x:c r="Z69" s="234" t="inlineStr">
        <x:is>
          <x:t xml:space="preserve">medium</x:t>
        </x:is>
      </x:c>
      <x:c r="AA69" s="234" t="inlineStr">
        <x:is>
          <x:t xml:space="preserve">CSV_RECORDED_NOT_INDEPENDENTLY_RECOUNTED</x:t>
        </x:is>
      </x:c>
      <x:c r="AB69" s="234" t="inlineStr">
        <x:is>
          <x:t xml:space="preserve">https://github.com/mrroot01011001/Cicada-3301-/blob/main/liber-primus/pages/42.jpg</x:t>
        </x:is>
      </x:c>
      <x:c r="AC69" s="234" t="inlineStr">
        <x:is>
          <x:t xml:space="preserve">https://github.com/mrfentmen/annotated-pages/blob/main/42.jpg</x:t>
        </x:is>
      </x:c>
      <x:c r="AD69" s="234" t="inlineStr">
        <x:is>
          <x:t xml:space="preserve">Source asks whether figures or line groups should be aggregated; total count remains unresolved.</x:t>
        </x:is>
      </x:c>
      <x:c r="AE69" s="234" t="n"/>
      <x:c r="AF69" s="234" t="n"/>
      <x:c r="AG69" s="234" t="n"/>
      <x:c r="AH69" s="234" t="inlineStr">
        <x:is>
          <x:t xml:space="preserve">single_page</x:t>
        </x:is>
      </x:c>
      <x:c r="AI69" s="234" t="inlineStr">
        <x:is>
          <x:t xml:space="preserve">42.JPG</x:t>
        </x:is>
      </x:c>
      <x:c r="AJ69" s="234" t="inlineStr">
        <x:is>
          <x:t xml:space="preserve">CSV-D020</x:t>
        </x:is>
      </x:c>
      <x:c r="AK69" s="234" t="n">
        <x:v>20</x:v>
      </x:c>
      <x:c r="AL69" s="234" t="inlineStr">
        <x:is>
          <x:t xml:space="preserve">MOTH LIKE FIGURE MIRRORED</x:t>
        </x:is>
      </x:c>
      <x:c r="AM69" s="234" t="inlineStr">
        <x:is>
          <x:t xml:space="preserve">0</x:t>
        </x:is>
      </x:c>
      <x:c r="AN69" s="234" t="inlineStr">
        <x:is>
          <x:t xml:space="preserve">0</x:t>
        </x:is>
      </x:c>
      <x:c r="AO69" s="234" t="inlineStr">
        <x:is>
          <x:t xml:space="preserve">0</x:t>
        </x:is>
      </x:c>
      <x:c r="AP69" s="234" t="inlineStr">
        <x:is>
          <x:t xml:space="preserve">LEFT AND RIGHT OF THE PAGE</x:t>
        </x:is>
      </x:c>
      <x:c r="AQ69" s="234" t="inlineStr">
        <x:is>
          <x:t xml:space="preserve">0</x:t>
        </x:is>
      </x:c>
      <x:c r="AR69" s="234" t="inlineStr">
        <x:is>
          <x:t xml:space="preserve">TWO VISUALLY MIRRORED FIGURES FLANK THE TEXT, GEOMETRY APPEARTS INTENTIONALLY SYMETRIC  - elongated polygonal/diamond forms - 
3 LINES COME OUT OF EACH MOTHS BACK AND 2 FROM ITS HEAD</x:t>
        </x:is>
      </x:c>
      <x:c r="AS69" s="234" t="inlineStr">
        <x:is>
          <x:t xml:space="preserve">2 LINES COME OUT OF THE MOTHS HEAD AND 3 COME OUT ITS BACK 
SO 5 IN TOTAL FOR EACH MOTH? 4 MOTHS PER PAGE 20 TOTAL?</x:t>
        </x:is>
      </x:c>
      <x:c r="AT69" s="234" t="inlineStr">
        <x:is>
          <x:t xml:space="preserve">POPULATED_SOURCE_RECORD</x:t>
        </x:is>
      </x:c>
      <x:c r="AU69" s="234" t="inlineStr">
        <x:is>
          <x:t xml:space="preserve">ANNOTATED_IMAGE_AVAILABLE; NEW FEATURE/COUNT NOT INDEPENDENTLY RECOUNTED</x:t>
        </x:is>
      </x:c>
    </x:row>
    <x:row r="70" s="232" customFormat="1" ht="32" customHeight="1">
      <x:c r="A70" s="234" t="n">
        <x:v>43</x:v>
      </x:c>
      <x:c r="B70" s="234" t="inlineStr">
        <x:is>
          <x:t xml:space="preserve">43.jpg</x:t>
        </x:is>
      </x:c>
      <x:c r="C70" s="234" t="inlineStr">
        <x:is>
          <x:t xml:space="preserve">LP043-F01</x:t>
        </x:is>
      </x:c>
      <x:c r="D70" s="234" t="inlineStr">
        <x:is>
          <x:t xml:space="preserve">original artwork + user annotation</x:t>
        </x:is>
      </x:c>
      <x:c r="E70" s="234" t="inlineStr">
        <x:is>
          <x:t xml:space="preserve">pale green labels</x:t>
        </x:is>
      </x:c>
      <x:c r="F70" s="234" t="inlineStr">
        <x:is>
          <x:t xml:space="preserve">many small numeric labels along both figures; exact sequence needs crop transcription</x:t>
        </x:is>
      </x:c>
      <x:c r="G70" s="234" t="inlineStr">
        <x:is>
          <x:t xml:space="preserve">paired insect-like figures</x:t>
        </x:is>
      </x:c>
      <x:c r="H70" s="234" t="inlineStr">
        <x:is>
          <x:t xml:space="preserve">Two elongated winged insect/moth/dragonfly-like figures flank the central text in a near-mirrored arrangement.</x:t>
        </x:is>
      </x:c>
      <x:c r="I70" s="234" t="n"/>
      <x:c r="J70" s="234" t="n"/>
      <x:c r="K70" s="234" t="n"/>
      <x:c r="L70" s="234" t="n"/>
      <x:c r="M70" s="234" t="n"/>
      <x:c r="N70" s="234" t="n"/>
      <x:c r="O70" s="234" t="n"/>
      <x:c r="P70" s="234" t="n"/>
      <x:c r="Q70" s="234" t="n"/>
      <x:c r="R70" s="234" t="inlineStr">
        <x:is>
          <x:t xml:space="preserve">Approximate left-right mirror appearance; coordinate test pending</x:t>
        </x:is>
      </x:c>
      <x:c r="S70" s="234" t="n"/>
      <x:c r="T70" s="234" t="n"/>
      <x:c r="U70" s="234" t="inlineStr">
        <x:is>
          <x:t xml:space="preserve">Prism/bipyramid resemblance is only a hypothesis, not a classification.</x:t>
        </x:is>
      </x:c>
      <x:c r="V70" s="234" t="n"/>
      <x:c r="W70" s="234" t="n"/>
      <x:c r="X70" s="234" t="inlineStr">
        <x:is>
          <x:t xml:space="preserve">left and right margins</x:t>
        </x:is>
      </x:c>
      <x:c r="Y70" s="234" t="inlineStr">
        <x:is>
          <x:t xml:space="preserve">Test graph topology and bilateral reflection from traced coordinates before naming a polyhedron.</x:t>
        </x:is>
      </x:c>
      <x:c r="Z70" s="234" t="inlineStr">
        <x:is>
          <x:t xml:space="preserve">high</x:t>
        </x:is>
      </x:c>
      <x:c r="AA70" s="234" t="inlineStr">
        <x:is>
          <x:t xml:space="preserve">ANNOTATION_VISIBLE</x:t>
        </x:is>
      </x:c>
      <x:c r="AB70" s="234" t="inlineStr">
        <x:is>
          <x:t xml:space="preserve">https://github.com/mrroot01011001/Cicada-3301-/blob/main/liber-primus/pages/43.jpg</x:t>
        </x:is>
      </x:c>
      <x:c r="AC70" s="234" t="inlineStr">
        <x:is>
          <x:t xml:space="preserve">https://github.com/mrfentmen/annotated-pages/blob/main/43.jpg</x:t>
        </x:is>
      </x:c>
      <x:c r="AD70" s="234" t="inlineStr">
        <x:is>
          <x:t xml:space="preserve">Labels are very small at whole-page scale; do not assign vertex/edge counts until traced.</x:t>
        </x:is>
      </x:c>
      <x:c r="AE70" s="234" t="n"/>
      <x:c r="AF70" s="234" t="n"/>
      <x:c r="AG70" s="234" t="n"/>
      <x:c r="AH70" s="234" t="inlineStr">
        <x:is>
          <x:t xml:space="preserve">single_page</x:t>
        </x:is>
      </x:c>
      <x:c r="AI70" s="234" t="inlineStr">
        <x:is>
          <x:t xml:space="preserve">43.JPG</x:t>
        </x:is>
      </x:c>
      <x:c r="AJ70" s="234" t="inlineStr">
        <x:is>
          <x:t xml:space="preserve">CSV-D021</x:t>
        </x:is>
      </x:c>
      <x:c r="AK70" s="234" t="n">
        <x:v>21</x:v>
      </x:c>
      <x:c r="AL70" s="234" t="inlineStr">
        <x:is>
          <x:t xml:space="preserve">MOTH LIKE FIGURE MIRRORED</x:t>
        </x:is>
      </x:c>
      <x:c r="AM70" s="234" t="inlineStr">
        <x:is>
          <x:t xml:space="preserve">0</x:t>
        </x:is>
      </x:c>
      <x:c r="AN70" s="234" t="inlineStr">
        <x:is>
          <x:t xml:space="preserve">0</x:t>
        </x:is>
      </x:c>
      <x:c r="AO70" s="234" t="inlineStr">
        <x:is>
          <x:t xml:space="preserve">0</x:t>
        </x:is>
      </x:c>
      <x:c r="AP70" s="234" t="inlineStr">
        <x:is>
          <x:t xml:space="preserve">LEFT AND RIGHT OF THE PAGE</x:t>
        </x:is>
      </x:c>
      <x:c r="AQ70" s="234" t="inlineStr">
        <x:is>
          <x:t xml:space="preserve">0</x:t>
        </x:is>
      </x:c>
      <x:c r="AR70" s="234" t="inlineStr">
        <x:is>
          <x:t xml:space="preserve">TWO VISUALLY MIRRORED FIGURES FLANK THE TEXT, GEOMETRY APPEARTS INTENTIONALLY SYMETRIC  - elongated polygonal/diamond forms - 
3 LINES COME OUT OF EACH MOTHS BACK AND 2 FROM ITS HEAD</x:t>
        </x:is>
      </x:c>
      <x:c r="AS70" s="234" t="inlineStr">
        <x:is>
          <x:t xml:space="preserve">2 LINES COME OUT OF THE MOTHS HEAD AND 3 COME OUT ITS BACK 
SO 5 IN TOTAL FOR EACH MOTH? 4 MOTHS PER PAGE 20 TOTAL?</x:t>
        </x:is>
      </x:c>
      <x:c r="AT70" s="234" t="inlineStr">
        <x:is>
          <x:t xml:space="preserve">POPULATED_SOURCE_RECORD</x:t>
        </x:is>
      </x:c>
      <x:c r="AU70" s="234" t="inlineStr">
        <x:is>
          <x:t xml:space="preserve">ANNOTATED_IMAGE_AVAILABLE</x:t>
        </x:is>
      </x:c>
    </x:row>
    <x:row r="71" s="232" customFormat="1" ht="32" customHeight="1">
      <x:c r="A71" s="234" t="n">
        <x:v>43</x:v>
      </x:c>
      <x:c r="B71" s="234" t="inlineStr">
        <x:is>
          <x:t xml:space="preserve">43.jpg</x:t>
        </x:is>
      </x:c>
      <x:c r="C71" s="234" t="inlineStr">
        <x:is>
          <x:t xml:space="preserve">LP043-F90</x:t>
        </x:is>
      </x:c>
      <x:c r="D71" s="234" t="inlineStr">
        <x:is>
          <x:t xml:space="preserve">CSV source spreadsheet; feature-level representation</x:t>
        </x:is>
      </x:c>
      <x:c r="E71" s="234" t="n"/>
      <x:c r="F71" s="234" t="n"/>
      <x:c r="G71" s="234" t="inlineStr">
        <x:is>
          <x:t xml:space="preserve">head-originating line group (per figure)</x:t>
        </x:is>
      </x:c>
      <x:c r="H71" s="234" t="inlineStr">
        <x:is>
          <x:t xml:space="preserve">Source CSV says two lines come out of each moth-like figure's head.</x:t>
        </x:is>
      </x:c>
      <x:c r="I71" s="234" t="n"/>
      <x:c r="J71" s="234" t="n"/>
      <x:c r="K71" s="234" t="n"/>
      <x:c r="L71" s="234" t="n"/>
      <x:c r="M71" s="234" t="n">
        <x:v>2</x:v>
      </x:c>
      <x:c r="N71" s="234" t="n"/>
      <x:c r="O71" s="234" t="n"/>
      <x:c r="P71" s="234" t="n"/>
      <x:c r="Q71" s="234" t="n"/>
      <x:c r="R71" s="234" t="n"/>
      <x:c r="S71" s="234" t="n"/>
      <x:c r="T71" s="234" t="n"/>
      <x:c r="U71" s="234" t="n"/>
      <x:c r="V71" s="234" t="n"/>
      <x:c r="W71" s="234" t="n"/>
      <x:c r="X71" s="234" t="inlineStr">
        <x:is>
          <x:t xml:space="preserve">head of each of the two side figures</x:t>
        </x:is>
      </x:c>
      <x:c r="Y71" s="234" t="n"/>
      <x:c r="Z71" s="234" t="inlineStr">
        <x:is>
          <x:t xml:space="preserve">medium</x:t>
        </x:is>
      </x:c>
      <x:c r="AA71" s="234" t="inlineStr">
        <x:is>
          <x:t xml:space="preserve">CSV_RECORDED_NOT_INDEPENDENTLY_RECOUNTED</x:t>
        </x:is>
      </x:c>
      <x:c r="AB71" s="234" t="inlineStr">
        <x:is>
          <x:t xml:space="preserve">https://github.com/mrroot01011001/Cicada-3301-/blob/main/liber-primus/pages/43.jpg</x:t>
        </x:is>
      </x:c>
      <x:c r="AC71" s="234" t="inlineStr">
        <x:is>
          <x:t xml:space="preserve">https://github.com/mrfentmen/annotated-pages/blob/main/43.jpg</x:t>
        </x:is>
      </x:c>
      <x:c r="AD71" s="234" t="inlineStr">
        <x:is>
          <x:t xml:space="preserve">Source's additional question is retained verbatim in source_csv_lines_new_raw: 'SO 5 IN TOTAL FOR EACH MOTH? 4 MOTHS PER PAGE 20 TOTAL?' Do not infer a page-wide total.</x:t>
        </x:is>
      </x:c>
      <x:c r="AE71" s="234" t="n"/>
      <x:c r="AF71" s="234" t="n"/>
      <x:c r="AG71" s="234" t="n"/>
      <x:c r="AH71" s="234" t="inlineStr">
        <x:is>
          <x:t xml:space="preserve">single_page</x:t>
        </x:is>
      </x:c>
      <x:c r="AI71" s="234" t="inlineStr">
        <x:is>
          <x:t xml:space="preserve">43.JPG</x:t>
        </x:is>
      </x:c>
      <x:c r="AJ71" s="234" t="inlineStr">
        <x:is>
          <x:t xml:space="preserve">CSV-D021</x:t>
        </x:is>
      </x:c>
      <x:c r="AK71" s="234" t="n">
        <x:v>21</x:v>
      </x:c>
      <x:c r="AL71" s="234" t="inlineStr">
        <x:is>
          <x:t xml:space="preserve">MOTH LIKE FIGURE MIRRORED</x:t>
        </x:is>
      </x:c>
      <x:c r="AM71" s="234" t="inlineStr">
        <x:is>
          <x:t xml:space="preserve">0</x:t>
        </x:is>
      </x:c>
      <x:c r="AN71" s="234" t="inlineStr">
        <x:is>
          <x:t xml:space="preserve">0</x:t>
        </x:is>
      </x:c>
      <x:c r="AO71" s="234" t="inlineStr">
        <x:is>
          <x:t xml:space="preserve">0</x:t>
        </x:is>
      </x:c>
      <x:c r="AP71" s="234" t="inlineStr">
        <x:is>
          <x:t xml:space="preserve">LEFT AND RIGHT OF THE PAGE</x:t>
        </x:is>
      </x:c>
      <x:c r="AQ71" s="234" t="inlineStr">
        <x:is>
          <x:t xml:space="preserve">0</x:t>
        </x:is>
      </x:c>
      <x:c r="AR71" s="234" t="inlineStr">
        <x:is>
          <x:t xml:space="preserve">TWO VISUALLY MIRRORED FIGURES FLANK THE TEXT, GEOMETRY APPEARTS INTENTIONALLY SYMETRIC  - elongated polygonal/diamond forms - 
3 LINES COME OUT OF EACH MOTHS BACK AND 2 FROM ITS HEAD</x:t>
        </x:is>
      </x:c>
      <x:c r="AS71" s="234" t="inlineStr">
        <x:is>
          <x:t xml:space="preserve">2 LINES COME OUT OF THE MOTHS HEAD AND 3 COME OUT ITS BACK 
SO 5 IN TOTAL FOR EACH MOTH? 4 MOTHS PER PAGE 20 TOTAL?</x:t>
        </x:is>
      </x:c>
      <x:c r="AT71" s="234" t="inlineStr">
        <x:is>
          <x:t xml:space="preserve">POPULATED_SOURCE_RECORD</x:t>
        </x:is>
      </x:c>
      <x:c r="AU71" s="234" t="inlineStr">
        <x:is>
          <x:t xml:space="preserve">ANNOTATED_IMAGE_AVAILABLE; NEW FEATURE/COUNT NOT INDEPENDENTLY RECOUNTED</x:t>
        </x:is>
      </x:c>
    </x:row>
    <x:row r="72" s="232" customFormat="1" ht="32" customHeight="1">
      <x:c r="A72" s="234" t="n">
        <x:v>43</x:v>
      </x:c>
      <x:c r="B72" s="234" t="inlineStr">
        <x:is>
          <x:t xml:space="preserve">43.jpg</x:t>
        </x:is>
      </x:c>
      <x:c r="C72" s="234" t="inlineStr">
        <x:is>
          <x:t xml:space="preserve">LP043-F91</x:t>
        </x:is>
      </x:c>
      <x:c r="D72" s="234" t="inlineStr">
        <x:is>
          <x:t xml:space="preserve">CSV source spreadsheet; feature-level representation</x:t>
        </x:is>
      </x:c>
      <x:c r="E72" s="234" t="n"/>
      <x:c r="F72" s="234" t="n"/>
      <x:c r="G72" s="234" t="inlineStr">
        <x:is>
          <x:t xml:space="preserve">back-originating line group (per figure)</x:t>
        </x:is>
      </x:c>
      <x:c r="H72" s="234" t="inlineStr">
        <x:is>
          <x:t xml:space="preserve">Source CSV says three lines come out of each moth-like figure's back.</x:t>
        </x:is>
      </x:c>
      <x:c r="I72" s="234" t="n"/>
      <x:c r="J72" s="234" t="n"/>
      <x:c r="K72" s="234" t="n"/>
      <x:c r="L72" s="234" t="n"/>
      <x:c r="M72" s="234" t="n">
        <x:v>3</x:v>
      </x:c>
      <x:c r="N72" s="234" t="n"/>
      <x:c r="O72" s="234" t="n"/>
      <x:c r="P72" s="234" t="n"/>
      <x:c r="Q72" s="234" t="n"/>
      <x:c r="R72" s="234" t="n"/>
      <x:c r="S72" s="234" t="n"/>
      <x:c r="T72" s="234" t="n"/>
      <x:c r="U72" s="234" t="n"/>
      <x:c r="V72" s="234" t="n"/>
      <x:c r="W72" s="234" t="n"/>
      <x:c r="X72" s="234" t="inlineStr">
        <x:is>
          <x:t xml:space="preserve">back of each of the two side figures</x:t>
        </x:is>
      </x:c>
      <x:c r="Y72" s="234" t="n"/>
      <x:c r="Z72" s="234" t="inlineStr">
        <x:is>
          <x:t xml:space="preserve">medium</x:t>
        </x:is>
      </x:c>
      <x:c r="AA72" s="234" t="inlineStr">
        <x:is>
          <x:t xml:space="preserve">CSV_RECORDED_NOT_INDEPENDENTLY_RECOUNTED</x:t>
        </x:is>
      </x:c>
      <x:c r="AB72" s="234" t="inlineStr">
        <x:is>
          <x:t xml:space="preserve">https://github.com/mrroot01011001/Cicada-3301-/blob/main/liber-primus/pages/43.jpg</x:t>
        </x:is>
      </x:c>
      <x:c r="AC72" s="234" t="inlineStr">
        <x:is>
          <x:t xml:space="preserve">https://github.com/mrfentmen/annotated-pages/blob/main/43.jpg</x:t>
        </x:is>
      </x:c>
      <x:c r="AD72" s="234" t="inlineStr">
        <x:is>
          <x:t xml:space="preserve">Source asks whether figures or line groups should be aggregated; total count remains unresolved.</x:t>
        </x:is>
      </x:c>
      <x:c r="AE72" s="234" t="n"/>
      <x:c r="AF72" s="234" t="n"/>
      <x:c r="AG72" s="234" t="n"/>
      <x:c r="AH72" s="234" t="inlineStr">
        <x:is>
          <x:t xml:space="preserve">single_page</x:t>
        </x:is>
      </x:c>
      <x:c r="AI72" s="234" t="inlineStr">
        <x:is>
          <x:t xml:space="preserve">43.JPG</x:t>
        </x:is>
      </x:c>
      <x:c r="AJ72" s="234" t="inlineStr">
        <x:is>
          <x:t xml:space="preserve">CSV-D021</x:t>
        </x:is>
      </x:c>
      <x:c r="AK72" s="234" t="n">
        <x:v>21</x:v>
      </x:c>
      <x:c r="AL72" s="234" t="inlineStr">
        <x:is>
          <x:t xml:space="preserve">MOTH LIKE FIGURE MIRRORED</x:t>
        </x:is>
      </x:c>
      <x:c r="AM72" s="234" t="inlineStr">
        <x:is>
          <x:t xml:space="preserve">0</x:t>
        </x:is>
      </x:c>
      <x:c r="AN72" s="234" t="inlineStr">
        <x:is>
          <x:t xml:space="preserve">0</x:t>
        </x:is>
      </x:c>
      <x:c r="AO72" s="234" t="inlineStr">
        <x:is>
          <x:t xml:space="preserve">0</x:t>
        </x:is>
      </x:c>
      <x:c r="AP72" s="234" t="inlineStr">
        <x:is>
          <x:t xml:space="preserve">LEFT AND RIGHT OF THE PAGE</x:t>
        </x:is>
      </x:c>
      <x:c r="AQ72" s="234" t="inlineStr">
        <x:is>
          <x:t xml:space="preserve">0</x:t>
        </x:is>
      </x:c>
      <x:c r="AR72" s="234" t="inlineStr">
        <x:is>
          <x:t xml:space="preserve">TWO VISUALLY MIRRORED FIGURES FLANK THE TEXT, GEOMETRY APPEARTS INTENTIONALLY SYMETRIC  - elongated polygonal/diamond forms - 
3 LINES COME OUT OF EACH MOTHS BACK AND 2 FROM ITS HEAD</x:t>
        </x:is>
      </x:c>
      <x:c r="AS72" s="234" t="inlineStr">
        <x:is>
          <x:t xml:space="preserve">2 LINES COME OUT OF THE MOTHS HEAD AND 3 COME OUT ITS BACK 
SO 5 IN TOTAL FOR EACH MOTH? 4 MOTHS PER PAGE 20 TOTAL?</x:t>
        </x:is>
      </x:c>
      <x:c r="AT72" s="234" t="inlineStr">
        <x:is>
          <x:t xml:space="preserve">POPULATED_SOURCE_RECORD</x:t>
        </x:is>
      </x:c>
      <x:c r="AU72" s="234" t="inlineStr">
        <x:is>
          <x:t xml:space="preserve">ANNOTATED_IMAGE_AVAILABLE; NEW FEATURE/COUNT NOT INDEPENDENTLY RECOUNTED</x:t>
        </x:is>
      </x:c>
    </x:row>
    <x:row r="73" s="232" customFormat="1" ht="32" customHeight="1">
      <x:c r="A73" s="234" t="n">
        <x:v>44</x:v>
      </x:c>
      <x:c r="B73" s="234" t="inlineStr">
        <x:is>
          <x:t xml:space="preserve">44.jpg</x:t>
        </x:is>
      </x:c>
      <x:c r="C73" s="234" t="inlineStr">
        <x:is>
          <x:t xml:space="preserve">LP044-F01</x:t>
        </x:is>
      </x:c>
      <x:c r="D73" s="234" t="inlineStr">
        <x:is>
          <x:t xml:space="preserve">original artwork + user annotation</x:t>
        </x:is>
      </x:c>
      <x:c r="E73" s="234" t="inlineStr">
        <x:is>
          <x:t xml:space="preserve">faint pink/magenta labels</x:t>
        </x:is>
      </x:c>
      <x:c r="F73" s="234" t="inlineStr">
        <x:is>
          <x:t xml:space="preserve">small numbered labels across multiple wing cells; full range unreadable here</x:t>
        </x:is>
      </x:c>
      <x:c r="G73" s="234" t="inlineStr">
        <x:is>
          <x:t xml:space="preserve">isolated insect wing / vein graph</x:t>
        </x:is>
      </x:c>
      <x:c r="H73" s="234" t="inlineStr">
        <x:is>
          <x:t xml:space="preserve">Single elongated wing-like drawing with internal branching veins; numerous tiny pink labels appear at vein segments or cells.</x:t>
        </x:is>
      </x:c>
      <x:c r="I73" s="234" t="n"/>
      <x:c r="J73" s="234" t="n"/>
      <x:c r="K73" s="234" t="n"/>
      <x:c r="L73" s="234" t="n"/>
      <x:c r="M73" s="234" t="n"/>
      <x:c r="N73" s="234" t="n"/>
      <x:c r="O73" s="234" t="n"/>
      <x:c r="P73" s="234" t="n"/>
      <x:c r="Q73" s="234" t="n"/>
      <x:c r="R73" s="234" t="n"/>
      <x:c r="S73" s="234" t="n"/>
      <x:c r="T73" s="234" t="n"/>
      <x:c r="U73" s="234" t="n"/>
      <x:c r="V73" s="234" t="n"/>
      <x:c r="W73" s="234" t="n"/>
      <x:c r="X73" s="234" t="inlineStr">
        <x:is>
          <x:t xml:space="preserve">top of page</x:t>
        </x:is>
      </x:c>
      <x:c r="Y73" s="234" t="inlineStr">
        <x:is>
          <x:t xml:space="preserve">Could be useful for graph-topology analysis after vein junctions, endpoints, and the label sequence are transcribed.</x:t>
        </x:is>
      </x:c>
      <x:c r="Z73" s="234" t="inlineStr">
        <x:is>
          <x:t xml:space="preserve">medium</x:t>
        </x:is>
      </x:c>
      <x:c r="AA73" s="234" t="inlineStr">
        <x:is>
          <x:t xml:space="preserve">ANNOTATION_VISIBLE</x:t>
        </x:is>
      </x:c>
      <x:c r="AB73" s="234" t="inlineStr">
        <x:is>
          <x:t xml:space="preserve">https://github.com/mrroot01011001/Cicada-3301-/blob/main/liber-primus/pages/44.jpg</x:t>
        </x:is>
      </x:c>
      <x:c r="AC73" s="234" t="inlineStr">
        <x:is>
          <x:t xml:space="preserve">https://github.com/mrfentmen/annotated-pages/blob/main/44.jpg</x:t>
        </x:is>
      </x:c>
      <x:c r="AD73" s="234" t="inlineStr">
        <x:is>
          <x:t xml:space="preserve">Do not infer an exact edge or vertex count from this view; a high-resolution crop is needed.</x:t>
        </x:is>
      </x:c>
      <x:c r="AE73" s="234" t="n"/>
      <x:c r="AF73" s="234" t="n"/>
      <x:c r="AG73" s="234" t="n"/>
      <x:c r="AH73" s="234" t="inlineStr">
        <x:is>
          <x:t xml:space="preserve">single_page</x:t>
        </x:is>
      </x:c>
      <x:c r="AI73" s="234" t="inlineStr">
        <x:is>
          <x:t xml:space="preserve">44.JPG</x:t>
        </x:is>
      </x:c>
      <x:c r="AJ73" s="234" t="inlineStr">
        <x:is>
          <x:t xml:space="preserve">CSV-D022</x:t>
        </x:is>
      </x:c>
      <x:c r="AK73" s="234" t="n">
        <x:v>22</x:v>
      </x:c>
      <x:c r="AL73" s="234" t="inlineStr">
        <x:is>
          <x:t xml:space="preserve">CICADA WING</x:t>
        </x:is>
      </x:c>
      <x:c r="AM73" s="234" t="inlineStr">
        <x:is>
          <x:t xml:space="preserve">0</x:t>
        </x:is>
      </x:c>
      <x:c r="AN73" s="234" t="inlineStr">
        <x:is>
          <x:t xml:space="preserve">0</x:t>
        </x:is>
      </x:c>
      <x:c r="AO73" s="234" t="inlineStr">
        <x:is>
          <x:t xml:space="preserve">0</x:t>
        </x:is>
      </x:c>
      <x:c r="AP73" s="234" t="inlineStr">
        <x:is>
          <x:t xml:space="preserve">TOP OF THE PAGE</x:t>
        </x:is>
      </x:c>
      <x:c r="AQ73" s="234" t="inlineStr">
        <x:is>
          <x:t xml:space="preserve">0</x:t>
        </x:is>
      </x:c>
      <x:c r="AR73" s="234" t="inlineStr">
        <x:is>
          <x:t xml:space="preserve">15-16 SCALES ?</x:t>
        </x:is>
      </x:c>
      <x:c r="AS73" s="234" t="n"/>
      <x:c r="AT73" s="234" t="inlineStr">
        <x:is>
          <x:t xml:space="preserve">POPULATED_SOURCE_RECORD</x:t>
        </x:is>
      </x:c>
      <x:c r="AU73" s="234" t="inlineStr">
        <x:is>
          <x:t xml:space="preserve">ANNOTATED_IMAGE_AVAILABLE</x:t>
        </x:is>
      </x:c>
    </x:row>
    <x:row r="74" s="232" customFormat="1" ht="32" customHeight="1">
      <x:c r="A74" s="234" t="n">
        <x:v>44</x:v>
      </x:c>
      <x:c r="B74" s="234" t="inlineStr">
        <x:is>
          <x:t xml:space="preserve">44.jpg</x:t>
        </x:is>
      </x:c>
      <x:c r="C74" s="234" t="inlineStr">
        <x:is>
          <x:t xml:space="preserve">LP044-F90</x:t>
        </x:is>
      </x:c>
      <x:c r="D74" s="234" t="inlineStr">
        <x:is>
          <x:t xml:space="preserve">CSV source spreadsheet; feature-level representation</x:t>
        </x:is>
      </x:c>
      <x:c r="E74" s="234" t="n"/>
      <x:c r="F74" s="234" t="n"/>
      <x:c r="G74" s="234" t="inlineStr">
        <x:is>
          <x:t xml:space="preserve">wing scale/cell count (uncertain)</x:t>
        </x:is>
      </x:c>
      <x:c r="H74" s="234" t="inlineStr">
        <x:is>
          <x:t xml:space="preserve">Source CSV note reads: '15-16 SCALES ?'.</x:t>
        </x:is>
      </x:c>
      <x:c r="I74" s="234" t="n"/>
      <x:c r="J74" s="234" t="n"/>
      <x:c r="K74" s="234" t="n"/>
      <x:c r="L74" s="234" t="n"/>
      <x:c r="M74" s="234" t="n"/>
      <x:c r="N74" s="234" t="n"/>
      <x:c r="O74" s="234" t="n"/>
      <x:c r="P74" s="234" t="n"/>
      <x:c r="Q74" s="234" t="n"/>
      <x:c r="R74" s="234" t="n"/>
      <x:c r="S74" s="234" t="n"/>
      <x:c r="T74" s="234" t="n"/>
      <x:c r="U74" s="234" t="n"/>
      <x:c r="V74" s="234" t="n"/>
      <x:c r="W74" s="234" t="n"/>
      <x:c r="X74" s="234" t="inlineStr">
        <x:is>
          <x:t xml:space="preserve">wing drawing at top of page</x:t>
        </x:is>
      </x:c>
      <x:c r="Y74" s="234" t="n"/>
      <x:c r="Z74" s="234" t="inlineStr">
        <x:is>
          <x:t xml:space="preserve">low</x:t>
        </x:is>
      </x:c>
      <x:c r="AA74" s="234" t="inlineStr">
        <x:is>
          <x:t xml:space="preserve">UNRESOLVED_SOURCE_ESTIMATE</x:t>
        </x:is>
      </x:c>
      <x:c r="AB74" s="234" t="inlineStr">
        <x:is>
          <x:t xml:space="preserve">https://github.com/mrroot01011001/Cicada-3301-/blob/main/liber-primus/pages/44.jpg</x:t>
        </x:is>
      </x:c>
      <x:c r="AC74" s="234" t="inlineStr">
        <x:is>
          <x:t xml:space="preserve">https://github.com/mrfentmen/annotated-pages/blob/main/44.jpg</x:t>
        </x:is>
      </x:c>
      <x:c r="AD74" s="234" t="inlineStr">
        <x:is>
          <x:t xml:space="preserve">Exact count unresolved; no normalized integer entered.</x:t>
        </x:is>
      </x:c>
      <x:c r="AE74" s="234" t="n"/>
      <x:c r="AF74" s="234" t="n"/>
      <x:c r="AG74" s="234" t="n"/>
      <x:c r="AH74" s="234" t="inlineStr">
        <x:is>
          <x:t xml:space="preserve">single_page</x:t>
        </x:is>
      </x:c>
      <x:c r="AI74" s="234" t="inlineStr">
        <x:is>
          <x:t xml:space="preserve">44.JPG</x:t>
        </x:is>
      </x:c>
      <x:c r="AJ74" s="234" t="inlineStr">
        <x:is>
          <x:t xml:space="preserve">CSV-D022</x:t>
        </x:is>
      </x:c>
      <x:c r="AK74" s="234" t="n">
        <x:v>22</x:v>
      </x:c>
      <x:c r="AL74" s="234" t="inlineStr">
        <x:is>
          <x:t xml:space="preserve">CICADA WING</x:t>
        </x:is>
      </x:c>
      <x:c r="AM74" s="234" t="inlineStr">
        <x:is>
          <x:t xml:space="preserve">0</x:t>
        </x:is>
      </x:c>
      <x:c r="AN74" s="234" t="inlineStr">
        <x:is>
          <x:t xml:space="preserve">0</x:t>
        </x:is>
      </x:c>
      <x:c r="AO74" s="234" t="inlineStr">
        <x:is>
          <x:t xml:space="preserve">0</x:t>
        </x:is>
      </x:c>
      <x:c r="AP74" s="234" t="inlineStr">
        <x:is>
          <x:t xml:space="preserve">TOP OF THE PAGE</x:t>
        </x:is>
      </x:c>
      <x:c r="AQ74" s="234" t="inlineStr">
        <x:is>
          <x:t xml:space="preserve">0</x:t>
        </x:is>
      </x:c>
      <x:c r="AR74" s="234" t="inlineStr">
        <x:is>
          <x:t xml:space="preserve">15-16 SCALES ?</x:t>
        </x:is>
      </x:c>
      <x:c r="AS74" s="234" t="n"/>
      <x:c r="AT74" s="234" t="inlineStr">
        <x:is>
          <x:t xml:space="preserve">POPULATED_SOURCE_RECORD</x:t>
        </x:is>
      </x:c>
      <x:c r="AU74" s="234" t="inlineStr">
        <x:is>
          <x:t xml:space="preserve">ANNOTATED_IMAGE_AVAILABLE</x:t>
        </x:is>
      </x:c>
    </x:row>
    <x:row r="75" s="232" customFormat="1" ht="32" customHeight="1">
      <x:c r="A75" s="234" t="n">
        <x:v>50</x:v>
      </x:c>
      <x:c r="B75" s="234" t="inlineStr">
        <x:is>
          <x:t xml:space="preserve">50.jpg</x:t>
        </x:is>
      </x:c>
      <x:c r="C75" s="234" t="inlineStr">
        <x:is>
          <x:t xml:space="preserve">LP050-F01</x:t>
        </x:is>
      </x:c>
      <x:c r="D75" s="234" t="inlineStr">
        <x:is>
          <x:t xml:space="preserve">original artwork + user annotation</x:t>
        </x:is>
      </x:c>
      <x:c r="E75" s="234" t="inlineStr">
        <x:is>
          <x:t xml:space="preserve">orange labels</x:t>
        </x:is>
      </x:c>
      <x:c r="F75" s="234" t="inlineStr">
        <x:is>
          <x:t xml:space="preserve">1–3</x:t>
        </x:is>
      </x:c>
      <x:c r="G75" s="234" t="inlineStr">
        <x:is>
          <x:t xml:space="preserve">three-dot arrangement</x:t>
        </x:is>
      </x:c>
      <x:c r="H75" s="234" t="inlineStr">
        <x:is>
          <x:t xml:space="preserve">Three separate black dots in one horizontal row between two text blocks, labeled 1–3 in orange.</x:t>
        </x:is>
      </x:c>
      <x:c r="I75" s="234" t="n">
        <x:v>3</x:v>
      </x:c>
      <x:c r="J75" s="234" t="n"/>
      <x:c r="K75" s="234" t="n">
        <x:v>3</x:v>
      </x:c>
      <x:c r="L75" s="234" t="n"/>
      <x:c r="M75" s="234" t="n"/>
      <x:c r="N75" s="234" t="n"/>
      <x:c r="O75" s="234" t="n"/>
      <x:c r="P75" s="234" t="n"/>
      <x:c r="Q75" s="234" t="n"/>
      <x:c r="R75" s="234" t="n"/>
      <x:c r="S75" s="234" t="n"/>
      <x:c r="T75" s="234" t="n"/>
      <x:c r="U75" s="234" t="n"/>
      <x:c r="V75" s="234" t="n"/>
      <x:c r="W75" s="234" t="n"/>
      <x:c r="X75" s="234" t="inlineStr">
        <x:is>
          <x:t xml:space="preserve">middle between text blocks</x:t>
        </x:is>
      </x:c>
      <x:c r="Y75" s="234" t="n"/>
      <x:c r="Z75" s="234" t="inlineStr">
        <x:is>
          <x:t xml:space="preserve">high</x:t>
        </x:is>
      </x:c>
      <x:c r="AA75" s="234" t="inlineStr">
        <x:is>
          <x:t xml:space="preserve">ANNOTATION_VISIBLE</x:t>
        </x:is>
      </x:c>
      <x:c r="AB75" s="234" t="inlineStr">
        <x:is>
          <x:t xml:space="preserve">https://github.com/mrroot01011001/Cicada-3301-/blob/main/liber-primus/pages/50.jpg</x:t>
        </x:is>
      </x:c>
      <x:c r="AC75" s="234" t="inlineStr">
        <x:is>
          <x:t xml:space="preserve">https://github.com/mrfentmen/annotated-pages/blob/main/50.jpg</x:t>
        </x:is>
      </x:c>
      <x:c r="AD75" s="234" t="inlineStr">
        <x:is>
          <x:t xml:space="preserve">Compare with the three-dot group on page 56 without assuming they are equivalent.</x:t>
        </x:is>
      </x:c>
      <x:c r="AE75" s="234" t="n"/>
      <x:c r="AF75" s="234" t="n"/>
      <x:c r="AG75" s="234" t="n"/>
      <x:c r="AH75" s="234" t="inlineStr">
        <x:is>
          <x:t xml:space="preserve">single_page</x:t>
        </x:is>
      </x:c>
      <x:c r="AI75" s="234" t="inlineStr">
        <x:is>
          <x:t xml:space="preserve">50.JPG</x:t>
        </x:is>
      </x:c>
      <x:c r="AJ75" s="234" t="inlineStr">
        <x:is>
          <x:t xml:space="preserve">CSV-D023</x:t>
        </x:is>
      </x:c>
      <x:c r="AK75" s="234" t="n">
        <x:v>23</x:v>
      </x:c>
      <x:c r="AL75" s="234" t="inlineStr">
        <x:is>
          <x:t xml:space="preserve">3 DOTS</x:t>
        </x:is>
      </x:c>
      <x:c r="AM75" s="234" t="inlineStr">
        <x:is>
          <x:t xml:space="preserve">0</x:t>
        </x:is>
      </x:c>
      <x:c r="AN75" s="234" t="inlineStr">
        <x:is>
          <x:t xml:space="preserve">3</x:t>
        </x:is>
      </x:c>
      <x:c r="AO75" s="234" t="inlineStr">
        <x:is>
          <x:t xml:space="preserve">0</x:t>
        </x:is>
      </x:c>
      <x:c r="AP75" s="234" t="inlineStr">
        <x:is>
          <x:t xml:space="preserve">3 DOTS MIDDLE OF THE PAGE</x:t>
        </x:is>
      </x:c>
      <x:c r="AQ75" s="234" t="inlineStr">
        <x:is>
          <x:t xml:space="preserve">?</x:t>
        </x:is>
      </x:c>
      <x:c r="AR75" s="234" t="inlineStr">
        <x:is>
          <x:t xml:space="preserve">3 DOTS SIT BETWEEN 2 SETS OF GLYPHS</x:t>
        </x:is>
      </x:c>
      <x:c r="AS75" s="234" t="n"/>
      <x:c r="AT75" s="234" t="inlineStr">
        <x:is>
          <x:t xml:space="preserve">POPULATED_SOURCE_RECORD</x:t>
        </x:is>
      </x:c>
      <x:c r="AU75" s="234" t="inlineStr">
        <x:is>
          <x:t xml:space="preserve">ANNOTATED_IMAGE_AVAILABLE</x:t>
        </x:is>
      </x:c>
    </x:row>
    <x:row r="76" s="232" customFormat="1" ht="32" customHeight="1">
      <x:c r="A76" s="234" t="n">
        <x:v>50</x:v>
      </x:c>
      <x:c r="B76" s="234" t="inlineStr">
        <x:is>
          <x:t xml:space="preserve">50.jpg</x:t>
        </x:is>
      </x:c>
      <x:c r="C76" s="234" t="inlineStr">
        <x:is>
          <x:t xml:space="preserve">LP050-F02</x:t>
        </x:is>
      </x:c>
      <x:c r="D76" s="234" t="inlineStr">
        <x:is>
          <x:t xml:space="preserve">original artwork</x:t>
        </x:is>
      </x:c>
      <x:c r="E76" s="234" t="inlineStr">
        <x:is>
          <x:t xml:space="preserve">black hand-drawn signs</x:t>
        </x:is>
      </x:c>
      <x:c r="F76" s="234" t="n"/>
      <x:c r="G76" s="234" t="inlineStr">
        <x:is>
          <x:t xml:space="preserve">cuneiform-like hand-drawn marks</x:t>
        </x:is>
      </x:c>
      <x:c r="H76" s="234" t="inlineStr">
        <x:is>
          <x:t xml:space="preserve">Two short rows of dark hand-drawn signs near the bottom of the page.</x:t>
        </x:is>
      </x:c>
      <x:c r="I76" s="234" t="n"/>
      <x:c r="J76" s="234" t="n"/>
      <x:c r="K76" s="234" t="n"/>
      <x:c r="L76" s="234" t="n"/>
      <x:c r="M76" s="234" t="n"/>
      <x:c r="N76" s="234" t="n"/>
      <x:c r="O76" s="234" t="n"/>
      <x:c r="P76" s="234" t="n"/>
      <x:c r="Q76" s="234" t="n"/>
      <x:c r="R76" s="234" t="n"/>
      <x:c r="S76" s="234" t="n"/>
      <x:c r="T76" s="234" t="n"/>
      <x:c r="U76" s="234" t="n"/>
      <x:c r="V76" s="234" t="n"/>
      <x:c r="W76" s="234" t="n"/>
      <x:c r="X76" s="234" t="inlineStr">
        <x:is>
          <x:t xml:space="preserve">bottom center</x:t>
        </x:is>
      </x:c>
      <x:c r="Y76" s="234" t="n"/>
      <x:c r="Z76" s="234" t="inlineStr">
        <x:is>
          <x:t xml:space="preserve">high</x:t>
        </x:is>
      </x:c>
      <x:c r="AA76" s="234" t="inlineStr">
        <x:is>
          <x:t xml:space="preserve">OBSERVED</x:t>
        </x:is>
      </x:c>
      <x:c r="AB76" s="234" t="inlineStr">
        <x:is>
          <x:t xml:space="preserve">https://github.com/mrroot01011001/Cicada-3301-/blob/main/liber-primus/pages/50.jpg</x:t>
        </x:is>
      </x:c>
      <x:c r="AC76" s="234" t="inlineStr">
        <x:is>
          <x:t xml:space="preserve">https://github.com/mrfentmen/annotated-pages/blob/main/50.jpg</x:t>
        </x:is>
      </x:c>
      <x:c r="AD76" s="234" t="inlineStr">
        <x:is>
          <x:t xml:space="preserve">Keep as a distinct visual feature from the three-dot group; do not transcribe without a focused scan.</x:t>
        </x:is>
      </x:c>
      <x:c r="AE76" s="234" t="n"/>
      <x:c r="AF76" s="234" t="n"/>
      <x:c r="AG76" s="234" t="n"/>
      <x:c r="AH76" s="234" t="inlineStr">
        <x:is>
          <x:t xml:space="preserve">single_page</x:t>
        </x:is>
      </x:c>
      <x:c r="AI76" s="234" t="inlineStr">
        <x:is>
          <x:t xml:space="preserve">50.JPG</x:t>
        </x:is>
      </x:c>
      <x:c r="AJ76" s="234" t="inlineStr">
        <x:is>
          <x:t xml:space="preserve">CSV-D023</x:t>
        </x:is>
      </x:c>
      <x:c r="AK76" s="234" t="n">
        <x:v>23</x:v>
      </x:c>
      <x:c r="AL76" s="234" t="inlineStr">
        <x:is>
          <x:t xml:space="preserve">3 DOTS</x:t>
        </x:is>
      </x:c>
      <x:c r="AM76" s="234" t="inlineStr">
        <x:is>
          <x:t xml:space="preserve">0</x:t>
        </x:is>
      </x:c>
      <x:c r="AN76" s="234" t="inlineStr">
        <x:is>
          <x:t xml:space="preserve">3</x:t>
        </x:is>
      </x:c>
      <x:c r="AO76" s="234" t="inlineStr">
        <x:is>
          <x:t xml:space="preserve">0</x:t>
        </x:is>
      </x:c>
      <x:c r="AP76" s="234" t="inlineStr">
        <x:is>
          <x:t xml:space="preserve">3 DOTS MIDDLE OF THE PAGE</x:t>
        </x:is>
      </x:c>
      <x:c r="AQ76" s="234" t="inlineStr">
        <x:is>
          <x:t xml:space="preserve">?</x:t>
        </x:is>
      </x:c>
      <x:c r="AR76" s="234" t="inlineStr">
        <x:is>
          <x:t xml:space="preserve">3 DOTS SIT BETWEEN 2 SETS OF GLYPHS</x:t>
        </x:is>
      </x:c>
      <x:c r="AS76" s="234" t="n"/>
      <x:c r="AT76" s="234" t="inlineStr">
        <x:is>
          <x:t xml:space="preserve">POPULATED_SOURCE_RECORD</x:t>
        </x:is>
      </x:c>
      <x:c r="AU76" s="234" t="inlineStr">
        <x:is>
          <x:t xml:space="preserve">ANNOTATED_IMAGE_AVAILABLE</x:t>
        </x:is>
      </x:c>
    </x:row>
    <x:row r="77" s="232" customFormat="1" ht="32" customHeight="1">
      <x:c r="A77" s="234" t="n">
        <x:v>50</x:v>
      </x:c>
      <x:c r="B77" s="234" t="inlineStr">
        <x:is>
          <x:t xml:space="preserve">50.jpg</x:t>
        </x:is>
      </x:c>
      <x:c r="C77" s="234" t="inlineStr">
        <x:is>
          <x:t xml:space="preserve">LP050-F03</x:t>
        </x:is>
      </x:c>
      <x:c r="D77" s="234" t="inlineStr">
        <x:is>
          <x:t xml:space="preserve">original artwork</x:t>
        </x:is>
      </x:c>
      <x:c r="E77" s="234" t="inlineStr">
        <x:is>
          <x:t xml:space="preserve">red</x:t>
        </x:is>
      </x:c>
      <x:c r="F77" s="234" t="n"/>
      <x:c r="G77" s="234" t="inlineStr">
        <x:is>
          <x:t xml:space="preserve">oversized red initial rune</x:t>
        </x:is>
      </x:c>
      <x:c r="H77" s="234" t="inlineStr">
        <x:is>
          <x:t xml:space="preserve">Large red initial rune at the first text block.</x:t>
        </x:is>
      </x:c>
      <x:c r="I77" s="234" t="n"/>
      <x:c r="J77" s="234" t="n"/>
      <x:c r="K77" s="234" t="n"/>
      <x:c r="L77" s="234" t="n"/>
      <x:c r="M77" s="234" t="n"/>
      <x:c r="N77" s="234" t="n"/>
      <x:c r="O77" s="234" t="n"/>
      <x:c r="P77" s="234" t="n"/>
      <x:c r="Q77" s="234" t="n"/>
      <x:c r="R77" s="234" t="n"/>
      <x:c r="S77" s="234" t="n"/>
      <x:c r="T77" s="234" t="n"/>
      <x:c r="U77" s="234" t="n"/>
      <x:c r="V77" s="234" t="n"/>
      <x:c r="W77" s="234" t="n"/>
      <x:c r="X77" s="234" t="inlineStr">
        <x:is>
          <x:t xml:space="preserve">upper text block</x:t>
        </x:is>
      </x:c>
      <x:c r="Y77" s="234" t="n"/>
      <x:c r="Z77" s="234" t="inlineStr">
        <x:is>
          <x:t xml:space="preserve">high</x:t>
        </x:is>
      </x:c>
      <x:c r="AA77" s="234" t="inlineStr">
        <x:is>
          <x:t xml:space="preserve">OBSERVED</x:t>
        </x:is>
      </x:c>
      <x:c r="AB77" s="234" t="inlineStr">
        <x:is>
          <x:t xml:space="preserve">https://github.com/mrroot01011001/Cicada-3301-/blob/main/liber-primus/pages/50.jpg</x:t>
        </x:is>
      </x:c>
      <x:c r="AC77" s="234" t="inlineStr">
        <x:is>
          <x:t xml:space="preserve">https://github.com/mrfentmen/annotated-pages/blob/main/50.jpg</x:t>
        </x:is>
      </x:c>
      <x:c r="AD77" s="234" t="inlineStr">
        <x:is>
          <x:t xml:space="preserve">Printed page artwork.</x:t>
        </x:is>
      </x:c>
      <x:c r="AE77" s="234" t="n"/>
      <x:c r="AF77" s="234" t="n"/>
      <x:c r="AG77" s="234" t="n"/>
      <x:c r="AH77" s="234" t="inlineStr">
        <x:is>
          <x:t xml:space="preserve">single_page</x:t>
        </x:is>
      </x:c>
      <x:c r="AI77" s="234" t="inlineStr">
        <x:is>
          <x:t xml:space="preserve">50.JPG</x:t>
        </x:is>
      </x:c>
      <x:c r="AJ77" s="234" t="inlineStr">
        <x:is>
          <x:t xml:space="preserve">CSV-D023</x:t>
        </x:is>
      </x:c>
      <x:c r="AK77" s="234" t="n">
        <x:v>23</x:v>
      </x:c>
      <x:c r="AL77" s="234" t="inlineStr">
        <x:is>
          <x:t xml:space="preserve">3 DOTS</x:t>
        </x:is>
      </x:c>
      <x:c r="AM77" s="234" t="inlineStr">
        <x:is>
          <x:t xml:space="preserve">0</x:t>
        </x:is>
      </x:c>
      <x:c r="AN77" s="234" t="inlineStr">
        <x:is>
          <x:t xml:space="preserve">3</x:t>
        </x:is>
      </x:c>
      <x:c r="AO77" s="234" t="inlineStr">
        <x:is>
          <x:t xml:space="preserve">0</x:t>
        </x:is>
      </x:c>
      <x:c r="AP77" s="234" t="inlineStr">
        <x:is>
          <x:t xml:space="preserve">3 DOTS MIDDLE OF THE PAGE</x:t>
        </x:is>
      </x:c>
      <x:c r="AQ77" s="234" t="inlineStr">
        <x:is>
          <x:t xml:space="preserve">?</x:t>
        </x:is>
      </x:c>
      <x:c r="AR77" s="234" t="inlineStr">
        <x:is>
          <x:t xml:space="preserve">3 DOTS SIT BETWEEN 2 SETS OF GLYPHS</x:t>
        </x:is>
      </x:c>
      <x:c r="AS77" s="234" t="n"/>
      <x:c r="AT77" s="234" t="inlineStr">
        <x:is>
          <x:t xml:space="preserve">POPULATED_SOURCE_RECORD</x:t>
        </x:is>
      </x:c>
      <x:c r="AU77" s="234" t="inlineStr">
        <x:is>
          <x:t xml:space="preserve">ANNOTATED_IMAGE_AVAILABLE</x:t>
        </x:is>
      </x:c>
    </x:row>
    <x:row r="78" s="232" customFormat="1" ht="32" customHeight="1">
      <x:c r="A78" s="234" t="n">
        <x:v>50</x:v>
      </x:c>
      <x:c r="B78" s="234" t="inlineStr">
        <x:is>
          <x:t xml:space="preserve">50.jpg</x:t>
        </x:is>
      </x:c>
      <x:c r="C78" s="234" t="inlineStr">
        <x:is>
          <x:t xml:space="preserve">LP050-F04</x:t>
        </x:is>
      </x:c>
      <x:c r="D78" s="234" t="inlineStr">
        <x:is>
          <x:t xml:space="preserve">original artwork</x:t>
        </x:is>
      </x:c>
      <x:c r="E78" s="234" t="inlineStr">
        <x:is>
          <x:t xml:space="preserve">red</x:t>
        </x:is>
      </x:c>
      <x:c r="F78" s="234" t="n"/>
      <x:c r="G78" s="234" t="inlineStr">
        <x:is>
          <x:t xml:space="preserve">oversized red initial rune</x:t>
        </x:is>
      </x:c>
      <x:c r="H78" s="234" t="inlineStr">
        <x:is>
          <x:t xml:space="preserve">Large red initial rune at the start of the lower text block.</x:t>
        </x:is>
      </x:c>
      <x:c r="I78" s="234" t="n"/>
      <x:c r="J78" s="234" t="n"/>
      <x:c r="K78" s="234" t="n"/>
      <x:c r="L78" s="234" t="n"/>
      <x:c r="M78" s="234" t="n"/>
      <x:c r="N78" s="234" t="n"/>
      <x:c r="O78" s="234" t="n"/>
      <x:c r="P78" s="234" t="n"/>
      <x:c r="Q78" s="234" t="n"/>
      <x:c r="R78" s="234" t="n"/>
      <x:c r="S78" s="234" t="n"/>
      <x:c r="T78" s="234" t="n"/>
      <x:c r="U78" s="234" t="n"/>
      <x:c r="V78" s="234" t="n"/>
      <x:c r="W78" s="234" t="n"/>
      <x:c r="X78" s="234" t="inlineStr">
        <x:is>
          <x:t xml:space="preserve">lower text block</x:t>
        </x:is>
      </x:c>
      <x:c r="Y78" s="234" t="n"/>
      <x:c r="Z78" s="234" t="inlineStr">
        <x:is>
          <x:t xml:space="preserve">high</x:t>
        </x:is>
      </x:c>
      <x:c r="AA78" s="234" t="inlineStr">
        <x:is>
          <x:t xml:space="preserve">OBSERVED</x:t>
        </x:is>
      </x:c>
      <x:c r="AB78" s="234" t="inlineStr">
        <x:is>
          <x:t xml:space="preserve">https://github.com/mrroot01011001/Cicada-3301-/blob/main/liber-primus/pages/50.jpg</x:t>
        </x:is>
      </x:c>
      <x:c r="AC78" s="234" t="inlineStr">
        <x:is>
          <x:t xml:space="preserve">https://github.com/mrfentmen/annotated-pages/blob/main/50.jpg</x:t>
        </x:is>
      </x:c>
      <x:c r="AD78" s="234" t="inlineStr">
        <x:is>
          <x:t xml:space="preserve">Printed page artwork.</x:t>
        </x:is>
      </x:c>
      <x:c r="AE78" s="234" t="n"/>
      <x:c r="AF78" s="234" t="n"/>
      <x:c r="AG78" s="234" t="n"/>
      <x:c r="AH78" s="234" t="inlineStr">
        <x:is>
          <x:t xml:space="preserve">single_page</x:t>
        </x:is>
      </x:c>
      <x:c r="AI78" s="234" t="inlineStr">
        <x:is>
          <x:t xml:space="preserve">50.JPG</x:t>
        </x:is>
      </x:c>
      <x:c r="AJ78" s="234" t="inlineStr">
        <x:is>
          <x:t xml:space="preserve">CSV-D023</x:t>
        </x:is>
      </x:c>
      <x:c r="AK78" s="234" t="n">
        <x:v>23</x:v>
      </x:c>
      <x:c r="AL78" s="234" t="inlineStr">
        <x:is>
          <x:t xml:space="preserve">3 DOTS</x:t>
        </x:is>
      </x:c>
      <x:c r="AM78" s="234" t="inlineStr">
        <x:is>
          <x:t xml:space="preserve">0</x:t>
        </x:is>
      </x:c>
      <x:c r="AN78" s="234" t="inlineStr">
        <x:is>
          <x:t xml:space="preserve">3</x:t>
        </x:is>
      </x:c>
      <x:c r="AO78" s="234" t="inlineStr">
        <x:is>
          <x:t xml:space="preserve">0</x:t>
        </x:is>
      </x:c>
      <x:c r="AP78" s="234" t="inlineStr">
        <x:is>
          <x:t xml:space="preserve">3 DOTS MIDDLE OF THE PAGE</x:t>
        </x:is>
      </x:c>
      <x:c r="AQ78" s="234" t="inlineStr">
        <x:is>
          <x:t xml:space="preserve">?</x:t>
        </x:is>
      </x:c>
      <x:c r="AR78" s="234" t="inlineStr">
        <x:is>
          <x:t xml:space="preserve">3 DOTS SIT BETWEEN 2 SETS OF GLYPHS</x:t>
        </x:is>
      </x:c>
      <x:c r="AS78" s="234" t="n"/>
      <x:c r="AT78" s="234" t="inlineStr">
        <x:is>
          <x:t xml:space="preserve">POPULATED_SOURCE_RECORD</x:t>
        </x:is>
      </x:c>
      <x:c r="AU78" s="234" t="inlineStr">
        <x:is>
          <x:t xml:space="preserve">ANNOTATED_IMAGE_AVAILABLE</x:t>
        </x:is>
      </x:c>
    </x:row>
    <x:row r="79" s="232" customFormat="1" ht="32" customHeight="1">
      <x:c r="A79" s="234" t="n">
        <x:v>56</x:v>
      </x:c>
      <x:c r="B79" s="234" t="inlineStr">
        <x:is>
          <x:t xml:space="preserve">56.jpg</x:t>
        </x:is>
      </x:c>
      <x:c r="C79" s="234" t="inlineStr">
        <x:is>
          <x:t xml:space="preserve">LP056-F01</x:t>
        </x:is>
      </x:c>
      <x:c r="D79" s="234" t="inlineStr">
        <x:is>
          <x:t xml:space="preserve">original artwork + user annotation</x:t>
        </x:is>
      </x:c>
      <x:c r="E79" s="234" t="inlineStr">
        <x:is>
          <x:t xml:space="preserve">orange labels</x:t>
        </x:is>
      </x:c>
      <x:c r="F79" s="234" t="inlineStr">
        <x:is>
          <x:t xml:space="preserve">1–3</x:t>
        </x:is>
      </x:c>
      <x:c r="G79" s="234" t="inlineStr">
        <x:is>
          <x:t xml:space="preserve">three-dot arrangement</x:t>
        </x:is>
      </x:c>
      <x:c r="H79" s="234" t="inlineStr">
        <x:is>
          <x:t xml:space="preserve">Three separate black dots in a horizontal row to the right of the end of an upper text line, numbered 1–3 in orange.</x:t>
        </x:is>
      </x:c>
      <x:c r="I79" s="234" t="n">
        <x:v>3</x:v>
      </x:c>
      <x:c r="J79" s="234" t="n"/>
      <x:c r="K79" s="234" t="n">
        <x:v>3</x:v>
      </x:c>
      <x:c r="L79" s="234" t="n"/>
      <x:c r="M79" s="234" t="n"/>
      <x:c r="N79" s="234" t="n"/>
      <x:c r="O79" s="234" t="n"/>
      <x:c r="P79" s="234" t="n"/>
      <x:c r="Q79" s="234" t="n"/>
      <x:c r="R79" s="234" t="n"/>
      <x:c r="S79" s="234" t="n"/>
      <x:c r="T79" s="234" t="n"/>
      <x:c r="U79" s="234" t="n"/>
      <x:c r="V79" s="234" t="n"/>
      <x:c r="W79" s="234" t="n"/>
      <x:c r="X79" s="234" t="inlineStr">
        <x:is>
          <x:t xml:space="preserve">middle of page to right of upper paragraph</x:t>
        </x:is>
      </x:c>
      <x:c r="Y79" s="234" t="inlineStr">
        <x:is>
          <x:t xml:space="preserve">May correspond to page 50's three-dot group; relative geometry and nearby text need measuring.</x:t>
        </x:is>
      </x:c>
      <x:c r="Z79" s="234" t="inlineStr">
        <x:is>
          <x:t xml:space="preserve">high</x:t>
        </x:is>
      </x:c>
      <x:c r="AA79" s="234" t="inlineStr">
        <x:is>
          <x:t xml:space="preserve">ANNOTATION_VISIBLE</x:t>
        </x:is>
      </x:c>
      <x:c r="AB79" s="234" t="inlineStr">
        <x:is>
          <x:t xml:space="preserve">https://github.com/mrroot01011001/Cicada-3301-/blob/main/liber-primus/pages/56.jpg</x:t>
        </x:is>
      </x:c>
      <x:c r="AC79" s="234" t="inlineStr">
        <x:is>
          <x:t xml:space="preserve">https://github.com/mrfentmen/annotated-pages/blob/main/56.jpg</x:t>
        </x:is>
      </x:c>
      <x:c r="AD79" s="234" t="inlineStr">
        <x:is>
          <x:t xml:space="preserve">Do not infer equivalence from dot count alone.</x:t>
        </x:is>
      </x:c>
      <x:c r="AE79" s="234" t="n"/>
      <x:c r="AF79" s="234" t="n"/>
      <x:c r="AG79" s="234" t="n"/>
      <x:c r="AH79" s="234" t="inlineStr">
        <x:is>
          <x:t xml:space="preserve">single_page</x:t>
        </x:is>
      </x:c>
      <x:c r="AI79" s="234" t="inlineStr">
        <x:is>
          <x:t xml:space="preserve">56.JPG</x:t>
        </x:is>
      </x:c>
      <x:c r="AJ79" s="234" t="inlineStr">
        <x:is>
          <x:t xml:space="preserve">CSV-D024</x:t>
        </x:is>
      </x:c>
      <x:c r="AK79" s="234" t="n">
        <x:v>24</x:v>
      </x:c>
      <x:c r="AL79" s="234" t="inlineStr">
        <x:is>
          <x:t xml:space="preserve">3 DOTS</x:t>
        </x:is>
      </x:c>
      <x:c r="AM79" s="234" t="inlineStr">
        <x:is>
          <x:t xml:space="preserve">0</x:t>
        </x:is>
      </x:c>
      <x:c r="AN79" s="234" t="inlineStr">
        <x:is>
          <x:t xml:space="preserve">3</x:t>
        </x:is>
      </x:c>
      <x:c r="AO79" s="234" t="inlineStr">
        <x:is>
          <x:t xml:space="preserve">0</x:t>
        </x:is>
      </x:c>
      <x:c r="AP79" s="234" t="inlineStr">
        <x:is>
          <x:t xml:space="preserve">3 DOTS MIDDLE OF THE PAGE</x:t>
        </x:is>
      </x:c>
      <x:c r="AQ79" s="234" t="inlineStr">
        <x:is>
          <x:t xml:space="preserve">?</x:t>
        </x:is>
      </x:c>
      <x:c r="AR79" s="234" t="inlineStr">
        <x:is>
          <x:t xml:space="preserve">3 DOTS SIT BETWEEN 2 SETS OF GLYPHS</x:t>
        </x:is>
      </x:c>
      <x:c r="AS79" s="234" t="n"/>
      <x:c r="AT79" s="234" t="inlineStr">
        <x:is>
          <x:t xml:space="preserve">POPULATED_SOURCE_RECORD</x:t>
        </x:is>
      </x:c>
      <x:c r="AU79" s="234" t="inlineStr">
        <x:is>
          <x:t xml:space="preserve">ANNOTATED_IMAGE_AVAILABLE</x:t>
        </x:is>
      </x:c>
    </x:row>
    <x:row r="80" s="232" customFormat="1" ht="32" customHeight="1">
      <x:c r="A80" s="234" t="n">
        <x:v>56</x:v>
      </x:c>
      <x:c r="B80" s="234" t="inlineStr">
        <x:is>
          <x:t xml:space="preserve">56.jpg</x:t>
        </x:is>
      </x:c>
      <x:c r="C80" s="234" t="inlineStr">
        <x:is>
          <x:t xml:space="preserve">LP056-F02</x:t>
        </x:is>
      </x:c>
      <x:c r="D80" s="234" t="inlineStr">
        <x:is>
          <x:t xml:space="preserve">original artwork</x:t>
        </x:is>
      </x:c>
      <x:c r="E80" s="234" t="inlineStr">
        <x:is>
          <x:t xml:space="preserve">black hand-drawn signs</x:t>
        </x:is>
      </x:c>
      <x:c r="F80" s="234" t="n"/>
      <x:c r="G80" s="234" t="inlineStr">
        <x:is>
          <x:t xml:space="preserve">cuneiform-like hand-drawn marks</x:t>
        </x:is>
      </x:c>
      <x:c r="H80" s="234" t="inlineStr">
        <x:is>
          <x:t xml:space="preserve">Several dark hand-drawn signs above the runic text block.</x:t>
        </x:is>
      </x:c>
      <x:c r="I80" s="234" t="n"/>
      <x:c r="J80" s="234" t="n"/>
      <x:c r="K80" s="234" t="n"/>
      <x:c r="L80" s="234" t="n"/>
      <x:c r="M80" s="234" t="n"/>
      <x:c r="N80" s="234" t="n"/>
      <x:c r="O80" s="234" t="n"/>
      <x:c r="P80" s="234" t="n"/>
      <x:c r="Q80" s="234" t="n"/>
      <x:c r="R80" s="234" t="n"/>
      <x:c r="S80" s="234" t="n"/>
      <x:c r="T80" s="234" t="n"/>
      <x:c r="U80" s="234" t="n"/>
      <x:c r="V80" s="234" t="n"/>
      <x:c r="W80" s="234" t="n"/>
      <x:c r="X80" s="234" t="inlineStr">
        <x:is>
          <x:t xml:space="preserve">top center</x:t>
        </x:is>
      </x:c>
      <x:c r="Y80" s="234" t="n"/>
      <x:c r="Z80" s="234" t="inlineStr">
        <x:is>
          <x:t xml:space="preserve">high</x:t>
        </x:is>
      </x:c>
      <x:c r="AA80" s="234" t="inlineStr">
        <x:is>
          <x:t xml:space="preserve">OBSERVED</x:t>
        </x:is>
      </x:c>
      <x:c r="AB80" s="234" t="inlineStr">
        <x:is>
          <x:t xml:space="preserve">https://github.com/mrroot01011001/Cicada-3301-/blob/main/liber-primus/pages/56.jpg</x:t>
        </x:is>
      </x:c>
      <x:c r="AC80" s="234" t="inlineStr">
        <x:is>
          <x:t xml:space="preserve">https://github.com/mrfentmen/annotated-pages/blob/main/56.jpg</x:t>
        </x:is>
      </x:c>
      <x:c r="AD80" s="234" t="inlineStr">
        <x:is>
          <x:t xml:space="preserve">Preserve separately from the page 50 signs; visual similarity has not been tested.</x:t>
        </x:is>
      </x:c>
      <x:c r="AE80" s="234" t="n"/>
      <x:c r="AF80" s="234" t="n"/>
      <x:c r="AG80" s="234" t="n"/>
      <x:c r="AH80" s="234" t="inlineStr">
        <x:is>
          <x:t xml:space="preserve">single_page</x:t>
        </x:is>
      </x:c>
      <x:c r="AI80" s="234" t="inlineStr">
        <x:is>
          <x:t xml:space="preserve">56.JPG</x:t>
        </x:is>
      </x:c>
      <x:c r="AJ80" s="234" t="inlineStr">
        <x:is>
          <x:t xml:space="preserve">CSV-D024</x:t>
        </x:is>
      </x:c>
      <x:c r="AK80" s="234" t="n">
        <x:v>24</x:v>
      </x:c>
      <x:c r="AL80" s="234" t="inlineStr">
        <x:is>
          <x:t xml:space="preserve">3 DOTS</x:t>
        </x:is>
      </x:c>
      <x:c r="AM80" s="234" t="inlineStr">
        <x:is>
          <x:t xml:space="preserve">0</x:t>
        </x:is>
      </x:c>
      <x:c r="AN80" s="234" t="inlineStr">
        <x:is>
          <x:t xml:space="preserve">3</x:t>
        </x:is>
      </x:c>
      <x:c r="AO80" s="234" t="inlineStr">
        <x:is>
          <x:t xml:space="preserve">0</x:t>
        </x:is>
      </x:c>
      <x:c r="AP80" s="234" t="inlineStr">
        <x:is>
          <x:t xml:space="preserve">3 DOTS MIDDLE OF THE PAGE</x:t>
        </x:is>
      </x:c>
      <x:c r="AQ80" s="234" t="inlineStr">
        <x:is>
          <x:t xml:space="preserve">?</x:t>
        </x:is>
      </x:c>
      <x:c r="AR80" s="234" t="inlineStr">
        <x:is>
          <x:t xml:space="preserve">3 DOTS SIT BETWEEN 2 SETS OF GLYPHS</x:t>
        </x:is>
      </x:c>
      <x:c r="AS80" s="234" t="n"/>
      <x:c r="AT80" s="234" t="inlineStr">
        <x:is>
          <x:t xml:space="preserve">POPULATED_SOURCE_RECORD</x:t>
        </x:is>
      </x:c>
      <x:c r="AU80" s="234" t="inlineStr">
        <x:is>
          <x:t xml:space="preserve">ANNOTATED_IMAGE_AVAILABLE</x:t>
        </x:is>
      </x:c>
    </x:row>
    <x:row r="81" s="232" customFormat="1" ht="32" customHeight="1">
      <x:c r="A81" s="234" t="n">
        <x:v>56</x:v>
      </x:c>
      <x:c r="B81" s="234" t="inlineStr">
        <x:is>
          <x:t xml:space="preserve">56.jpg</x:t>
        </x:is>
      </x:c>
      <x:c r="C81" s="234" t="inlineStr">
        <x:is>
          <x:t xml:space="preserve">LP056-F03</x:t>
        </x:is>
      </x:c>
      <x:c r="D81" s="234" t="inlineStr">
        <x:is>
          <x:t xml:space="preserve">original artwork</x:t>
        </x:is>
      </x:c>
      <x:c r="E81" s="234" t="inlineStr">
        <x:is>
          <x:t xml:space="preserve">red</x:t>
        </x:is>
      </x:c>
      <x:c r="F81" s="234" t="n"/>
      <x:c r="G81" s="234" t="inlineStr">
        <x:is>
          <x:t xml:space="preserve">oversized red initial rune</x:t>
        </x:is>
      </x:c>
      <x:c r="H81" s="234" t="inlineStr">
        <x:is>
          <x:t xml:space="preserve">Large red X-like initial rune at the beginning of a lower text section.</x:t>
        </x:is>
      </x:c>
      <x:c r="I81" s="234" t="n"/>
      <x:c r="J81" s="234" t="n"/>
      <x:c r="K81" s="234" t="n"/>
      <x:c r="L81" s="234" t="n"/>
      <x:c r="M81" s="234" t="n"/>
      <x:c r="N81" s="234" t="n"/>
      <x:c r="O81" s="234" t="n"/>
      <x:c r="P81" s="234" t="n"/>
      <x:c r="Q81" s="234" t="n"/>
      <x:c r="R81" s="234" t="n"/>
      <x:c r="S81" s="234" t="n"/>
      <x:c r="T81" s="234" t="n"/>
      <x:c r="U81" s="234" t="n"/>
      <x:c r="V81" s="234" t="n"/>
      <x:c r="W81" s="234" t="n"/>
      <x:c r="X81" s="234" t="inlineStr">
        <x:is>
          <x:t xml:space="preserve">left of lower text block</x:t>
        </x:is>
      </x:c>
      <x:c r="Y81" s="234" t="n"/>
      <x:c r="Z81" s="234" t="inlineStr">
        <x:is>
          <x:t xml:space="preserve">high</x:t>
        </x:is>
      </x:c>
      <x:c r="AA81" s="234" t="inlineStr">
        <x:is>
          <x:t xml:space="preserve">OBSERVED</x:t>
        </x:is>
      </x:c>
      <x:c r="AB81" s="234" t="inlineStr">
        <x:is>
          <x:t xml:space="preserve">https://github.com/mrroot01011001/Cicada-3301-/blob/main/liber-primus/pages/56.jpg</x:t>
        </x:is>
      </x:c>
      <x:c r="AC81" s="234" t="inlineStr">
        <x:is>
          <x:t xml:space="preserve">https://github.com/mrfentmen/annotated-pages/blob/main/56.jpg</x:t>
        </x:is>
      </x:c>
      <x:c r="AD81" s="234" t="inlineStr">
        <x:is>
          <x:t xml:space="preserve">Printed page artwork.</x:t>
        </x:is>
      </x:c>
      <x:c r="AE81" s="234" t="n"/>
      <x:c r="AF81" s="234" t="n"/>
      <x:c r="AG81" s="234" t="n"/>
      <x:c r="AH81" s="234" t="inlineStr">
        <x:is>
          <x:t xml:space="preserve">single_page</x:t>
        </x:is>
      </x:c>
      <x:c r="AI81" s="234" t="inlineStr">
        <x:is>
          <x:t xml:space="preserve">56.JPG</x:t>
        </x:is>
      </x:c>
      <x:c r="AJ81" s="234" t="inlineStr">
        <x:is>
          <x:t xml:space="preserve">CSV-D024</x:t>
        </x:is>
      </x:c>
      <x:c r="AK81" s="234" t="n">
        <x:v>24</x:v>
      </x:c>
      <x:c r="AL81" s="234" t="inlineStr">
        <x:is>
          <x:t xml:space="preserve">3 DOTS</x:t>
        </x:is>
      </x:c>
      <x:c r="AM81" s="234" t="inlineStr">
        <x:is>
          <x:t xml:space="preserve">0</x:t>
        </x:is>
      </x:c>
      <x:c r="AN81" s="234" t="inlineStr">
        <x:is>
          <x:t xml:space="preserve">3</x:t>
        </x:is>
      </x:c>
      <x:c r="AO81" s="234" t="inlineStr">
        <x:is>
          <x:t xml:space="preserve">0</x:t>
        </x:is>
      </x:c>
      <x:c r="AP81" s="234" t="inlineStr">
        <x:is>
          <x:t xml:space="preserve">3 DOTS MIDDLE OF THE PAGE</x:t>
        </x:is>
      </x:c>
      <x:c r="AQ81" s="234" t="inlineStr">
        <x:is>
          <x:t xml:space="preserve">?</x:t>
        </x:is>
      </x:c>
      <x:c r="AR81" s="234" t="inlineStr">
        <x:is>
          <x:t xml:space="preserve">3 DOTS SIT BETWEEN 2 SETS OF GLYPHS</x:t>
        </x:is>
      </x:c>
      <x:c r="AS81" s="234" t="n"/>
      <x:c r="AT81" s="234" t="inlineStr">
        <x:is>
          <x:t xml:space="preserve">POPULATED_SOURCE_RECORD</x:t>
        </x:is>
      </x:c>
      <x:c r="AU81" s="234" t="inlineStr">
        <x:is>
          <x:t xml:space="preserve">ANNOTATED_IMAGE_AVAILABLE</x:t>
        </x:is>
      </x:c>
    </x:row>
    <x:row r="82" s="232" customFormat="1" ht="32" customHeight="1">
      <x:c r="A82" s="234" t="n">
        <x:v>57</x:v>
      </x:c>
      <x:c r="B82" s="234" t="inlineStr">
        <x:is>
          <x:t xml:space="preserve">57.jpg</x:t>
        </x:is>
      </x:c>
      <x:c r="C82" s="234" t="inlineStr">
        <x:is>
          <x:t xml:space="preserve">LP057-F01</x:t>
        </x:is>
      </x:c>
      <x:c r="D82" s="234" t="inlineStr">
        <x:is>
          <x:t xml:space="preserve">original artwork</x:t>
        </x:is>
      </x:c>
      <x:c r="E82" s="234" t="n"/>
      <x:c r="F82" s="234" t="n"/>
      <x:c r="G82" s="234" t="inlineStr">
        <x:is>
          <x:t xml:space="preserve">left plant/tree illustration</x:t>
        </x:is>
      </x:c>
      <x:c r="H82" s="234" t="inlineStr">
        <x:is>
          <x:t xml:space="preserve">Tall stylized plant with curling upper growth, lateral branches, lower roots, and a dot cluster near a mid-level junction.</x:t>
        </x:is>
      </x:c>
      <x:c r="I82" s="234" t="n"/>
      <x:c r="J82" s="234" t="n"/>
      <x:c r="K82" s="234" t="n"/>
      <x:c r="L82" s="234" t="n"/>
      <x:c r="M82" s="234" t="n"/>
      <x:c r="N82" s="234" t="n"/>
      <x:c r="O82" s="234" t="n"/>
      <x:c r="P82" s="234" t="n"/>
      <x:c r="Q82" s="234" t="n"/>
      <x:c r="R82" s="234" t="inlineStr">
        <x:is>
          <x:t xml:space="preserve">Approximate counterpart to right plant</x:t>
        </x:is>
      </x:c>
      <x:c r="S82" s="234" t="n"/>
      <x:c r="T82" s="234" t="n"/>
      <x:c r="U82" s="234" t="n"/>
      <x:c r="V82" s="234" t="n"/>
      <x:c r="W82" s="234" t="n"/>
      <x:c r="X82" s="234" t="inlineStr">
        <x:is>
          <x:t xml:space="preserve">left margin</x:t>
        </x:is>
      </x:c>
      <x:c r="Y82" s="234" t="n"/>
      <x:c r="Z82" s="234" t="inlineStr">
        <x:is>
          <x:t xml:space="preserve">high</x:t>
        </x:is>
      </x:c>
      <x:c r="AA82" s="234" t="inlineStr">
        <x:is>
          <x:t xml:space="preserve">OBSERVED</x:t>
        </x:is>
      </x:c>
      <x:c r="AB82" s="234" t="inlineStr">
        <x:is>
          <x:t xml:space="preserve">https://github.com/mrroot01011001/Cicada-3301-/blob/main/liber-primus/pages/57.jpg</x:t>
        </x:is>
      </x:c>
      <x:c r="AC82" s="234" t="inlineStr">
        <x:is>
          <x:t xml:space="preserve">https://github.com/mrfentmen/annotated-pages/blob/main/57.jpg</x:t>
        </x:is>
      </x:c>
      <x:c r="AD82" s="234" t="inlineStr">
        <x:is>
          <x:t xml:space="preserve">Individual branch counts and root endpoints not measured.</x:t>
        </x:is>
      </x:c>
      <x:c r="AE82" s="234" t="n"/>
      <x:c r="AF82" s="234" t="n"/>
      <x:c r="AG82" s="234" t="n"/>
      <x:c r="AH82" s="234" t="inlineStr">
        <x:is>
          <x:t xml:space="preserve">single_page</x:t>
        </x:is>
      </x:c>
      <x:c r="AI82" s="234" t="inlineStr">
        <x:is>
          <x:t xml:space="preserve">57.JPG</x:t>
        </x:is>
      </x:c>
      <x:c r="AJ82" s="234" t="inlineStr">
        <x:is>
          <x:t xml:space="preserve">CSV-D025</x:t>
        </x:is>
      </x:c>
      <x:c r="AK82" s="234" t="n">
        <x:v>25</x:v>
      </x:c>
      <x:c r="AL82" s="234" t="inlineStr">
        <x:is>
          <x:t xml:space="preserve">SPIRALS AND PETALS</x:t>
        </x:is>
      </x:c>
      <x:c r="AM82" s="234" t="inlineStr">
        <x:is>
          <x:t xml:space="preserve">0</x:t>
        </x:is>
      </x:c>
      <x:c r="AN82" s="234" t="inlineStr">
        <x:is>
          <x:t xml:space="preserve">8</x:t>
        </x:is>
      </x:c>
      <x:c r="AO82" s="234" t="inlineStr">
        <x:is>
          <x:t xml:space="preserve">0</x:t>
        </x:is>
      </x:c>
      <x:c r="AP82" s="234" t="inlineStr">
        <x:is>
          <x:t xml:space="preserve">LEFT AND RIGHT OF THE PAGE</x:t>
        </x:is>
      </x:c>
      <x:c r="AQ82" s="234" t="inlineStr">
        <x:is>
          <x:t xml:space="preserve">0</x:t>
        </x:is>
      </x:c>
      <x:c r="AR82" s="234" t="inlineStr">
        <x:is>
          <x:t xml:space="preserve">SPIRAL AND PETS ON THE RIGHT SIDE HAVE 5 FULL BLACK PETALS BUT ON THE LEFT SIDE THERE ARE 2 WHITE AND 3 BLACK</x:t>
        </x:is>
      </x:c>
      <x:c r="AS82" s="234" t="n"/>
      <x:c r="AT82" s="234" t="inlineStr">
        <x:is>
          <x:t xml:space="preserve">POPULATED_SOURCE_RECORD</x:t>
        </x:is>
      </x:c>
      <x:c r="AU82" s="234" t="inlineStr">
        <x:is>
          <x:t xml:space="preserve">ANNOTATED_IMAGE_AVAILABLE</x:t>
        </x:is>
      </x:c>
    </x:row>
    <x:row r="83" s="232" customFormat="1" ht="32" customHeight="1">
      <x:c r="A83" s="234" t="n">
        <x:v>57</x:v>
      </x:c>
      <x:c r="B83" s="234" t="inlineStr">
        <x:is>
          <x:t xml:space="preserve">57.jpg</x:t>
        </x:is>
      </x:c>
      <x:c r="C83" s="234" t="inlineStr">
        <x:is>
          <x:t xml:space="preserve">LP057-F02</x:t>
        </x:is>
      </x:c>
      <x:c r="D83" s="234" t="inlineStr">
        <x:is>
          <x:t xml:space="preserve">original artwork</x:t>
        </x:is>
      </x:c>
      <x:c r="E83" s="234" t="n"/>
      <x:c r="F83" s="234" t="n"/>
      <x:c r="G83" s="234" t="inlineStr">
        <x:is>
          <x:t xml:space="preserve">right plant/tree illustration</x:t>
        </x:is>
      </x:c>
      <x:c r="H83" s="234" t="inlineStr">
        <x:is>
          <x:t xml:space="preserve">Tall stylized plant with curling upper growth, lateral branches, lower roots, and a dot cluster near a mid-level junction.</x:t>
        </x:is>
      </x:c>
      <x:c r="I83" s="234" t="n"/>
      <x:c r="J83" s="234" t="n"/>
      <x:c r="K83" s="234" t="n"/>
      <x:c r="L83" s="234" t="n"/>
      <x:c r="M83" s="234" t="n"/>
      <x:c r="N83" s="234" t="n"/>
      <x:c r="O83" s="234" t="n"/>
      <x:c r="P83" s="234" t="n"/>
      <x:c r="Q83" s="234" t="n"/>
      <x:c r="R83" s="234" t="inlineStr">
        <x:is>
          <x:t xml:space="preserve">Approximate counterpart to left plant</x:t>
        </x:is>
      </x:c>
      <x:c r="S83" s="234" t="n"/>
      <x:c r="T83" s="234" t="n"/>
      <x:c r="U83" s="234" t="n"/>
      <x:c r="V83" s="234" t="n"/>
      <x:c r="W83" s="234" t="n"/>
      <x:c r="X83" s="234" t="inlineStr">
        <x:is>
          <x:t xml:space="preserve">right margin</x:t>
        </x:is>
      </x:c>
      <x:c r="Y83" s="234" t="n"/>
      <x:c r="Z83" s="234" t="inlineStr">
        <x:is>
          <x:t xml:space="preserve">high</x:t>
        </x:is>
      </x:c>
      <x:c r="AA83" s="234" t="inlineStr">
        <x:is>
          <x:t xml:space="preserve">OBSERVED</x:t>
        </x:is>
      </x:c>
      <x:c r="AB83" s="234" t="inlineStr">
        <x:is>
          <x:t xml:space="preserve">https://github.com/mrroot01011001/Cicada-3301-/blob/main/liber-primus/pages/57.jpg</x:t>
        </x:is>
      </x:c>
      <x:c r="AC83" s="234" t="inlineStr">
        <x:is>
          <x:t xml:space="preserve">https://github.com/mrfentmen/annotated-pages/blob/main/57.jpg</x:t>
        </x:is>
      </x:c>
      <x:c r="AD83" s="234" t="inlineStr">
        <x:is>
          <x:t xml:space="preserve">Individual branch counts and root endpoints not measured.</x:t>
        </x:is>
      </x:c>
      <x:c r="AE83" s="234" t="n"/>
      <x:c r="AF83" s="234" t="n"/>
      <x:c r="AG83" s="234" t="n"/>
      <x:c r="AH83" s="234" t="inlineStr">
        <x:is>
          <x:t xml:space="preserve">single_page</x:t>
        </x:is>
      </x:c>
      <x:c r="AI83" s="234" t="inlineStr">
        <x:is>
          <x:t xml:space="preserve">57.JPG</x:t>
        </x:is>
      </x:c>
      <x:c r="AJ83" s="234" t="inlineStr">
        <x:is>
          <x:t xml:space="preserve">CSV-D025</x:t>
        </x:is>
      </x:c>
      <x:c r="AK83" s="234" t="n">
        <x:v>25</x:v>
      </x:c>
      <x:c r="AL83" s="234" t="inlineStr">
        <x:is>
          <x:t xml:space="preserve">SPIRALS AND PETALS</x:t>
        </x:is>
      </x:c>
      <x:c r="AM83" s="234" t="inlineStr">
        <x:is>
          <x:t xml:space="preserve">0</x:t>
        </x:is>
      </x:c>
      <x:c r="AN83" s="234" t="inlineStr">
        <x:is>
          <x:t xml:space="preserve">8</x:t>
        </x:is>
      </x:c>
      <x:c r="AO83" s="234" t="inlineStr">
        <x:is>
          <x:t xml:space="preserve">0</x:t>
        </x:is>
      </x:c>
      <x:c r="AP83" s="234" t="inlineStr">
        <x:is>
          <x:t xml:space="preserve">LEFT AND RIGHT OF THE PAGE</x:t>
        </x:is>
      </x:c>
      <x:c r="AQ83" s="234" t="inlineStr">
        <x:is>
          <x:t xml:space="preserve">0</x:t>
        </x:is>
      </x:c>
      <x:c r="AR83" s="234" t="inlineStr">
        <x:is>
          <x:t xml:space="preserve">SPIRAL AND PETS ON THE RIGHT SIDE HAVE 5 FULL BLACK PETALS BUT ON THE LEFT SIDE THERE ARE 2 WHITE AND 3 BLACK</x:t>
        </x:is>
      </x:c>
      <x:c r="AS83" s="234" t="n"/>
      <x:c r="AT83" s="234" t="inlineStr">
        <x:is>
          <x:t xml:space="preserve">POPULATED_SOURCE_RECORD</x:t>
        </x:is>
      </x:c>
      <x:c r="AU83" s="234" t="inlineStr">
        <x:is>
          <x:t xml:space="preserve">ANNOTATED_IMAGE_AVAILABLE</x:t>
        </x:is>
      </x:c>
    </x:row>
    <x:row r="84" s="232" customFormat="1" ht="32" customHeight="1">
      <x:c r="A84" s="234" t="n">
        <x:v>57</x:v>
      </x:c>
      <x:c r="B84" s="234" t="inlineStr">
        <x:is>
          <x:t xml:space="preserve">57.jpg</x:t>
        </x:is>
      </x:c>
      <x:c r="C84" s="234" t="inlineStr">
        <x:is>
          <x:t xml:space="preserve">LP057-F03</x:t>
        </x:is>
      </x:c>
      <x:c r="D84" s="234" t="inlineStr">
        <x:is>
          <x:t xml:space="preserve">original artwork + user annotation</x:t>
        </x:is>
      </x:c>
      <x:c r="E84" s="234" t="inlineStr">
        <x:is>
          <x:t xml:space="preserve">tiny pink/purple labels</x:t>
        </x:is>
      </x:c>
      <x:c r="F84" s="234" t="inlineStr">
        <x:is>
          <x:t xml:space="preserve">small point labels; count/transcription unresolved</x:t>
        </x:is>
      </x:c>
      <x:c r="G84" s="234" t="inlineStr">
        <x:is>
          <x:t xml:space="preserve">left plant dot cluster</x:t>
        </x:is>
      </x:c>
      <x:c r="H84" s="234" t="inlineStr">
        <x:is>
          <x:t xml:space="preserve">A cluster of black dots adjacent to a junction on the left plant; several tiny colored labels are nearby.</x:t>
        </x:is>
      </x:c>
      <x:c r="I84" s="234" t="n">
        <x:v>3</x:v>
      </x:c>
      <x:c r="J84" s="234" t="n"/>
      <x:c r="K84" s="234" t="n">
        <x:v>3</x:v>
      </x:c>
      <x:c r="L84" s="234" t="n"/>
      <x:c r="M84" s="234" t="n"/>
      <x:c r="N84" s="234" t="n"/>
      <x:c r="O84" s="234" t="n"/>
      <x:c r="P84" s="234" t="n"/>
      <x:c r="Q84" s="234" t="n"/>
      <x:c r="R84" s="234" t="n"/>
      <x:c r="S84" s="234" t="n"/>
      <x:c r="T84" s="234" t="n"/>
      <x:c r="U84" s="234" t="n"/>
      <x:c r="V84" s="234" t="n"/>
      <x:c r="W84" s="234" t="n"/>
      <x:c r="X84" s="234" t="inlineStr">
        <x:is>
          <x:t xml:space="preserve">left plant, mid-level junction</x:t>
        </x:is>
      </x:c>
      <x:c r="Y84" s="234" t="inlineStr">
        <x:is>
          <x:t xml:space="preserve">Potentially part of a left/right 3-vs-5 pattern noted by the researcher; page-specific counts require crop verification.</x:t>
        </x:is>
      </x:c>
      <x:c r="Z84" s="234" t="inlineStr">
        <x:is>
          <x:t xml:space="preserve">high</x:t>
        </x:is>
      </x:c>
      <x:c r="AA84" s="234" t="inlineStr">
        <x:is>
          <x:t xml:space="preserve">ANNOTATION_VISIBLE</x:t>
        </x:is>
      </x:c>
      <x:c r="AB84" s="234" t="inlineStr">
        <x:is>
          <x:t xml:space="preserve">https://github.com/mrroot01011001/Cicada-3301-/blob/main/liber-primus/pages/57.jpg</x:t>
        </x:is>
      </x:c>
      <x:c r="AC84" s="234" t="inlineStr">
        <x:is>
          <x:t xml:space="preserve">https://github.com/mrfentmen/annotated-pages/blob/main/57.jpg</x:t>
        </x:is>
      </x:c>
      <x:c r="AD84" s="234" t="inlineStr">
        <x:is>
          <x:t xml:space="preserve">Leave dot_count blank until every dark dot is distinguished from plant ink. Visual count from the accessible annotated image: 3 dots in the left cluster; combined right/left total is 8 per CSV.</x:t>
        </x:is>
      </x:c>
      <x:c r="AE84" s="234" t="n"/>
      <x:c r="AF84" s="234" t="n"/>
      <x:c r="AG84" s="234" t="n"/>
      <x:c r="AH84" s="234" t="inlineStr">
        <x:is>
          <x:t xml:space="preserve">single_page</x:t>
        </x:is>
      </x:c>
      <x:c r="AI84" s="234" t="inlineStr">
        <x:is>
          <x:t xml:space="preserve">57.JPG</x:t>
        </x:is>
      </x:c>
      <x:c r="AJ84" s="234" t="inlineStr">
        <x:is>
          <x:t xml:space="preserve">CSV-D025</x:t>
        </x:is>
      </x:c>
      <x:c r="AK84" s="234" t="n">
        <x:v>25</x:v>
      </x:c>
      <x:c r="AL84" s="234" t="inlineStr">
        <x:is>
          <x:t xml:space="preserve">SPIRALS AND PETALS</x:t>
        </x:is>
      </x:c>
      <x:c r="AM84" s="234" t="inlineStr">
        <x:is>
          <x:t xml:space="preserve">0</x:t>
        </x:is>
      </x:c>
      <x:c r="AN84" s="234" t="inlineStr">
        <x:is>
          <x:t xml:space="preserve">8</x:t>
        </x:is>
      </x:c>
      <x:c r="AO84" s="234" t="inlineStr">
        <x:is>
          <x:t xml:space="preserve">0</x:t>
        </x:is>
      </x:c>
      <x:c r="AP84" s="234" t="inlineStr">
        <x:is>
          <x:t xml:space="preserve">LEFT AND RIGHT OF THE PAGE</x:t>
        </x:is>
      </x:c>
      <x:c r="AQ84" s="234" t="inlineStr">
        <x:is>
          <x:t xml:space="preserve">0</x:t>
        </x:is>
      </x:c>
      <x:c r="AR84" s="234" t="inlineStr">
        <x:is>
          <x:t xml:space="preserve">SPIRAL AND PETS ON THE RIGHT SIDE HAVE 5 FULL BLACK PETALS BUT ON THE LEFT SIDE THERE ARE 2 WHITE AND 3 BLACK</x:t>
        </x:is>
      </x:c>
      <x:c r="AS84" s="234" t="n"/>
      <x:c r="AT84" s="234" t="inlineStr">
        <x:is>
          <x:t xml:space="preserve">POPULATED_SOURCE_RECORD</x:t>
        </x:is>
      </x:c>
      <x:c r="AU84" s="234" t="inlineStr">
        <x:is>
          <x:t xml:space="preserve">ANNOTATED_IMAGE_AVAILABLE</x:t>
        </x:is>
      </x:c>
    </x:row>
    <x:row r="85" s="232" customFormat="1" ht="32" customHeight="1">
      <x:c r="A85" s="234" t="n">
        <x:v>57</x:v>
      </x:c>
      <x:c r="B85" s="234" t="inlineStr">
        <x:is>
          <x:t xml:space="preserve">57.jpg</x:t>
        </x:is>
      </x:c>
      <x:c r="C85" s="234" t="inlineStr">
        <x:is>
          <x:t xml:space="preserve">LP057-F04</x:t>
        </x:is>
      </x:c>
      <x:c r="D85" s="234" t="inlineStr">
        <x:is>
          <x:t xml:space="preserve">original artwork + user annotation</x:t>
        </x:is>
      </x:c>
      <x:c r="E85" s="234" t="inlineStr">
        <x:is>
          <x:t xml:space="preserve">tiny pink/purple labels</x:t>
        </x:is>
      </x:c>
      <x:c r="F85" s="234" t="inlineStr">
        <x:is>
          <x:t xml:space="preserve">small point labels; count/transcription unresolved</x:t>
        </x:is>
      </x:c>
      <x:c r="G85" s="234" t="inlineStr">
        <x:is>
          <x:t xml:space="preserve">right plant dot cluster</x:t>
        </x:is>
      </x:c>
      <x:c r="H85" s="234" t="inlineStr">
        <x:is>
          <x:t xml:space="preserve">A cluster of black dots adjacent to a junction on the right plant; several tiny colored labels are nearby.</x:t>
        </x:is>
      </x:c>
      <x:c r="I85" s="234" t="n">
        <x:v>5</x:v>
      </x:c>
      <x:c r="J85" s="234" t="n"/>
      <x:c r="K85" s="234" t="n">
        <x:v>5</x:v>
      </x:c>
      <x:c r="L85" s="234" t="n"/>
      <x:c r="M85" s="234" t="n"/>
      <x:c r="N85" s="234" t="n"/>
      <x:c r="O85" s="234" t="n"/>
      <x:c r="P85" s="234" t="n"/>
      <x:c r="Q85" s="234" t="n"/>
      <x:c r="R85" s="234" t="n"/>
      <x:c r="S85" s="234" t="n"/>
      <x:c r="T85" s="234" t="n"/>
      <x:c r="U85" s="234" t="n"/>
      <x:c r="V85" s="234" t="n"/>
      <x:c r="W85" s="234" t="n"/>
      <x:c r="X85" s="234" t="inlineStr">
        <x:is>
          <x:t xml:space="preserve">right plant, mid-level junction</x:t>
        </x:is>
      </x:c>
      <x:c r="Y85" s="234" t="inlineStr">
        <x:is>
          <x:t xml:space="preserve">Potentially part of a left/right 3-vs-5 pattern noted by the researcher; page-specific counts require crop verification.</x:t>
        </x:is>
      </x:c>
      <x:c r="Z85" s="234" t="inlineStr">
        <x:is>
          <x:t xml:space="preserve">high</x:t>
        </x:is>
      </x:c>
      <x:c r="AA85" s="234" t="inlineStr">
        <x:is>
          <x:t xml:space="preserve">ANNOTATION_VISIBLE</x:t>
        </x:is>
      </x:c>
      <x:c r="AB85" s="234" t="inlineStr">
        <x:is>
          <x:t xml:space="preserve">https://github.com/mrroot01011001/Cicada-3301-/blob/main/liber-primus/pages/57.jpg</x:t>
        </x:is>
      </x:c>
      <x:c r="AC85" s="234" t="inlineStr">
        <x:is>
          <x:t xml:space="preserve">https://github.com/mrfentmen/annotated-pages/blob/main/57.jpg</x:t>
        </x:is>
      </x:c>
      <x:c r="AD85" s="234" t="inlineStr">
        <x:is>
          <x:t xml:space="preserve">Leave dot_count blank until every dark dot is distinguished from plant ink. Visual count from the accessible annotated image: 5 dots in the right cluster; combined right/left total is 8 per CSV.</x:t>
        </x:is>
      </x:c>
      <x:c r="AE85" s="234" t="n"/>
      <x:c r="AF85" s="234" t="n"/>
      <x:c r="AG85" s="234" t="n"/>
      <x:c r="AH85" s="234" t="inlineStr">
        <x:is>
          <x:t xml:space="preserve">single_page</x:t>
        </x:is>
      </x:c>
      <x:c r="AI85" s="234" t="inlineStr">
        <x:is>
          <x:t xml:space="preserve">57.JPG</x:t>
        </x:is>
      </x:c>
      <x:c r="AJ85" s="234" t="inlineStr">
        <x:is>
          <x:t xml:space="preserve">CSV-D025</x:t>
        </x:is>
      </x:c>
      <x:c r="AK85" s="234" t="n">
        <x:v>25</x:v>
      </x:c>
      <x:c r="AL85" s="234" t="inlineStr">
        <x:is>
          <x:t xml:space="preserve">SPIRALS AND PETALS</x:t>
        </x:is>
      </x:c>
      <x:c r="AM85" s="234" t="inlineStr">
        <x:is>
          <x:t xml:space="preserve">0</x:t>
        </x:is>
      </x:c>
      <x:c r="AN85" s="234" t="inlineStr">
        <x:is>
          <x:t xml:space="preserve">8</x:t>
        </x:is>
      </x:c>
      <x:c r="AO85" s="234" t="inlineStr">
        <x:is>
          <x:t xml:space="preserve">0</x:t>
        </x:is>
      </x:c>
      <x:c r="AP85" s="234" t="inlineStr">
        <x:is>
          <x:t xml:space="preserve">LEFT AND RIGHT OF THE PAGE</x:t>
        </x:is>
      </x:c>
      <x:c r="AQ85" s="234" t="inlineStr">
        <x:is>
          <x:t xml:space="preserve">0</x:t>
        </x:is>
      </x:c>
      <x:c r="AR85" s="234" t="inlineStr">
        <x:is>
          <x:t xml:space="preserve">SPIRAL AND PETS ON THE RIGHT SIDE HAVE 5 FULL BLACK PETALS BUT ON THE LEFT SIDE THERE ARE 2 WHITE AND 3 BLACK</x:t>
        </x:is>
      </x:c>
      <x:c r="AS85" s="234" t="n"/>
      <x:c r="AT85" s="234" t="inlineStr">
        <x:is>
          <x:t xml:space="preserve">POPULATED_SOURCE_RECORD</x:t>
        </x:is>
      </x:c>
      <x:c r="AU85" s="234" t="inlineStr">
        <x:is>
          <x:t xml:space="preserve">ANNOTATED_IMAGE_AVAILABLE</x:t>
        </x:is>
      </x:c>
    </x:row>
    <x:row r="86" s="232" customFormat="1" ht="32" customHeight="1">
      <x:c r="A86" s="234" t="n">
        <x:v>57</x:v>
      </x:c>
      <x:c r="B86" s="234" t="inlineStr">
        <x:is>
          <x:t xml:space="preserve">57.jpg</x:t>
        </x:is>
      </x:c>
      <x:c r="C86" s="234" t="inlineStr">
        <x:is>
          <x:t xml:space="preserve">LP057-F05</x:t>
        </x:is>
      </x:c>
      <x:c r="D86" s="234" t="inlineStr">
        <x:is>
          <x:t xml:space="preserve">original artwork</x:t>
        </x:is>
      </x:c>
      <x:c r="E86" s="234" t="inlineStr">
        <x:is>
          <x:t xml:space="preserve">red</x:t>
        </x:is>
      </x:c>
      <x:c r="F86" s="234" t="n"/>
      <x:c r="G86" s="234" t="inlineStr">
        <x:is>
          <x:t xml:space="preserve">oversized red initial rune</x:t>
        </x:is>
      </x:c>
      <x:c r="H86" s="234" t="inlineStr">
        <x:is>
          <x:t xml:space="preserve">Large red angular initial rune at the beginning of the text block.</x:t>
        </x:is>
      </x:c>
      <x:c r="I86" s="234" t="n"/>
      <x:c r="J86" s="234" t="n"/>
      <x:c r="K86" s="234" t="n"/>
      <x:c r="L86" s="234" t="n"/>
      <x:c r="M86" s="234" t="n"/>
      <x:c r="N86" s="234" t="n"/>
      <x:c r="O86" s="234" t="n"/>
      <x:c r="P86" s="234" t="n"/>
      <x:c r="Q86" s="234" t="n"/>
      <x:c r="R86" s="234" t="n"/>
      <x:c r="S86" s="234" t="n"/>
      <x:c r="T86" s="234" t="n"/>
      <x:c r="U86" s="234" t="n"/>
      <x:c r="V86" s="234" t="n"/>
      <x:c r="W86" s="234" t="n"/>
      <x:c r="X86" s="234" t="inlineStr">
        <x:is>
          <x:t xml:space="preserve">upper-left text block</x:t>
        </x:is>
      </x:c>
      <x:c r="Y86" s="234" t="n"/>
      <x:c r="Z86" s="234" t="inlineStr">
        <x:is>
          <x:t xml:space="preserve">high</x:t>
        </x:is>
      </x:c>
      <x:c r="AA86" s="234" t="inlineStr">
        <x:is>
          <x:t xml:space="preserve">OBSERVED</x:t>
        </x:is>
      </x:c>
      <x:c r="AB86" s="234" t="inlineStr">
        <x:is>
          <x:t xml:space="preserve">https://github.com/mrroot01011001/Cicada-3301-/blob/main/liber-primus/pages/57.jpg</x:t>
        </x:is>
      </x:c>
      <x:c r="AC86" s="234" t="inlineStr">
        <x:is>
          <x:t xml:space="preserve">https://github.com/mrfentmen/annotated-pages/blob/main/57.jpg</x:t>
        </x:is>
      </x:c>
      <x:c r="AD86" s="234" t="inlineStr">
        <x:is>
          <x:t xml:space="preserve">Printed page artwork.</x:t>
        </x:is>
      </x:c>
      <x:c r="AE86" s="234" t="n"/>
      <x:c r="AF86" s="234" t="n"/>
      <x:c r="AG86" s="234" t="n"/>
      <x:c r="AH86" s="234" t="inlineStr">
        <x:is>
          <x:t xml:space="preserve">single_page</x:t>
        </x:is>
      </x:c>
      <x:c r="AI86" s="234" t="inlineStr">
        <x:is>
          <x:t xml:space="preserve">57.JPG</x:t>
        </x:is>
      </x:c>
      <x:c r="AJ86" s="234" t="inlineStr">
        <x:is>
          <x:t xml:space="preserve">CSV-D025</x:t>
        </x:is>
      </x:c>
      <x:c r="AK86" s="234" t="n">
        <x:v>25</x:v>
      </x:c>
      <x:c r="AL86" s="234" t="inlineStr">
        <x:is>
          <x:t xml:space="preserve">SPIRALS AND PETALS</x:t>
        </x:is>
      </x:c>
      <x:c r="AM86" s="234" t="inlineStr">
        <x:is>
          <x:t xml:space="preserve">0</x:t>
        </x:is>
      </x:c>
      <x:c r="AN86" s="234" t="inlineStr">
        <x:is>
          <x:t xml:space="preserve">8</x:t>
        </x:is>
      </x:c>
      <x:c r="AO86" s="234" t="inlineStr">
        <x:is>
          <x:t xml:space="preserve">0</x:t>
        </x:is>
      </x:c>
      <x:c r="AP86" s="234" t="inlineStr">
        <x:is>
          <x:t xml:space="preserve">LEFT AND RIGHT OF THE PAGE</x:t>
        </x:is>
      </x:c>
      <x:c r="AQ86" s="234" t="inlineStr">
        <x:is>
          <x:t xml:space="preserve">0</x:t>
        </x:is>
      </x:c>
      <x:c r="AR86" s="234" t="inlineStr">
        <x:is>
          <x:t xml:space="preserve">SPIRAL AND PETS ON THE RIGHT SIDE HAVE 5 FULL BLACK PETALS BUT ON THE LEFT SIDE THERE ARE 2 WHITE AND 3 BLACK</x:t>
        </x:is>
      </x:c>
      <x:c r="AS86" s="234" t="n"/>
      <x:c r="AT86" s="234" t="inlineStr">
        <x:is>
          <x:t xml:space="preserve">POPULATED_SOURCE_RECORD</x:t>
        </x:is>
      </x:c>
      <x:c r="AU86" s="234" t="inlineStr">
        <x:is>
          <x:t xml:space="preserve">ANNOTATED_IMAGE_AVAILABLE</x:t>
        </x:is>
      </x:c>
    </x:row>
    <x:row r="87" s="232" customFormat="1" ht="32" customHeight="1">
      <x:c r="A87" s="234" t="n">
        <x:v>57</x:v>
      </x:c>
      <x:c r="B87" s="234" t="inlineStr">
        <x:is>
          <x:t xml:space="preserve">57.jpg</x:t>
        </x:is>
      </x:c>
      <x:c r="C87" s="234" t="inlineStr">
        <x:is>
          <x:t xml:space="preserve">LP057-F90</x:t>
        </x:is>
      </x:c>
      <x:c r="D87" s="234" t="inlineStr">
        <x:is>
          <x:t xml:space="preserve">CSV source spreadsheet; feature-level representation</x:t>
        </x:is>
      </x:c>
      <x:c r="E87" s="234" t="n"/>
      <x:c r="F87" s="234" t="n"/>
      <x:c r="G87" s="234" t="inlineStr">
        <x:is>
          <x:t xml:space="preserve">paired spiral/petal motif (page-level)</x:t>
        </x:is>
      </x:c>
      <x:c r="H87" s="234" t="inlineStr">
        <x:is>
          <x:t xml:space="preserve">Source CSV visual-object label: SPIRALS AND PETALS. Source note: SPIRAL AND PETS ON THE RIGHT SIDE HAVE 5 FULL BLACK PETALS BUT ON THE LEFT SIDE THERE ARE 2 WHITE AND 3 BLACK</x:t>
        </x:is>
      </x:c>
      <x:c r="I87" s="234" t="n"/>
      <x:c r="J87" s="234" t="n"/>
      <x:c r="K87" s="234" t="n"/>
      <x:c r="L87" s="234" t="n"/>
      <x:c r="M87" s="234" t="n"/>
      <x:c r="N87" s="234" t="n"/>
      <x:c r="O87" s="234" t="n"/>
      <x:c r="P87" s="234" t="n"/>
      <x:c r="Q87" s="234" t="inlineStr">
        <x:is>
          <x:t xml:space="preserve">left and right of page</x:t>
        </x:is>
      </x:c>
      <x:c r="R87" s="234" t="n"/>
      <x:c r="S87" s="234" t="n"/>
      <x:c r="T87" s="234" t="n"/>
      <x:c r="U87" s="234" t="n"/>
      <x:c r="V87" s="234" t="n"/>
      <x:c r="W87" s="234" t="n"/>
      <x:c r="X87" s="234" t="inlineStr">
        <x:is>
          <x:t xml:space="preserve">Both margins beside central text; page-level motif summary</x:t>
        </x:is>
      </x:c>
      <x:c r="Y87" s="234" t="n"/>
      <x:c r="Z87" s="234" t="inlineStr">
        <x:is>
          <x:t xml:space="preserve">medium</x:t>
        </x:is>
      </x:c>
      <x:c r="AA87" s="234" t="inlineStr">
        <x:is>
          <x:t xml:space="preserve">CSV_RECORDED_NOT_INDEPENDENTLY_RECOUNTED</x:t>
        </x:is>
      </x:c>
      <x:c r="AB87" s="234" t="inlineStr">
        <x:is>
          <x:t xml:space="preserve">https://github.com/mrroot01011001/Cicada-3301-/blob/main/liber-primus/pages/57.jpg</x:t>
        </x:is>
      </x:c>
      <x:c r="AC87" s="234" t="inlineStr">
        <x:is>
          <x:t xml:space="preserve">https://github.com/mrfentmen/annotated-pages/blob/main/57.jpg</x:t>
        </x:is>
      </x:c>
      <x:c r="AD87" s="234" t="inlineStr">
        <x:is>
          <x:t xml:space="preserve">Composite motif row retained alongside left/right component rows. Page-level counts in source fields are context, not counts to sum across every feature row.</x:t>
        </x:is>
      </x:c>
      <x:c r="AE87" s="234" t="n"/>
      <x:c r="AF87" s="234" t="n"/>
      <x:c r="AG87" s="234" t="n"/>
      <x:c r="AH87" s="234" t="inlineStr">
        <x:is>
          <x:t xml:space="preserve">single_page</x:t>
        </x:is>
      </x:c>
      <x:c r="AI87" s="234" t="inlineStr">
        <x:is>
          <x:t xml:space="preserve">57.JPG</x:t>
        </x:is>
      </x:c>
      <x:c r="AJ87" s="234" t="inlineStr">
        <x:is>
          <x:t xml:space="preserve">CSV-D025</x:t>
        </x:is>
      </x:c>
      <x:c r="AK87" s="234" t="n">
        <x:v>25</x:v>
      </x:c>
      <x:c r="AL87" s="234" t="inlineStr">
        <x:is>
          <x:t xml:space="preserve">SPIRALS AND PETALS</x:t>
        </x:is>
      </x:c>
      <x:c r="AM87" s="234" t="inlineStr">
        <x:is>
          <x:t xml:space="preserve">0</x:t>
        </x:is>
      </x:c>
      <x:c r="AN87" s="234" t="inlineStr">
        <x:is>
          <x:t xml:space="preserve">8</x:t>
        </x:is>
      </x:c>
      <x:c r="AO87" s="234" t="inlineStr">
        <x:is>
          <x:t xml:space="preserve">0</x:t>
        </x:is>
      </x:c>
      <x:c r="AP87" s="234" t="inlineStr">
        <x:is>
          <x:t xml:space="preserve">LEFT AND RIGHT OF THE PAGE</x:t>
        </x:is>
      </x:c>
      <x:c r="AQ87" s="234" t="inlineStr">
        <x:is>
          <x:t xml:space="preserve">0</x:t>
        </x:is>
      </x:c>
      <x:c r="AR87" s="234" t="inlineStr">
        <x:is>
          <x:t xml:space="preserve">SPIRAL AND PETS ON THE RIGHT SIDE HAVE 5 FULL BLACK PETALS BUT ON THE LEFT SIDE THERE ARE 2 WHITE AND 3 BLACK</x:t>
        </x:is>
      </x:c>
      <x:c r="AS87" s="234" t="n"/>
      <x:c r="AT87" s="234" t="inlineStr">
        <x:is>
          <x:t xml:space="preserve">POPULATED_SOURCE_RECORD</x:t>
        </x:is>
      </x:c>
      <x:c r="AU87" s="234" t="inlineStr">
        <x:is>
          <x:t xml:space="preserve">ANNOTATED_IMAGE_AVAILABLE; NEW FEATURE/COUNT NOT INDEPENDENTLY RECOUNTED</x:t>
        </x:is>
      </x:c>
    </x:row>
    <x:row r="88" s="232" customFormat="1" ht="32" customHeight="1">
      <x:c r="A88" s="234" t="n">
        <x:v>57</x:v>
      </x:c>
      <x:c r="B88" s="234" t="inlineStr">
        <x:is>
          <x:t xml:space="preserve">57.jpg</x:t>
        </x:is>
      </x:c>
      <x:c r="C88" s="234" t="inlineStr">
        <x:is>
          <x:t xml:space="preserve">LP057-F91</x:t>
        </x:is>
      </x:c>
      <x:c r="D88" s="234" t="inlineStr">
        <x:is>
          <x:t xml:space="preserve">CSV source spreadsheet; feature-level representation</x:t>
        </x:is>
      </x:c>
      <x:c r="E88" s="234" t="n"/>
      <x:c r="F88" s="234" t="n"/>
      <x:c r="G88" s="234" t="inlineStr">
        <x:is>
          <x:t xml:space="preserve">left-side petal group</x:t>
        </x:is>
      </x:c>
      <x:c r="H88" s="234" t="inlineStr">
        <x:is>
          <x:t xml:space="preserve">Source CSV reports two white/unfilled petals and three black/filled petals on the left-side spiral/petal motif.</x:t>
        </x:is>
      </x:c>
      <x:c r="I88" s="234" t="n"/>
      <x:c r="J88" s="234" t="n"/>
      <x:c r="K88" s="234" t="n"/>
      <x:c r="L88" s="234" t="n"/>
      <x:c r="M88" s="234" t="n"/>
      <x:c r="N88" s="234" t="n"/>
      <x:c r="O88" s="234" t="n"/>
      <x:c r="P88" s="234" t="n"/>
      <x:c r="Q88" s="234" t="inlineStr">
        <x:is>
          <x:t xml:space="preserve">left side of page</x:t>
        </x:is>
      </x:c>
      <x:c r="R88" s="234" t="n"/>
      <x:c r="S88" s="234" t="n"/>
      <x:c r="T88" s="234" t="n"/>
      <x:c r="U88" s="234" t="n"/>
      <x:c r="V88" s="234" t="n"/>
      <x:c r="W88" s="234" t="n"/>
      <x:c r="X88" s="234" t="inlineStr">
        <x:is>
          <x:t xml:space="preserve">left spiral/petal decoration</x:t>
        </x:is>
      </x:c>
      <x:c r="Y88" s="234" t="n"/>
      <x:c r="Z88" s="234" t="inlineStr">
        <x:is>
          <x:t xml:space="preserve">medium</x:t>
        </x:is>
      </x:c>
      <x:c r="AA88" s="234" t="inlineStr">
        <x:is>
          <x:t xml:space="preserve">CSV_RECORDED_NOT_INDEPENDENTLY_RECOUNTED</x:t>
        </x:is>
      </x:c>
      <x:c r="AB88" s="234" t="inlineStr">
        <x:is>
          <x:t xml:space="preserve">https://github.com/mrroot01011001/Cicada-3301-/blob/main/liber-primus/pages/57.jpg</x:t>
        </x:is>
      </x:c>
      <x:c r="AC88" s="234" t="inlineStr">
        <x:is>
          <x:t xml:space="preserve">https://github.com/mrfentmen/annotated-pages/blob/main/57.jpg</x:t>
        </x:is>
      </x:c>
      <x:c r="AD88" s="234" t="inlineStr">
        <x:is>
          <x:t xml:space="preserve">Petal counts and filled/unfilled distinctions are preserved from the source notes, not independently counted from image coordinates.</x:t>
        </x:is>
      </x:c>
      <x:c r="AE88" s="234" t="n">
        <x:v>5</x:v>
      </x:c>
      <x:c r="AF88" s="234" t="n">
        <x:v>3</x:v>
      </x:c>
      <x:c r="AG88" s="234" t="n">
        <x:v>2</x:v>
      </x:c>
      <x:c r="AH88" s="234" t="inlineStr">
        <x:is>
          <x:t xml:space="preserve">single_page</x:t>
        </x:is>
      </x:c>
      <x:c r="AI88" s="234" t="inlineStr">
        <x:is>
          <x:t xml:space="preserve">57.JPG</x:t>
        </x:is>
      </x:c>
      <x:c r="AJ88" s="234" t="inlineStr">
        <x:is>
          <x:t xml:space="preserve">CSV-D025</x:t>
        </x:is>
      </x:c>
      <x:c r="AK88" s="234" t="n">
        <x:v>25</x:v>
      </x:c>
      <x:c r="AL88" s="234" t="inlineStr">
        <x:is>
          <x:t xml:space="preserve">SPIRALS AND PETALS</x:t>
        </x:is>
      </x:c>
      <x:c r="AM88" s="234" t="inlineStr">
        <x:is>
          <x:t xml:space="preserve">0</x:t>
        </x:is>
      </x:c>
      <x:c r="AN88" s="234" t="inlineStr">
        <x:is>
          <x:t xml:space="preserve">8</x:t>
        </x:is>
      </x:c>
      <x:c r="AO88" s="234" t="inlineStr">
        <x:is>
          <x:t xml:space="preserve">0</x:t>
        </x:is>
      </x:c>
      <x:c r="AP88" s="234" t="inlineStr">
        <x:is>
          <x:t xml:space="preserve">LEFT AND RIGHT OF THE PAGE</x:t>
        </x:is>
      </x:c>
      <x:c r="AQ88" s="234" t="inlineStr">
        <x:is>
          <x:t xml:space="preserve">0</x:t>
        </x:is>
      </x:c>
      <x:c r="AR88" s="234" t="inlineStr">
        <x:is>
          <x:t xml:space="preserve">SPIRAL AND PETS ON THE RIGHT SIDE HAVE 5 FULL BLACK PETALS BUT ON THE LEFT SIDE THERE ARE 2 WHITE AND 3 BLACK</x:t>
        </x:is>
      </x:c>
      <x:c r="AS88" s="234" t="n"/>
      <x:c r="AT88" s="234" t="inlineStr">
        <x:is>
          <x:t xml:space="preserve">POPULATED_SOURCE_RECORD</x:t>
        </x:is>
      </x:c>
      <x:c r="AU88" s="234" t="inlineStr">
        <x:is>
          <x:t xml:space="preserve">ANNOTATED_IMAGE_AVAILABLE; NEW FEATURE/COUNT NOT INDEPENDENTLY RECOUNTED</x:t>
        </x:is>
      </x:c>
    </x:row>
    <x:row r="89" s="232" customFormat="1" ht="32" customHeight="1">
      <x:c r="A89" s="234" t="n">
        <x:v>57</x:v>
      </x:c>
      <x:c r="B89" s="234" t="inlineStr">
        <x:is>
          <x:t xml:space="preserve">57.jpg</x:t>
        </x:is>
      </x:c>
      <x:c r="C89" s="234" t="inlineStr">
        <x:is>
          <x:t xml:space="preserve">LP057-F92</x:t>
        </x:is>
      </x:c>
      <x:c r="D89" s="234" t="inlineStr">
        <x:is>
          <x:t xml:space="preserve">CSV source spreadsheet; feature-level representation</x:t>
        </x:is>
      </x:c>
      <x:c r="E89" s="234" t="n"/>
      <x:c r="F89" s="234" t="n"/>
      <x:c r="G89" s="234" t="inlineStr">
        <x:is>
          <x:t xml:space="preserve">right-side petal group</x:t>
        </x:is>
      </x:c>
      <x:c r="H89" s="234" t="inlineStr">
        <x:is>
          <x:t xml:space="preserve">Source CSV reports five fully black/filled petals on the right-side spiral/petal motif.</x:t>
        </x:is>
      </x:c>
      <x:c r="I89" s="234" t="n"/>
      <x:c r="J89" s="234" t="n"/>
      <x:c r="K89" s="234" t="n"/>
      <x:c r="L89" s="234" t="n"/>
      <x:c r="M89" s="234" t="n"/>
      <x:c r="N89" s="234" t="n"/>
      <x:c r="O89" s="234" t="n"/>
      <x:c r="P89" s="234" t="n"/>
      <x:c r="Q89" s="234" t="inlineStr">
        <x:is>
          <x:t xml:space="preserve">right side of page</x:t>
        </x:is>
      </x:c>
      <x:c r="R89" s="234" t="n"/>
      <x:c r="S89" s="234" t="n"/>
      <x:c r="T89" s="234" t="n"/>
      <x:c r="U89" s="234" t="n"/>
      <x:c r="V89" s="234" t="n"/>
      <x:c r="W89" s="234" t="n"/>
      <x:c r="X89" s="234" t="inlineStr">
        <x:is>
          <x:t xml:space="preserve">right spiral/petal decoration</x:t>
        </x:is>
      </x:c>
      <x:c r="Y89" s="234" t="n"/>
      <x:c r="Z89" s="234" t="inlineStr">
        <x:is>
          <x:t xml:space="preserve">medium</x:t>
        </x:is>
      </x:c>
      <x:c r="AA89" s="234" t="inlineStr">
        <x:is>
          <x:t xml:space="preserve">CSV_RECORDED_NOT_INDEPENDENTLY_RECOUNTED</x:t>
        </x:is>
      </x:c>
      <x:c r="AB89" s="234" t="inlineStr">
        <x:is>
          <x:t xml:space="preserve">https://github.com/mrroot01011001/Cicada-3301-/blob/main/liber-primus/pages/57.jpg</x:t>
        </x:is>
      </x:c>
      <x:c r="AC89" s="234" t="inlineStr">
        <x:is>
          <x:t xml:space="preserve">https://github.com/mrfentmen/annotated-pages/blob/main/57.jpg</x:t>
        </x:is>
      </x:c>
      <x:c r="AD89" s="234" t="inlineStr">
        <x:is>
          <x:t xml:space="preserve">The zero unfilled petals is implied by the source's '5 full black petals' description; verify visually before treating this as a measured count.</x:t>
        </x:is>
      </x:c>
      <x:c r="AE89" s="234" t="n">
        <x:v>5</x:v>
      </x:c>
      <x:c r="AF89" s="234" t="n">
        <x:v>5</x:v>
      </x:c>
      <x:c r="AG89" s="234" t="n">
        <x:v>0</x:v>
      </x:c>
      <x:c r="AH89" s="234" t="inlineStr">
        <x:is>
          <x:t xml:space="preserve">single_page</x:t>
        </x:is>
      </x:c>
      <x:c r="AI89" s="234" t="inlineStr">
        <x:is>
          <x:t xml:space="preserve">57.JPG</x:t>
        </x:is>
      </x:c>
      <x:c r="AJ89" s="234" t="inlineStr">
        <x:is>
          <x:t xml:space="preserve">CSV-D025</x:t>
        </x:is>
      </x:c>
      <x:c r="AK89" s="234" t="n">
        <x:v>25</x:v>
      </x:c>
      <x:c r="AL89" s="234" t="inlineStr">
        <x:is>
          <x:t xml:space="preserve">SPIRALS AND PETALS</x:t>
        </x:is>
      </x:c>
      <x:c r="AM89" s="234" t="inlineStr">
        <x:is>
          <x:t xml:space="preserve">0</x:t>
        </x:is>
      </x:c>
      <x:c r="AN89" s="234" t="inlineStr">
        <x:is>
          <x:t xml:space="preserve">8</x:t>
        </x:is>
      </x:c>
      <x:c r="AO89" s="234" t="inlineStr">
        <x:is>
          <x:t xml:space="preserve">0</x:t>
        </x:is>
      </x:c>
      <x:c r="AP89" s="234" t="inlineStr">
        <x:is>
          <x:t xml:space="preserve">LEFT AND RIGHT OF THE PAGE</x:t>
        </x:is>
      </x:c>
      <x:c r="AQ89" s="234" t="inlineStr">
        <x:is>
          <x:t xml:space="preserve">0</x:t>
        </x:is>
      </x:c>
      <x:c r="AR89" s="234" t="inlineStr">
        <x:is>
          <x:t xml:space="preserve">SPIRAL AND PETS ON THE RIGHT SIDE HAVE 5 FULL BLACK PETALS BUT ON THE LEFT SIDE THERE ARE 2 WHITE AND 3 BLACK</x:t>
        </x:is>
      </x:c>
      <x:c r="AS89" s="234" t="n"/>
      <x:c r="AT89" s="234" t="inlineStr">
        <x:is>
          <x:t xml:space="preserve">POPULATED_SOURCE_RECORD</x:t>
        </x:is>
      </x:c>
      <x:c r="AU89" s="234" t="inlineStr">
        <x:is>
          <x:t xml:space="preserve">ANNOTATED_IMAGE_AVAILABLE; NEW FEATURE/COUNT NOT INDEPENDENTLY RECOUNTED</x:t>
        </x:is>
      </x:c>
    </x:row>
    <x:row r="90" s="232" customFormat="1" ht="32" customHeight="1">
      <x:c r="A90" s="234" t="n">
        <x:v>58</x:v>
      </x:c>
      <x:c r="B90" s="234" t="n"/>
      <x:c r="C90" s="234" t="inlineStr">
        <x:is>
          <x:t xml:space="preserve">LP058-F90</x:t>
        </x:is>
      </x:c>
      <x:c r="D90" s="234" t="inlineStr">
        <x:is>
          <x:t xml:space="preserve">CSV source spreadsheet; feature-level representation</x:t>
        </x:is>
      </x:c>
      <x:c r="E90" s="234" t="n"/>
      <x:c r="F90" s="234" t="n"/>
      <x:c r="G90" s="234" t="inlineStr">
        <x:is>
          <x:t xml:space="preserve">paired spiral/petal motif (page-level)</x:t>
        </x:is>
      </x:c>
      <x:c r="H90" s="234" t="inlineStr">
        <x:is>
          <x:t xml:space="preserve">Source CSV visual-object label: SPIRALS AND PETALS. Source note: SPIRAL AND PETS ON THE RIGHT SIDE HAVE 5 FULL BLACK PETALS BUT ON THE LEFT SIDE THERE ARE 2 WHITE AND 3 BLACK</x:t>
        </x:is>
      </x:c>
      <x:c r="I90" s="234" t="n"/>
      <x:c r="J90" s="234" t="n"/>
      <x:c r="K90" s="234" t="n"/>
      <x:c r="L90" s="234" t="n"/>
      <x:c r="M90" s="234" t="n"/>
      <x:c r="N90" s="234" t="n"/>
      <x:c r="O90" s="234" t="n"/>
      <x:c r="P90" s="234" t="n"/>
      <x:c r="Q90" s="234" t="inlineStr">
        <x:is>
          <x:t xml:space="preserve">left and right of page</x:t>
        </x:is>
      </x:c>
      <x:c r="R90" s="234" t="n"/>
      <x:c r="S90" s="234" t="n"/>
      <x:c r="T90" s="234" t="n"/>
      <x:c r="U90" s="234" t="n"/>
      <x:c r="V90" s="234" t="n"/>
      <x:c r="W90" s="234" t="n"/>
      <x:c r="X90" s="234" t="inlineStr">
        <x:is>
          <x:t xml:space="preserve">Both margins beside central text; page-level motif summary</x:t>
        </x:is>
      </x:c>
      <x:c r="Y90" s="234" t="n"/>
      <x:c r="Z90" s="234" t="inlineStr">
        <x:is>
          <x:t xml:space="preserve">medium</x:t>
        </x:is>
      </x:c>
      <x:c r="AA90" s="234" t="inlineStr">
        <x:is>
          <x:t xml:space="preserve">CSV_RECORDED_NOT_IMAGE_VERIFIED</x:t>
        </x:is>
      </x:c>
      <x:c r="AB90" s="234" t="inlineStr">
        <x:is>
          <x:t xml:space="preserve">https://github.com/mrroot01011001/Cicada-3301-/tree/main/liber-primus/pages</x:t>
        </x:is>
      </x:c>
      <x:c r="AC90" s="234" t="n"/>
      <x:c r="AD90" s="234" t="inlineStr">
        <x:is>
          <x:t xml:space="preserve">Composite motif row retained alongside left/right component rows. Page-level counts in source fields are context, not counts to sum across every feature row.</x:t>
        </x:is>
      </x:c>
      <x:c r="AE90" s="234" t="n"/>
      <x:c r="AF90" s="234" t="n"/>
      <x:c r="AG90" s="234" t="n"/>
      <x:c r="AH90" s="234" t="inlineStr">
        <x:is>
          <x:t xml:space="preserve">single_page</x:t>
        </x:is>
      </x:c>
      <x:c r="AI90" s="234" t="inlineStr">
        <x:is>
          <x:t xml:space="preserve">58.JPG</x:t>
        </x:is>
      </x:c>
      <x:c r="AJ90" s="234" t="inlineStr">
        <x:is>
          <x:t xml:space="preserve">CSV-D026</x:t>
        </x:is>
      </x:c>
      <x:c r="AK90" s="234" t="n">
        <x:v>26</x:v>
      </x:c>
      <x:c r="AL90" s="234" t="inlineStr">
        <x:is>
          <x:t xml:space="preserve">SPIRALS AND PETALS</x:t>
        </x:is>
      </x:c>
      <x:c r="AM90" s="234" t="inlineStr">
        <x:is>
          <x:t xml:space="preserve">0</x:t>
        </x:is>
      </x:c>
      <x:c r="AN90" s="234" t="inlineStr">
        <x:is>
          <x:t xml:space="preserve">8</x:t>
        </x:is>
      </x:c>
      <x:c r="AO90" s="234" t="inlineStr">
        <x:is>
          <x:t xml:space="preserve">0</x:t>
        </x:is>
      </x:c>
      <x:c r="AP90" s="234" t="inlineStr">
        <x:is>
          <x:t xml:space="preserve">LEFT AND RIGHT OF THE PAGE</x:t>
        </x:is>
      </x:c>
      <x:c r="AQ90" s="234" t="inlineStr">
        <x:is>
          <x:t xml:space="preserve">0</x:t>
        </x:is>
      </x:c>
      <x:c r="AR90" s="234" t="inlineStr">
        <x:is>
          <x:t xml:space="preserve">SPIRAL AND PETS ON THE RIGHT SIDE HAVE 5 FULL BLACK PETALS BUT ON THE LEFT SIDE THERE ARE 2 WHITE AND 3 BLACK</x:t>
        </x:is>
      </x:c>
      <x:c r="AS90" s="234" t="n"/>
      <x:c r="AT90" s="234" t="inlineStr">
        <x:is>
          <x:t xml:space="preserve">POPULATED_SOURCE_RECORD</x:t>
        </x:is>
      </x:c>
      <x:c r="AU90" s="234" t="inlineStr">
        <x:is>
          <x:t xml:space="preserve">NO_ANNOTATED_IMAGE_IN_ANNOTATED_REPOSITORY</x:t>
        </x:is>
      </x:c>
    </x:row>
    <x:row r="91" s="232" customFormat="1" ht="32" customHeight="1">
      <x:c r="A91" s="234" t="n">
        <x:v>58</x:v>
      </x:c>
      <x:c r="B91" s="234" t="n"/>
      <x:c r="C91" s="234" t="inlineStr">
        <x:is>
          <x:t xml:space="preserve">LP058-F91</x:t>
        </x:is>
      </x:c>
      <x:c r="D91" s="234" t="inlineStr">
        <x:is>
          <x:t xml:space="preserve">CSV source spreadsheet; feature-level representation</x:t>
        </x:is>
      </x:c>
      <x:c r="E91" s="234" t="n"/>
      <x:c r="F91" s="234" t="n"/>
      <x:c r="G91" s="234" t="inlineStr">
        <x:is>
          <x:t xml:space="preserve">left-side petal group</x:t>
        </x:is>
      </x:c>
      <x:c r="H91" s="234" t="inlineStr">
        <x:is>
          <x:t xml:space="preserve">Source CSV reports two white/unfilled petals and three black/filled petals on the left-side spiral/petal motif.</x:t>
        </x:is>
      </x:c>
      <x:c r="I91" s="234" t="n"/>
      <x:c r="J91" s="234" t="n"/>
      <x:c r="K91" s="234" t="n"/>
      <x:c r="L91" s="234" t="n"/>
      <x:c r="M91" s="234" t="n"/>
      <x:c r="N91" s="234" t="n"/>
      <x:c r="O91" s="234" t="n"/>
      <x:c r="P91" s="234" t="n"/>
      <x:c r="Q91" s="234" t="inlineStr">
        <x:is>
          <x:t xml:space="preserve">left side of page</x:t>
        </x:is>
      </x:c>
      <x:c r="R91" s="234" t="n"/>
      <x:c r="S91" s="234" t="n"/>
      <x:c r="T91" s="234" t="n"/>
      <x:c r="U91" s="234" t="n"/>
      <x:c r="V91" s="234" t="n"/>
      <x:c r="W91" s="234" t="n"/>
      <x:c r="X91" s="234" t="inlineStr">
        <x:is>
          <x:t xml:space="preserve">left spiral/petal decoration</x:t>
        </x:is>
      </x:c>
      <x:c r="Y91" s="234" t="n"/>
      <x:c r="Z91" s="234" t="inlineStr">
        <x:is>
          <x:t xml:space="preserve">medium</x:t>
        </x:is>
      </x:c>
      <x:c r="AA91" s="234" t="inlineStr">
        <x:is>
          <x:t xml:space="preserve">CSV_RECORDED_NOT_IMAGE_VERIFIED</x:t>
        </x:is>
      </x:c>
      <x:c r="AB91" s="234" t="inlineStr">
        <x:is>
          <x:t xml:space="preserve">https://github.com/mrroot01011001/Cicada-3301-/tree/main/liber-primus/pages</x:t>
        </x:is>
      </x:c>
      <x:c r="AC91" s="234" t="n"/>
      <x:c r="AD91" s="234" t="inlineStr">
        <x:is>
          <x:t xml:space="preserve">Petal counts and filled/unfilled distinctions are preserved from the source notes, not independently counted from image coordinates.</x:t>
        </x:is>
      </x:c>
      <x:c r="AE91" s="234" t="n">
        <x:v>5</x:v>
      </x:c>
      <x:c r="AF91" s="234" t="n">
        <x:v>3</x:v>
      </x:c>
      <x:c r="AG91" s="234" t="n">
        <x:v>2</x:v>
      </x:c>
      <x:c r="AH91" s="234" t="inlineStr">
        <x:is>
          <x:t xml:space="preserve">single_page</x:t>
        </x:is>
      </x:c>
      <x:c r="AI91" s="234" t="inlineStr">
        <x:is>
          <x:t xml:space="preserve">58.JPG</x:t>
        </x:is>
      </x:c>
      <x:c r="AJ91" s="234" t="inlineStr">
        <x:is>
          <x:t xml:space="preserve">CSV-D026</x:t>
        </x:is>
      </x:c>
      <x:c r="AK91" s="234" t="n">
        <x:v>26</x:v>
      </x:c>
      <x:c r="AL91" s="234" t="inlineStr">
        <x:is>
          <x:t xml:space="preserve">SPIRALS AND PETALS</x:t>
        </x:is>
      </x:c>
      <x:c r="AM91" s="234" t="inlineStr">
        <x:is>
          <x:t xml:space="preserve">0</x:t>
        </x:is>
      </x:c>
      <x:c r="AN91" s="234" t="inlineStr">
        <x:is>
          <x:t xml:space="preserve">8</x:t>
        </x:is>
      </x:c>
      <x:c r="AO91" s="234" t="inlineStr">
        <x:is>
          <x:t xml:space="preserve">0</x:t>
        </x:is>
      </x:c>
      <x:c r="AP91" s="234" t="inlineStr">
        <x:is>
          <x:t xml:space="preserve">LEFT AND RIGHT OF THE PAGE</x:t>
        </x:is>
      </x:c>
      <x:c r="AQ91" s="234" t="inlineStr">
        <x:is>
          <x:t xml:space="preserve">0</x:t>
        </x:is>
      </x:c>
      <x:c r="AR91" s="234" t="inlineStr">
        <x:is>
          <x:t xml:space="preserve">SPIRAL AND PETS ON THE RIGHT SIDE HAVE 5 FULL BLACK PETALS BUT ON THE LEFT SIDE THERE ARE 2 WHITE AND 3 BLACK</x:t>
        </x:is>
      </x:c>
      <x:c r="AS91" s="234" t="n"/>
      <x:c r="AT91" s="234" t="inlineStr">
        <x:is>
          <x:t xml:space="preserve">POPULATED_SOURCE_RECORD</x:t>
        </x:is>
      </x:c>
      <x:c r="AU91" s="234" t="inlineStr">
        <x:is>
          <x:t xml:space="preserve">NO_ANNOTATED_IMAGE_IN_ANNOTATED_REPOSITORY</x:t>
        </x:is>
      </x:c>
    </x:row>
    <x:row r="92" s="232" customFormat="1" ht="32" customHeight="1">
      <x:c r="A92" s="234" t="n">
        <x:v>58</x:v>
      </x:c>
      <x:c r="B92" s="234" t="n"/>
      <x:c r="C92" s="234" t="inlineStr">
        <x:is>
          <x:t xml:space="preserve">LP058-F92</x:t>
        </x:is>
      </x:c>
      <x:c r="D92" s="234" t="inlineStr">
        <x:is>
          <x:t xml:space="preserve">CSV source spreadsheet; feature-level representation</x:t>
        </x:is>
      </x:c>
      <x:c r="E92" s="234" t="n"/>
      <x:c r="F92" s="234" t="n"/>
      <x:c r="G92" s="234" t="inlineStr">
        <x:is>
          <x:t xml:space="preserve">right-side petal group</x:t>
        </x:is>
      </x:c>
      <x:c r="H92" s="234" t="inlineStr">
        <x:is>
          <x:t xml:space="preserve">Source CSV reports five fully black/filled petals on the right-side spiral/petal motif.</x:t>
        </x:is>
      </x:c>
      <x:c r="I92" s="234" t="n"/>
      <x:c r="J92" s="234" t="n"/>
      <x:c r="K92" s="234" t="n"/>
      <x:c r="L92" s="234" t="n"/>
      <x:c r="M92" s="234" t="n"/>
      <x:c r="N92" s="234" t="n"/>
      <x:c r="O92" s="234" t="n"/>
      <x:c r="P92" s="234" t="n"/>
      <x:c r="Q92" s="234" t="inlineStr">
        <x:is>
          <x:t xml:space="preserve">right side of page</x:t>
        </x:is>
      </x:c>
      <x:c r="R92" s="234" t="n"/>
      <x:c r="S92" s="234" t="n"/>
      <x:c r="T92" s="234" t="n"/>
      <x:c r="U92" s="234" t="n"/>
      <x:c r="V92" s="234" t="n"/>
      <x:c r="W92" s="234" t="n"/>
      <x:c r="X92" s="234" t="inlineStr">
        <x:is>
          <x:t xml:space="preserve">right spiral/petal decoration</x:t>
        </x:is>
      </x:c>
      <x:c r="Y92" s="234" t="n"/>
      <x:c r="Z92" s="234" t="inlineStr">
        <x:is>
          <x:t xml:space="preserve">medium</x:t>
        </x:is>
      </x:c>
      <x:c r="AA92" s="234" t="inlineStr">
        <x:is>
          <x:t xml:space="preserve">CSV_RECORDED_NOT_IMAGE_VERIFIED</x:t>
        </x:is>
      </x:c>
      <x:c r="AB92" s="234" t="inlineStr">
        <x:is>
          <x:t xml:space="preserve">https://github.com/mrroot01011001/Cicada-3301-/tree/main/liber-primus/pages</x:t>
        </x:is>
      </x:c>
      <x:c r="AC92" s="234" t="n"/>
      <x:c r="AD92" s="234" t="inlineStr">
        <x:is>
          <x:t xml:space="preserve">The zero unfilled petals is implied by the source's '5 full black petals' description; verify visually before treating this as a measured count.</x:t>
        </x:is>
      </x:c>
      <x:c r="AE92" s="234" t="n">
        <x:v>5</x:v>
      </x:c>
      <x:c r="AF92" s="234" t="n">
        <x:v>5</x:v>
      </x:c>
      <x:c r="AG92" s="234" t="n">
        <x:v>0</x:v>
      </x:c>
      <x:c r="AH92" s="234" t="inlineStr">
        <x:is>
          <x:t xml:space="preserve">single_page</x:t>
        </x:is>
      </x:c>
      <x:c r="AI92" s="234" t="inlineStr">
        <x:is>
          <x:t xml:space="preserve">58.JPG</x:t>
        </x:is>
      </x:c>
      <x:c r="AJ92" s="234" t="inlineStr">
        <x:is>
          <x:t xml:space="preserve">CSV-D026</x:t>
        </x:is>
      </x:c>
      <x:c r="AK92" s="234" t="n">
        <x:v>26</x:v>
      </x:c>
      <x:c r="AL92" s="234" t="inlineStr">
        <x:is>
          <x:t xml:space="preserve">SPIRALS AND PETALS</x:t>
        </x:is>
      </x:c>
      <x:c r="AM92" s="234" t="inlineStr">
        <x:is>
          <x:t xml:space="preserve">0</x:t>
        </x:is>
      </x:c>
      <x:c r="AN92" s="234" t="inlineStr">
        <x:is>
          <x:t xml:space="preserve">8</x:t>
        </x:is>
      </x:c>
      <x:c r="AO92" s="234" t="inlineStr">
        <x:is>
          <x:t xml:space="preserve">0</x:t>
        </x:is>
      </x:c>
      <x:c r="AP92" s="234" t="inlineStr">
        <x:is>
          <x:t xml:space="preserve">LEFT AND RIGHT OF THE PAGE</x:t>
        </x:is>
      </x:c>
      <x:c r="AQ92" s="234" t="inlineStr">
        <x:is>
          <x:t xml:space="preserve">0</x:t>
        </x:is>
      </x:c>
      <x:c r="AR92" s="234" t="inlineStr">
        <x:is>
          <x:t xml:space="preserve">SPIRAL AND PETS ON THE RIGHT SIDE HAVE 5 FULL BLACK PETALS BUT ON THE LEFT SIDE THERE ARE 2 WHITE AND 3 BLACK</x:t>
        </x:is>
      </x:c>
      <x:c r="AS92" s="234" t="n"/>
      <x:c r="AT92" s="234" t="inlineStr">
        <x:is>
          <x:t xml:space="preserve">POPULATED_SOURCE_RECORD</x:t>
        </x:is>
      </x:c>
      <x:c r="AU92" s="234" t="inlineStr">
        <x:is>
          <x:t xml:space="preserve">NO_ANNOTATED_IMAGE_IN_ANNOTATED_REPOSITORY</x:t>
        </x:is>
      </x:c>
    </x:row>
    <x:row r="93" s="232" customFormat="1" ht="32" customHeight="1">
      <x:c r="A93" s="234" t="n">
        <x:v>58</x:v>
      </x:c>
      <x:c r="B93" s="234" t="n"/>
      <x:c r="C93" s="234" t="inlineStr">
        <x:is>
          <x:t xml:space="preserve">LP058-F93</x:t>
        </x:is>
      </x:c>
      <x:c r="D93" s="234" t="inlineStr">
        <x:is>
          <x:t xml:space="preserve">CSV source spreadsheet; feature-level representation</x:t>
        </x:is>
      </x:c>
      <x:c r="E93" s="234" t="n"/>
      <x:c r="F93" s="234" t="n"/>
      <x:c r="G93" s="234" t="inlineStr">
        <x:is>
          <x:t xml:space="preserve">left-side plant/root/spiral ornament</x:t>
        </x:is>
      </x:c>
      <x:c r="H93" s="234" t="inlineStr">
        <x:is>
          <x:t xml:space="preserve">Source CSV lists paired spiral/petal artwork on both sides. This row records the left-side motif as a separate spatial feature; detailed branches, roots, and endpoints have not been measured.</x:t>
        </x:is>
      </x:c>
      <x:c r="I93" s="234" t="n"/>
      <x:c r="J93" s="234" t="n"/>
      <x:c r="K93" s="234" t="n"/>
      <x:c r="L93" s="234" t="n"/>
      <x:c r="M93" s="234" t="n"/>
      <x:c r="N93" s="234" t="n"/>
      <x:c r="O93" s="234" t="n"/>
      <x:c r="P93" s="234" t="n"/>
      <x:c r="Q93" s="234" t="inlineStr">
        <x:is>
          <x:t xml:space="preserve">left side of page</x:t>
        </x:is>
      </x:c>
      <x:c r="R93" s="234" t="n"/>
      <x:c r="S93" s="234" t="n"/>
      <x:c r="T93" s="234" t="n"/>
      <x:c r="U93" s="234" t="n"/>
      <x:c r="V93" s="234" t="n"/>
      <x:c r="W93" s="234" t="n"/>
      <x:c r="X93" s="234" t="inlineStr">
        <x:is>
          <x:t xml:space="preserve">left margin beside glyph block</x:t>
        </x:is>
      </x:c>
      <x:c r="Y93" s="234" t="n"/>
      <x:c r="Z93" s="234" t="inlineStr">
        <x:is>
          <x:t xml:space="preserve">medium</x:t>
        </x:is>
      </x:c>
      <x:c r="AA93" s="234" t="inlineStr">
        <x:is>
          <x:t xml:space="preserve">CSV_RECORDED_NOT_IMAGE_VERIFIED</x:t>
        </x:is>
      </x:c>
      <x:c r="AB93" s="234" t="inlineStr">
        <x:is>
          <x:t xml:space="preserve">https://github.com/mrroot01011001/Cicada-3301-/tree/main/liber-primus/pages</x:t>
        </x:is>
      </x:c>
      <x:c r="AC93" s="234" t="n"/>
      <x:c r="AD93" s="234" t="inlineStr">
        <x:is>
          <x:t xml:space="preserve">No corresponding annotated image is present in the annotated-pages repository; retain source observation without adding unverified geometry.</x:t>
        </x:is>
      </x:c>
      <x:c r="AE93" s="234" t="n"/>
      <x:c r="AF93" s="234" t="n"/>
      <x:c r="AG93" s="234" t="n"/>
      <x:c r="AH93" s="234" t="inlineStr">
        <x:is>
          <x:t xml:space="preserve">single_page</x:t>
        </x:is>
      </x:c>
      <x:c r="AI93" s="234" t="inlineStr">
        <x:is>
          <x:t xml:space="preserve">58.JPG</x:t>
        </x:is>
      </x:c>
      <x:c r="AJ93" s="234" t="inlineStr">
        <x:is>
          <x:t xml:space="preserve">CSV-D026</x:t>
        </x:is>
      </x:c>
      <x:c r="AK93" s="234" t="n">
        <x:v>26</x:v>
      </x:c>
      <x:c r="AL93" s="234" t="inlineStr">
        <x:is>
          <x:t xml:space="preserve">SPIRALS AND PETALS</x:t>
        </x:is>
      </x:c>
      <x:c r="AM93" s="234" t="inlineStr">
        <x:is>
          <x:t xml:space="preserve">0</x:t>
        </x:is>
      </x:c>
      <x:c r="AN93" s="234" t="inlineStr">
        <x:is>
          <x:t xml:space="preserve">8</x:t>
        </x:is>
      </x:c>
      <x:c r="AO93" s="234" t="inlineStr">
        <x:is>
          <x:t xml:space="preserve">0</x:t>
        </x:is>
      </x:c>
      <x:c r="AP93" s="234" t="inlineStr">
        <x:is>
          <x:t xml:space="preserve">LEFT AND RIGHT OF THE PAGE</x:t>
        </x:is>
      </x:c>
      <x:c r="AQ93" s="234" t="inlineStr">
        <x:is>
          <x:t xml:space="preserve">0</x:t>
        </x:is>
      </x:c>
      <x:c r="AR93" s="234" t="inlineStr">
        <x:is>
          <x:t xml:space="preserve">SPIRAL AND PETS ON THE RIGHT SIDE HAVE 5 FULL BLACK PETALS BUT ON THE LEFT SIDE THERE ARE 2 WHITE AND 3 BLACK</x:t>
        </x:is>
      </x:c>
      <x:c r="AS93" s="234" t="n"/>
      <x:c r="AT93" s="234" t="inlineStr">
        <x:is>
          <x:t xml:space="preserve">POPULATED_SOURCE_RECORD</x:t>
        </x:is>
      </x:c>
      <x:c r="AU93" s="234" t="inlineStr">
        <x:is>
          <x:t xml:space="preserve">NO_ANNOTATED_IMAGE_IN_ANNOTATED_REPOSITORY</x:t>
        </x:is>
      </x:c>
    </x:row>
    <x:row r="94" s="232" customFormat="1" ht="32" customHeight="1">
      <x:c r="A94" s="234" t="n">
        <x:v>58</x:v>
      </x:c>
      <x:c r="B94" s="234" t="n"/>
      <x:c r="C94" s="234" t="inlineStr">
        <x:is>
          <x:t xml:space="preserve">LP058-F94</x:t>
        </x:is>
      </x:c>
      <x:c r="D94" s="234" t="inlineStr">
        <x:is>
          <x:t xml:space="preserve">CSV source spreadsheet; feature-level representation</x:t>
        </x:is>
      </x:c>
      <x:c r="E94" s="234" t="n"/>
      <x:c r="F94" s="234" t="n"/>
      <x:c r="G94" s="234" t="inlineStr">
        <x:is>
          <x:t xml:space="preserve">right-side plant/root/spiral ornament</x:t>
        </x:is>
      </x:c>
      <x:c r="H94" s="234" t="inlineStr">
        <x:is>
          <x:t xml:space="preserve">Source CSV lists paired spiral/petal artwork on both sides. This row records the right-side motif as a separate spatial feature; detailed branches, roots, and endpoints have not been measured.</x:t>
        </x:is>
      </x:c>
      <x:c r="I94" s="234" t="n"/>
      <x:c r="J94" s="234" t="n"/>
      <x:c r="K94" s="234" t="n"/>
      <x:c r="L94" s="234" t="n"/>
      <x:c r="M94" s="234" t="n"/>
      <x:c r="N94" s="234" t="n"/>
      <x:c r="O94" s="234" t="n"/>
      <x:c r="P94" s="234" t="n"/>
      <x:c r="Q94" s="234" t="inlineStr">
        <x:is>
          <x:t xml:space="preserve">right side of page</x:t>
        </x:is>
      </x:c>
      <x:c r="R94" s="234" t="n"/>
      <x:c r="S94" s="234" t="n"/>
      <x:c r="T94" s="234" t="n"/>
      <x:c r="U94" s="234" t="n"/>
      <x:c r="V94" s="234" t="n"/>
      <x:c r="W94" s="234" t="n"/>
      <x:c r="X94" s="234" t="inlineStr">
        <x:is>
          <x:t xml:space="preserve">right margin beside glyph block</x:t>
        </x:is>
      </x:c>
      <x:c r="Y94" s="234" t="n"/>
      <x:c r="Z94" s="234" t="inlineStr">
        <x:is>
          <x:t xml:space="preserve">medium</x:t>
        </x:is>
      </x:c>
      <x:c r="AA94" s="234" t="inlineStr">
        <x:is>
          <x:t xml:space="preserve">CSV_RECORDED_NOT_IMAGE_VERIFIED</x:t>
        </x:is>
      </x:c>
      <x:c r="AB94" s="234" t="inlineStr">
        <x:is>
          <x:t xml:space="preserve">https://github.com/mrroot01011001/Cicada-3301-/tree/main/liber-primus/pages</x:t>
        </x:is>
      </x:c>
      <x:c r="AC94" s="234" t="n"/>
      <x:c r="AD94" s="234" t="inlineStr">
        <x:is>
          <x:t xml:space="preserve">No corresponding annotated image is present in the annotated-pages repository; retain source observation without adding unverified geometry.</x:t>
        </x:is>
      </x:c>
      <x:c r="AE94" s="234" t="n"/>
      <x:c r="AF94" s="234" t="n"/>
      <x:c r="AG94" s="234" t="n"/>
      <x:c r="AH94" s="234" t="inlineStr">
        <x:is>
          <x:t xml:space="preserve">single_page</x:t>
        </x:is>
      </x:c>
      <x:c r="AI94" s="234" t="inlineStr">
        <x:is>
          <x:t xml:space="preserve">58.JPG</x:t>
        </x:is>
      </x:c>
      <x:c r="AJ94" s="234" t="inlineStr">
        <x:is>
          <x:t xml:space="preserve">CSV-D026</x:t>
        </x:is>
      </x:c>
      <x:c r="AK94" s="234" t="n">
        <x:v>26</x:v>
      </x:c>
      <x:c r="AL94" s="234" t="inlineStr">
        <x:is>
          <x:t xml:space="preserve">SPIRALS AND PETALS</x:t>
        </x:is>
      </x:c>
      <x:c r="AM94" s="234" t="inlineStr">
        <x:is>
          <x:t xml:space="preserve">0</x:t>
        </x:is>
      </x:c>
      <x:c r="AN94" s="234" t="inlineStr">
        <x:is>
          <x:t xml:space="preserve">8</x:t>
        </x:is>
      </x:c>
      <x:c r="AO94" s="234" t="inlineStr">
        <x:is>
          <x:t xml:space="preserve">0</x:t>
        </x:is>
      </x:c>
      <x:c r="AP94" s="234" t="inlineStr">
        <x:is>
          <x:t xml:space="preserve">LEFT AND RIGHT OF THE PAGE</x:t>
        </x:is>
      </x:c>
      <x:c r="AQ94" s="234" t="inlineStr">
        <x:is>
          <x:t xml:space="preserve">0</x:t>
        </x:is>
      </x:c>
      <x:c r="AR94" s="234" t="inlineStr">
        <x:is>
          <x:t xml:space="preserve">SPIRAL AND PETS ON THE RIGHT SIDE HAVE 5 FULL BLACK PETALS BUT ON THE LEFT SIDE THERE ARE 2 WHITE AND 3 BLACK</x:t>
        </x:is>
      </x:c>
      <x:c r="AS94" s="234" t="n"/>
      <x:c r="AT94" s="234" t="inlineStr">
        <x:is>
          <x:t xml:space="preserve">POPULATED_SOURCE_RECORD</x:t>
        </x:is>
      </x:c>
      <x:c r="AU94" s="234" t="inlineStr">
        <x:is>
          <x:t xml:space="preserve">NO_ANNOTATED_IMAGE_IN_ANNOTATED_REPOSITORY</x:t>
        </x:is>
      </x:c>
    </x:row>
    <x:row r="95" s="232" customFormat="1" ht="32" customHeight="1">
      <x:c r="A95" s="234" t="n">
        <x:v>58</x:v>
      </x:c>
      <x:c r="B95" s="234" t="n"/>
      <x:c r="C95" s="234" t="inlineStr">
        <x:is>
          <x:t xml:space="preserve">LP058-F95</x:t>
        </x:is>
      </x:c>
      <x:c r="D95" s="234" t="inlineStr">
        <x:is>
          <x:t xml:space="preserve">CSV source spreadsheet; feature-level representation</x:t>
        </x:is>
      </x:c>
      <x:c r="E95" s="234" t="n"/>
      <x:c r="F95" s="234" t="n"/>
      <x:c r="G95" s="234" t="inlineStr">
        <x:is>
          <x:t xml:space="preserve">external dot count (page aggregate; cluster positions unknown)</x:t>
        </x:is>
      </x:c>
      <x:c r="H95" s="234" t="inlineStr">
        <x:is>
          <x:t xml:space="preserve">Source CSV records eight external dots for this page's paired spiral/petal decoration; individual cluster positions are not separately recorded in the source row.</x:t>
        </x:is>
      </x:c>
      <x:c r="I95" s="234" t="n">
        <x:v>8</x:v>
      </x:c>
      <x:c r="J95" s="234" t="n"/>
      <x:c r="K95" s="234" t="n">
        <x:v>8</x:v>
      </x:c>
      <x:c r="L95" s="234" t="n"/>
      <x:c r="M95" s="234" t="n"/>
      <x:c r="N95" s="234" t="n"/>
      <x:c r="O95" s="234" t="n"/>
      <x:c r="P95" s="234" t="n"/>
      <x:c r="Q95" s="234" t="inlineStr">
        <x:is>
          <x:t xml:space="preserve">left and right of page</x:t>
        </x:is>
      </x:c>
      <x:c r="R95" s="234" t="n"/>
      <x:c r="S95" s="234" t="n"/>
      <x:c r="T95" s="234" t="n"/>
      <x:c r="U95" s="234" t="n"/>
      <x:c r="V95" s="234" t="n"/>
      <x:c r="W95" s="234" t="n"/>
      <x:c r="X95" s="234" t="inlineStr">
        <x:is>
          <x:t xml:space="preserve">Paired spiral/petal decoration; cluster allocation unknown</x:t>
        </x:is>
      </x:c>
      <x:c r="Y95" s="234" t="n"/>
      <x:c r="Z95" s="234" t="inlineStr">
        <x:is>
          <x:t xml:space="preserve">medium</x:t>
        </x:is>
      </x:c>
      <x:c r="AA95" s="234" t="inlineStr">
        <x:is>
          <x:t xml:space="preserve">CSV_RECORDED_NOT_IMAGE_VERIFIED</x:t>
        </x:is>
      </x:c>
      <x:c r="AB95" s="234" t="inlineStr">
        <x:is>
          <x:t xml:space="preserve">https://github.com/mrroot01011001/Cicada-3301-/tree/main/liber-primus/pages</x:t>
        </x:is>
      </x:c>
      <x:c r="AC95" s="234" t="n"/>
      <x:c r="AD95" s="234" t="inlineStr">
        <x:is>
          <x:t xml:space="preserve">Do not infer an exact left/right split from this aggregate; pages 57 and 68 have separate annotated dot-cluster records.</x:t>
        </x:is>
      </x:c>
      <x:c r="AE95" s="234" t="n"/>
      <x:c r="AF95" s="234" t="n"/>
      <x:c r="AG95" s="234" t="n"/>
      <x:c r="AH95" s="234" t="inlineStr">
        <x:is>
          <x:t xml:space="preserve">single_page</x:t>
        </x:is>
      </x:c>
      <x:c r="AI95" s="234" t="inlineStr">
        <x:is>
          <x:t xml:space="preserve">58.JPG</x:t>
        </x:is>
      </x:c>
      <x:c r="AJ95" s="234" t="inlineStr">
        <x:is>
          <x:t xml:space="preserve">CSV-D026</x:t>
        </x:is>
      </x:c>
      <x:c r="AK95" s="234" t="n">
        <x:v>26</x:v>
      </x:c>
      <x:c r="AL95" s="234" t="inlineStr">
        <x:is>
          <x:t xml:space="preserve">SPIRALS AND PETALS</x:t>
        </x:is>
      </x:c>
      <x:c r="AM95" s="234" t="inlineStr">
        <x:is>
          <x:t xml:space="preserve">0</x:t>
        </x:is>
      </x:c>
      <x:c r="AN95" s="234" t="inlineStr">
        <x:is>
          <x:t xml:space="preserve">8</x:t>
        </x:is>
      </x:c>
      <x:c r="AO95" s="234" t="inlineStr">
        <x:is>
          <x:t xml:space="preserve">0</x:t>
        </x:is>
      </x:c>
      <x:c r="AP95" s="234" t="inlineStr">
        <x:is>
          <x:t xml:space="preserve">LEFT AND RIGHT OF THE PAGE</x:t>
        </x:is>
      </x:c>
      <x:c r="AQ95" s="234" t="inlineStr">
        <x:is>
          <x:t xml:space="preserve">0</x:t>
        </x:is>
      </x:c>
      <x:c r="AR95" s="234" t="inlineStr">
        <x:is>
          <x:t xml:space="preserve">SPIRAL AND PETS ON THE RIGHT SIDE HAVE 5 FULL BLACK PETALS BUT ON THE LEFT SIDE THERE ARE 2 WHITE AND 3 BLACK</x:t>
        </x:is>
      </x:c>
      <x:c r="AS95" s="234" t="n"/>
      <x:c r="AT95" s="234" t="inlineStr">
        <x:is>
          <x:t xml:space="preserve">POPULATED_SOURCE_RECORD</x:t>
        </x:is>
      </x:c>
      <x:c r="AU95" s="234" t="inlineStr">
        <x:is>
          <x:t xml:space="preserve">NO_ANNOTATED_IMAGE_IN_ANNOTATED_REPOSITORY</x:t>
        </x:is>
      </x:c>
    </x:row>
    <x:row r="96" s="232" customFormat="1" ht="32" customHeight="1">
      <x:c r="A96" s="234" t="n">
        <x:v>59</x:v>
      </x:c>
      <x:c r="B96" s="234" t="n"/>
      <x:c r="C96" s="234" t="inlineStr">
        <x:is>
          <x:t xml:space="preserve">LP059-F90</x:t>
        </x:is>
      </x:c>
      <x:c r="D96" s="234" t="inlineStr">
        <x:is>
          <x:t xml:space="preserve">CSV source spreadsheet; feature-level representation</x:t>
        </x:is>
      </x:c>
      <x:c r="E96" s="234" t="n"/>
      <x:c r="F96" s="234" t="n"/>
      <x:c r="G96" s="234" t="inlineStr">
        <x:is>
          <x:t xml:space="preserve">paired spiral/petal motif (page-level)</x:t>
        </x:is>
      </x:c>
      <x:c r="H96" s="234" t="inlineStr">
        <x:is>
          <x:t xml:space="preserve">Source CSV visual-object label: SPIRALS AND PETALS. Source note: SPIRAL AND PETS ON THE RIGHT SIDE HAVE 5 FULL BLACK PETALS BUT ON THE LEFT SIDE THERE ARE 2 WHITE AND 3 BLACK</x:t>
        </x:is>
      </x:c>
      <x:c r="I96" s="234" t="n"/>
      <x:c r="J96" s="234" t="n"/>
      <x:c r="K96" s="234" t="n"/>
      <x:c r="L96" s="234" t="n"/>
      <x:c r="M96" s="234" t="n"/>
      <x:c r="N96" s="234" t="n"/>
      <x:c r="O96" s="234" t="n"/>
      <x:c r="P96" s="234" t="n"/>
      <x:c r="Q96" s="234" t="inlineStr">
        <x:is>
          <x:t xml:space="preserve">left and right of page</x:t>
        </x:is>
      </x:c>
      <x:c r="R96" s="234" t="n"/>
      <x:c r="S96" s="234" t="n"/>
      <x:c r="T96" s="234" t="n"/>
      <x:c r="U96" s="234" t="n"/>
      <x:c r="V96" s="234" t="n"/>
      <x:c r="W96" s="234" t="n"/>
      <x:c r="X96" s="234" t="inlineStr">
        <x:is>
          <x:t xml:space="preserve">Both margins beside central text; page-level motif summary</x:t>
        </x:is>
      </x:c>
      <x:c r="Y96" s="234" t="n"/>
      <x:c r="Z96" s="234" t="inlineStr">
        <x:is>
          <x:t xml:space="preserve">medium</x:t>
        </x:is>
      </x:c>
      <x:c r="AA96" s="234" t="inlineStr">
        <x:is>
          <x:t xml:space="preserve">CSV_RECORDED_NOT_IMAGE_VERIFIED</x:t>
        </x:is>
      </x:c>
      <x:c r="AB96" s="234" t="inlineStr">
        <x:is>
          <x:t xml:space="preserve">https://github.com/mrroot01011001/Cicada-3301-/tree/main/liber-primus/pages</x:t>
        </x:is>
      </x:c>
      <x:c r="AC96" s="234" t="n"/>
      <x:c r="AD96" s="234" t="inlineStr">
        <x:is>
          <x:t xml:space="preserve">Composite motif row retained alongside left/right component rows. Page-level counts in source fields are context, not counts to sum across every feature row.</x:t>
        </x:is>
      </x:c>
      <x:c r="AE96" s="234" t="n"/>
      <x:c r="AF96" s="234" t="n"/>
      <x:c r="AG96" s="234" t="n"/>
      <x:c r="AH96" s="234" t="inlineStr">
        <x:is>
          <x:t xml:space="preserve">single_page</x:t>
        </x:is>
      </x:c>
      <x:c r="AI96" s="234" t="inlineStr">
        <x:is>
          <x:t xml:space="preserve">59.JPG</x:t>
        </x:is>
      </x:c>
      <x:c r="AJ96" s="234" t="inlineStr">
        <x:is>
          <x:t xml:space="preserve">CSV-D027</x:t>
        </x:is>
      </x:c>
      <x:c r="AK96" s="234" t="n">
        <x:v>27</x:v>
      </x:c>
      <x:c r="AL96" s="234" t="inlineStr">
        <x:is>
          <x:t xml:space="preserve">SPIRALS AND PETALS</x:t>
        </x:is>
      </x:c>
      <x:c r="AM96" s="234" t="inlineStr">
        <x:is>
          <x:t xml:space="preserve">0</x:t>
        </x:is>
      </x:c>
      <x:c r="AN96" s="234" t="inlineStr">
        <x:is>
          <x:t xml:space="preserve">8</x:t>
        </x:is>
      </x:c>
      <x:c r="AO96" s="234" t="inlineStr">
        <x:is>
          <x:t xml:space="preserve">0</x:t>
        </x:is>
      </x:c>
      <x:c r="AP96" s="234" t="inlineStr">
        <x:is>
          <x:t xml:space="preserve">LEFT AND RIGHT OF THE PAGE</x:t>
        </x:is>
      </x:c>
      <x:c r="AQ96" s="234" t="inlineStr">
        <x:is>
          <x:t xml:space="preserve">0</x:t>
        </x:is>
      </x:c>
      <x:c r="AR96" s="234" t="inlineStr">
        <x:is>
          <x:t xml:space="preserve">SPIRAL AND PETS ON THE RIGHT SIDE HAVE 5 FULL BLACK PETALS BUT ON THE LEFT SIDE THERE ARE 2 WHITE AND 3 BLACK</x:t>
        </x:is>
      </x:c>
      <x:c r="AS96" s="234" t="n"/>
      <x:c r="AT96" s="234" t="inlineStr">
        <x:is>
          <x:t xml:space="preserve">POPULATED_SOURCE_RECORD</x:t>
        </x:is>
      </x:c>
      <x:c r="AU96" s="234" t="inlineStr">
        <x:is>
          <x:t xml:space="preserve">NO_ANNOTATED_IMAGE_IN_ANNOTATED_REPOSITORY</x:t>
        </x:is>
      </x:c>
    </x:row>
    <x:row r="97" s="232" customFormat="1" ht="32" customHeight="1">
      <x:c r="A97" s="234" t="n">
        <x:v>59</x:v>
      </x:c>
      <x:c r="B97" s="234" t="n"/>
      <x:c r="C97" s="234" t="inlineStr">
        <x:is>
          <x:t xml:space="preserve">LP059-F91</x:t>
        </x:is>
      </x:c>
      <x:c r="D97" s="234" t="inlineStr">
        <x:is>
          <x:t xml:space="preserve">CSV source spreadsheet; feature-level representation</x:t>
        </x:is>
      </x:c>
      <x:c r="E97" s="234" t="n"/>
      <x:c r="F97" s="234" t="n"/>
      <x:c r="G97" s="234" t="inlineStr">
        <x:is>
          <x:t xml:space="preserve">left-side petal group</x:t>
        </x:is>
      </x:c>
      <x:c r="H97" s="234" t="inlineStr">
        <x:is>
          <x:t xml:space="preserve">Source CSV reports two white/unfilled petals and three black/filled petals on the left-side spiral/petal motif.</x:t>
        </x:is>
      </x:c>
      <x:c r="I97" s="234" t="n"/>
      <x:c r="J97" s="234" t="n"/>
      <x:c r="K97" s="234" t="n"/>
      <x:c r="L97" s="234" t="n"/>
      <x:c r="M97" s="234" t="n"/>
      <x:c r="N97" s="234" t="n"/>
      <x:c r="O97" s="234" t="n"/>
      <x:c r="P97" s="234" t="n"/>
      <x:c r="Q97" s="234" t="inlineStr">
        <x:is>
          <x:t xml:space="preserve">left side of page</x:t>
        </x:is>
      </x:c>
      <x:c r="R97" s="234" t="n"/>
      <x:c r="S97" s="234" t="n"/>
      <x:c r="T97" s="234" t="n"/>
      <x:c r="U97" s="234" t="n"/>
      <x:c r="V97" s="234" t="n"/>
      <x:c r="W97" s="234" t="n"/>
      <x:c r="X97" s="234" t="inlineStr">
        <x:is>
          <x:t xml:space="preserve">left spiral/petal decoration</x:t>
        </x:is>
      </x:c>
      <x:c r="Y97" s="234" t="n"/>
      <x:c r="Z97" s="234" t="inlineStr">
        <x:is>
          <x:t xml:space="preserve">medium</x:t>
        </x:is>
      </x:c>
      <x:c r="AA97" s="234" t="inlineStr">
        <x:is>
          <x:t xml:space="preserve">CSV_RECORDED_NOT_IMAGE_VERIFIED</x:t>
        </x:is>
      </x:c>
      <x:c r="AB97" s="234" t="inlineStr">
        <x:is>
          <x:t xml:space="preserve">https://github.com/mrroot01011001/Cicada-3301-/tree/main/liber-primus/pages</x:t>
        </x:is>
      </x:c>
      <x:c r="AC97" s="234" t="n"/>
      <x:c r="AD97" s="234" t="inlineStr">
        <x:is>
          <x:t xml:space="preserve">Petal counts and filled/unfilled distinctions are preserved from the source notes, not independently counted from image coordinates.</x:t>
        </x:is>
      </x:c>
      <x:c r="AE97" s="234" t="n">
        <x:v>5</x:v>
      </x:c>
      <x:c r="AF97" s="234" t="n">
        <x:v>3</x:v>
      </x:c>
      <x:c r="AG97" s="234" t="n">
        <x:v>2</x:v>
      </x:c>
      <x:c r="AH97" s="234" t="inlineStr">
        <x:is>
          <x:t xml:space="preserve">single_page</x:t>
        </x:is>
      </x:c>
      <x:c r="AI97" s="234" t="inlineStr">
        <x:is>
          <x:t xml:space="preserve">59.JPG</x:t>
        </x:is>
      </x:c>
      <x:c r="AJ97" s="234" t="inlineStr">
        <x:is>
          <x:t xml:space="preserve">CSV-D027</x:t>
        </x:is>
      </x:c>
      <x:c r="AK97" s="234" t="n">
        <x:v>27</x:v>
      </x:c>
      <x:c r="AL97" s="234" t="inlineStr">
        <x:is>
          <x:t xml:space="preserve">SPIRALS AND PETALS</x:t>
        </x:is>
      </x:c>
      <x:c r="AM97" s="234" t="inlineStr">
        <x:is>
          <x:t xml:space="preserve">0</x:t>
        </x:is>
      </x:c>
      <x:c r="AN97" s="234" t="inlineStr">
        <x:is>
          <x:t xml:space="preserve">8</x:t>
        </x:is>
      </x:c>
      <x:c r="AO97" s="234" t="inlineStr">
        <x:is>
          <x:t xml:space="preserve">0</x:t>
        </x:is>
      </x:c>
      <x:c r="AP97" s="234" t="inlineStr">
        <x:is>
          <x:t xml:space="preserve">LEFT AND RIGHT OF THE PAGE</x:t>
        </x:is>
      </x:c>
      <x:c r="AQ97" s="234" t="inlineStr">
        <x:is>
          <x:t xml:space="preserve">0</x:t>
        </x:is>
      </x:c>
      <x:c r="AR97" s="234" t="inlineStr">
        <x:is>
          <x:t xml:space="preserve">SPIRAL AND PETS ON THE RIGHT SIDE HAVE 5 FULL BLACK PETALS BUT ON THE LEFT SIDE THERE ARE 2 WHITE AND 3 BLACK</x:t>
        </x:is>
      </x:c>
      <x:c r="AS97" s="234" t="n"/>
      <x:c r="AT97" s="234" t="inlineStr">
        <x:is>
          <x:t xml:space="preserve">POPULATED_SOURCE_RECORD</x:t>
        </x:is>
      </x:c>
      <x:c r="AU97" s="234" t="inlineStr">
        <x:is>
          <x:t xml:space="preserve">NO_ANNOTATED_IMAGE_IN_ANNOTATED_REPOSITORY</x:t>
        </x:is>
      </x:c>
    </x:row>
    <x:row r="98" s="232" customFormat="1" ht="32" customHeight="1">
      <x:c r="A98" s="234" t="n">
        <x:v>59</x:v>
      </x:c>
      <x:c r="B98" s="234" t="n"/>
      <x:c r="C98" s="234" t="inlineStr">
        <x:is>
          <x:t xml:space="preserve">LP059-F92</x:t>
        </x:is>
      </x:c>
      <x:c r="D98" s="234" t="inlineStr">
        <x:is>
          <x:t xml:space="preserve">CSV source spreadsheet; feature-level representation</x:t>
        </x:is>
      </x:c>
      <x:c r="E98" s="234" t="n"/>
      <x:c r="F98" s="234" t="n"/>
      <x:c r="G98" s="234" t="inlineStr">
        <x:is>
          <x:t xml:space="preserve">right-side petal group</x:t>
        </x:is>
      </x:c>
      <x:c r="H98" s="234" t="inlineStr">
        <x:is>
          <x:t xml:space="preserve">Source CSV reports five fully black/filled petals on the right-side spiral/petal motif.</x:t>
        </x:is>
      </x:c>
      <x:c r="I98" s="234" t="n"/>
      <x:c r="J98" s="234" t="n"/>
      <x:c r="K98" s="234" t="n"/>
      <x:c r="L98" s="234" t="n"/>
      <x:c r="M98" s="234" t="n"/>
      <x:c r="N98" s="234" t="n"/>
      <x:c r="O98" s="234" t="n"/>
      <x:c r="P98" s="234" t="n"/>
      <x:c r="Q98" s="234" t="inlineStr">
        <x:is>
          <x:t xml:space="preserve">right side of page</x:t>
        </x:is>
      </x:c>
      <x:c r="R98" s="234" t="n"/>
      <x:c r="S98" s="234" t="n"/>
      <x:c r="T98" s="234" t="n"/>
      <x:c r="U98" s="234" t="n"/>
      <x:c r="V98" s="234" t="n"/>
      <x:c r="W98" s="234" t="n"/>
      <x:c r="X98" s="234" t="inlineStr">
        <x:is>
          <x:t xml:space="preserve">right spiral/petal decoration</x:t>
        </x:is>
      </x:c>
      <x:c r="Y98" s="234" t="n"/>
      <x:c r="Z98" s="234" t="inlineStr">
        <x:is>
          <x:t xml:space="preserve">medium</x:t>
        </x:is>
      </x:c>
      <x:c r="AA98" s="234" t="inlineStr">
        <x:is>
          <x:t xml:space="preserve">CSV_RECORDED_NOT_IMAGE_VERIFIED</x:t>
        </x:is>
      </x:c>
      <x:c r="AB98" s="234" t="inlineStr">
        <x:is>
          <x:t xml:space="preserve">https://github.com/mrroot01011001/Cicada-3301-/tree/main/liber-primus/pages</x:t>
        </x:is>
      </x:c>
      <x:c r="AC98" s="234" t="n"/>
      <x:c r="AD98" s="234" t="inlineStr">
        <x:is>
          <x:t xml:space="preserve">The zero unfilled petals is implied by the source's '5 full black petals' description; verify visually before treating this as a measured count.</x:t>
        </x:is>
      </x:c>
      <x:c r="AE98" s="234" t="n">
        <x:v>5</x:v>
      </x:c>
      <x:c r="AF98" s="234" t="n">
        <x:v>5</x:v>
      </x:c>
      <x:c r="AG98" s="234" t="n">
        <x:v>0</x:v>
      </x:c>
      <x:c r="AH98" s="234" t="inlineStr">
        <x:is>
          <x:t xml:space="preserve">single_page</x:t>
        </x:is>
      </x:c>
      <x:c r="AI98" s="234" t="inlineStr">
        <x:is>
          <x:t xml:space="preserve">59.JPG</x:t>
        </x:is>
      </x:c>
      <x:c r="AJ98" s="234" t="inlineStr">
        <x:is>
          <x:t xml:space="preserve">CSV-D027</x:t>
        </x:is>
      </x:c>
      <x:c r="AK98" s="234" t="n">
        <x:v>27</x:v>
      </x:c>
      <x:c r="AL98" s="234" t="inlineStr">
        <x:is>
          <x:t xml:space="preserve">SPIRALS AND PETALS</x:t>
        </x:is>
      </x:c>
      <x:c r="AM98" s="234" t="inlineStr">
        <x:is>
          <x:t xml:space="preserve">0</x:t>
        </x:is>
      </x:c>
      <x:c r="AN98" s="234" t="inlineStr">
        <x:is>
          <x:t xml:space="preserve">8</x:t>
        </x:is>
      </x:c>
      <x:c r="AO98" s="234" t="inlineStr">
        <x:is>
          <x:t xml:space="preserve">0</x:t>
        </x:is>
      </x:c>
      <x:c r="AP98" s="234" t="inlineStr">
        <x:is>
          <x:t xml:space="preserve">LEFT AND RIGHT OF THE PAGE</x:t>
        </x:is>
      </x:c>
      <x:c r="AQ98" s="234" t="inlineStr">
        <x:is>
          <x:t xml:space="preserve">0</x:t>
        </x:is>
      </x:c>
      <x:c r="AR98" s="234" t="inlineStr">
        <x:is>
          <x:t xml:space="preserve">SPIRAL AND PETS ON THE RIGHT SIDE HAVE 5 FULL BLACK PETALS BUT ON THE LEFT SIDE THERE ARE 2 WHITE AND 3 BLACK</x:t>
        </x:is>
      </x:c>
      <x:c r="AS98" s="234" t="n"/>
      <x:c r="AT98" s="234" t="inlineStr">
        <x:is>
          <x:t xml:space="preserve">POPULATED_SOURCE_RECORD</x:t>
        </x:is>
      </x:c>
      <x:c r="AU98" s="234" t="inlineStr">
        <x:is>
          <x:t xml:space="preserve">NO_ANNOTATED_IMAGE_IN_ANNOTATED_REPOSITORY</x:t>
        </x:is>
      </x:c>
    </x:row>
    <x:row r="99" s="232" customFormat="1" ht="32" customHeight="1">
      <x:c r="A99" s="234" t="n">
        <x:v>59</x:v>
      </x:c>
      <x:c r="B99" s="234" t="n"/>
      <x:c r="C99" s="234" t="inlineStr">
        <x:is>
          <x:t xml:space="preserve">LP059-F93</x:t>
        </x:is>
      </x:c>
      <x:c r="D99" s="234" t="inlineStr">
        <x:is>
          <x:t xml:space="preserve">CSV source spreadsheet; feature-level representation</x:t>
        </x:is>
      </x:c>
      <x:c r="E99" s="234" t="n"/>
      <x:c r="F99" s="234" t="n"/>
      <x:c r="G99" s="234" t="inlineStr">
        <x:is>
          <x:t xml:space="preserve">left-side plant/root/spiral ornament</x:t>
        </x:is>
      </x:c>
      <x:c r="H99" s="234" t="inlineStr">
        <x:is>
          <x:t xml:space="preserve">Source CSV lists paired spiral/petal artwork on both sides. This row records the left-side motif as a separate spatial feature; detailed branches, roots, and endpoints have not been measured.</x:t>
        </x:is>
      </x:c>
      <x:c r="I99" s="234" t="n"/>
      <x:c r="J99" s="234" t="n"/>
      <x:c r="K99" s="234" t="n"/>
      <x:c r="L99" s="234" t="n"/>
      <x:c r="M99" s="234" t="n"/>
      <x:c r="N99" s="234" t="n"/>
      <x:c r="O99" s="234" t="n"/>
      <x:c r="P99" s="234" t="n"/>
      <x:c r="Q99" s="234" t="inlineStr">
        <x:is>
          <x:t xml:space="preserve">left side of page</x:t>
        </x:is>
      </x:c>
      <x:c r="R99" s="234" t="n"/>
      <x:c r="S99" s="234" t="n"/>
      <x:c r="T99" s="234" t="n"/>
      <x:c r="U99" s="234" t="n"/>
      <x:c r="V99" s="234" t="n"/>
      <x:c r="W99" s="234" t="n"/>
      <x:c r="X99" s="234" t="inlineStr">
        <x:is>
          <x:t xml:space="preserve">left margin beside glyph block</x:t>
        </x:is>
      </x:c>
      <x:c r="Y99" s="234" t="n"/>
      <x:c r="Z99" s="234" t="inlineStr">
        <x:is>
          <x:t xml:space="preserve">medium</x:t>
        </x:is>
      </x:c>
      <x:c r="AA99" s="234" t="inlineStr">
        <x:is>
          <x:t xml:space="preserve">CSV_RECORDED_NOT_IMAGE_VERIFIED</x:t>
        </x:is>
      </x:c>
      <x:c r="AB99" s="234" t="inlineStr">
        <x:is>
          <x:t xml:space="preserve">https://github.com/mrroot01011001/Cicada-3301-/tree/main/liber-primus/pages</x:t>
        </x:is>
      </x:c>
      <x:c r="AC99" s="234" t="n"/>
      <x:c r="AD99" s="234" t="inlineStr">
        <x:is>
          <x:t xml:space="preserve">No corresponding annotated image is present in the annotated-pages repository; retain source observation without adding unverified geometry.</x:t>
        </x:is>
      </x:c>
      <x:c r="AE99" s="234" t="n"/>
      <x:c r="AF99" s="234" t="n"/>
      <x:c r="AG99" s="234" t="n"/>
      <x:c r="AH99" s="234" t="inlineStr">
        <x:is>
          <x:t xml:space="preserve">single_page</x:t>
        </x:is>
      </x:c>
      <x:c r="AI99" s="234" t="inlineStr">
        <x:is>
          <x:t xml:space="preserve">59.JPG</x:t>
        </x:is>
      </x:c>
      <x:c r="AJ99" s="234" t="inlineStr">
        <x:is>
          <x:t xml:space="preserve">CSV-D027</x:t>
        </x:is>
      </x:c>
      <x:c r="AK99" s="234" t="n">
        <x:v>27</x:v>
      </x:c>
      <x:c r="AL99" s="234" t="inlineStr">
        <x:is>
          <x:t xml:space="preserve">SPIRALS AND PETALS</x:t>
        </x:is>
      </x:c>
      <x:c r="AM99" s="234" t="inlineStr">
        <x:is>
          <x:t xml:space="preserve">0</x:t>
        </x:is>
      </x:c>
      <x:c r="AN99" s="234" t="inlineStr">
        <x:is>
          <x:t xml:space="preserve">8</x:t>
        </x:is>
      </x:c>
      <x:c r="AO99" s="234" t="inlineStr">
        <x:is>
          <x:t xml:space="preserve">0</x:t>
        </x:is>
      </x:c>
      <x:c r="AP99" s="234" t="inlineStr">
        <x:is>
          <x:t xml:space="preserve">LEFT AND RIGHT OF THE PAGE</x:t>
        </x:is>
      </x:c>
      <x:c r="AQ99" s="234" t="inlineStr">
        <x:is>
          <x:t xml:space="preserve">0</x:t>
        </x:is>
      </x:c>
      <x:c r="AR99" s="234" t="inlineStr">
        <x:is>
          <x:t xml:space="preserve">SPIRAL AND PETS ON THE RIGHT SIDE HAVE 5 FULL BLACK PETALS BUT ON THE LEFT SIDE THERE ARE 2 WHITE AND 3 BLACK</x:t>
        </x:is>
      </x:c>
      <x:c r="AS99" s="234" t="n"/>
      <x:c r="AT99" s="234" t="inlineStr">
        <x:is>
          <x:t xml:space="preserve">POPULATED_SOURCE_RECORD</x:t>
        </x:is>
      </x:c>
      <x:c r="AU99" s="234" t="inlineStr">
        <x:is>
          <x:t xml:space="preserve">NO_ANNOTATED_IMAGE_IN_ANNOTATED_REPOSITORY</x:t>
        </x:is>
      </x:c>
    </x:row>
    <x:row r="100" s="232" customFormat="1" ht="32" customHeight="1">
      <x:c r="A100" s="234" t="n">
        <x:v>59</x:v>
      </x:c>
      <x:c r="B100" s="234" t="n"/>
      <x:c r="C100" s="234" t="inlineStr">
        <x:is>
          <x:t xml:space="preserve">LP059-F94</x:t>
        </x:is>
      </x:c>
      <x:c r="D100" s="234" t="inlineStr">
        <x:is>
          <x:t xml:space="preserve">CSV source spreadsheet; feature-level representation</x:t>
        </x:is>
      </x:c>
      <x:c r="E100" s="234" t="n"/>
      <x:c r="F100" s="234" t="n"/>
      <x:c r="G100" s="234" t="inlineStr">
        <x:is>
          <x:t xml:space="preserve">right-side plant/root/spiral ornament</x:t>
        </x:is>
      </x:c>
      <x:c r="H100" s="234" t="inlineStr">
        <x:is>
          <x:t xml:space="preserve">Source CSV lists paired spiral/petal artwork on both sides. This row records the right-side motif as a separate spatial feature; detailed branches, roots, and endpoints have not been measured.</x:t>
        </x:is>
      </x:c>
      <x:c r="I100" s="234" t="n"/>
      <x:c r="J100" s="234" t="n"/>
      <x:c r="K100" s="234" t="n"/>
      <x:c r="L100" s="234" t="n"/>
      <x:c r="M100" s="234" t="n"/>
      <x:c r="N100" s="234" t="n"/>
      <x:c r="O100" s="234" t="n"/>
      <x:c r="P100" s="234" t="n"/>
      <x:c r="Q100" s="234" t="inlineStr">
        <x:is>
          <x:t xml:space="preserve">right side of page</x:t>
        </x:is>
      </x:c>
      <x:c r="R100" s="234" t="n"/>
      <x:c r="S100" s="234" t="n"/>
      <x:c r="T100" s="234" t="n"/>
      <x:c r="U100" s="234" t="n"/>
      <x:c r="V100" s="234" t="n"/>
      <x:c r="W100" s="234" t="n"/>
      <x:c r="X100" s="234" t="inlineStr">
        <x:is>
          <x:t xml:space="preserve">right margin beside glyph block</x:t>
        </x:is>
      </x:c>
      <x:c r="Y100" s="234" t="n"/>
      <x:c r="Z100" s="234" t="inlineStr">
        <x:is>
          <x:t xml:space="preserve">medium</x:t>
        </x:is>
      </x:c>
      <x:c r="AA100" s="234" t="inlineStr">
        <x:is>
          <x:t xml:space="preserve">CSV_RECORDED_NOT_IMAGE_VERIFIED</x:t>
        </x:is>
      </x:c>
      <x:c r="AB100" s="234" t="inlineStr">
        <x:is>
          <x:t xml:space="preserve">https://github.com/mrroot01011001/Cicada-3301-/tree/main/liber-primus/pages</x:t>
        </x:is>
      </x:c>
      <x:c r="AC100" s="234" t="n"/>
      <x:c r="AD100" s="234" t="inlineStr">
        <x:is>
          <x:t xml:space="preserve">No corresponding annotated image is present in the annotated-pages repository; retain source observation without adding unverified geometry.</x:t>
        </x:is>
      </x:c>
      <x:c r="AE100" s="234" t="n"/>
      <x:c r="AF100" s="234" t="n"/>
      <x:c r="AG100" s="234" t="n"/>
      <x:c r="AH100" s="234" t="inlineStr">
        <x:is>
          <x:t xml:space="preserve">single_page</x:t>
        </x:is>
      </x:c>
      <x:c r="AI100" s="234" t="inlineStr">
        <x:is>
          <x:t xml:space="preserve">59.JPG</x:t>
        </x:is>
      </x:c>
      <x:c r="AJ100" s="234" t="inlineStr">
        <x:is>
          <x:t xml:space="preserve">CSV-D027</x:t>
        </x:is>
      </x:c>
      <x:c r="AK100" s="234" t="n">
        <x:v>27</x:v>
      </x:c>
      <x:c r="AL100" s="234" t="inlineStr">
        <x:is>
          <x:t xml:space="preserve">SPIRALS AND PETALS</x:t>
        </x:is>
      </x:c>
      <x:c r="AM100" s="234" t="inlineStr">
        <x:is>
          <x:t xml:space="preserve">0</x:t>
        </x:is>
      </x:c>
      <x:c r="AN100" s="234" t="inlineStr">
        <x:is>
          <x:t xml:space="preserve">8</x:t>
        </x:is>
      </x:c>
      <x:c r="AO100" s="234" t="inlineStr">
        <x:is>
          <x:t xml:space="preserve">0</x:t>
        </x:is>
      </x:c>
      <x:c r="AP100" s="234" t="inlineStr">
        <x:is>
          <x:t xml:space="preserve">LEFT AND RIGHT OF THE PAGE</x:t>
        </x:is>
      </x:c>
      <x:c r="AQ100" s="234" t="inlineStr">
        <x:is>
          <x:t xml:space="preserve">0</x:t>
        </x:is>
      </x:c>
      <x:c r="AR100" s="234" t="inlineStr">
        <x:is>
          <x:t xml:space="preserve">SPIRAL AND PETS ON THE RIGHT SIDE HAVE 5 FULL BLACK PETALS BUT ON THE LEFT SIDE THERE ARE 2 WHITE AND 3 BLACK</x:t>
        </x:is>
      </x:c>
      <x:c r="AS100" s="234" t="n"/>
      <x:c r="AT100" s="234" t="inlineStr">
        <x:is>
          <x:t xml:space="preserve">POPULATED_SOURCE_RECORD</x:t>
        </x:is>
      </x:c>
      <x:c r="AU100" s="234" t="inlineStr">
        <x:is>
          <x:t xml:space="preserve">NO_ANNOTATED_IMAGE_IN_ANNOTATED_REPOSITORY</x:t>
        </x:is>
      </x:c>
    </x:row>
    <x:row r="101" s="232" customFormat="1" ht="32" customHeight="1">
      <x:c r="A101" s="234" t="n">
        <x:v>59</x:v>
      </x:c>
      <x:c r="B101" s="234" t="n"/>
      <x:c r="C101" s="234" t="inlineStr">
        <x:is>
          <x:t xml:space="preserve">LP059-F95</x:t>
        </x:is>
      </x:c>
      <x:c r="D101" s="234" t="inlineStr">
        <x:is>
          <x:t xml:space="preserve">CSV source spreadsheet; feature-level representation</x:t>
        </x:is>
      </x:c>
      <x:c r="E101" s="234" t="n"/>
      <x:c r="F101" s="234" t="n"/>
      <x:c r="G101" s="234" t="inlineStr">
        <x:is>
          <x:t xml:space="preserve">external dot count (page aggregate; cluster positions unknown)</x:t>
        </x:is>
      </x:c>
      <x:c r="H101" s="234" t="inlineStr">
        <x:is>
          <x:t xml:space="preserve">Source CSV records eight external dots for this page's paired spiral/petal decoration; individual cluster positions are not separately recorded in the source row.</x:t>
        </x:is>
      </x:c>
      <x:c r="I101" s="234" t="n">
        <x:v>8</x:v>
      </x:c>
      <x:c r="J101" s="234" t="n"/>
      <x:c r="K101" s="234" t="n">
        <x:v>8</x:v>
      </x:c>
      <x:c r="L101" s="234" t="n"/>
      <x:c r="M101" s="234" t="n"/>
      <x:c r="N101" s="234" t="n"/>
      <x:c r="O101" s="234" t="n"/>
      <x:c r="P101" s="234" t="n"/>
      <x:c r="Q101" s="234" t="inlineStr">
        <x:is>
          <x:t xml:space="preserve">left and right of page</x:t>
        </x:is>
      </x:c>
      <x:c r="R101" s="234" t="n"/>
      <x:c r="S101" s="234" t="n"/>
      <x:c r="T101" s="234" t="n"/>
      <x:c r="U101" s="234" t="n"/>
      <x:c r="V101" s="234" t="n"/>
      <x:c r="W101" s="234" t="n"/>
      <x:c r="X101" s="234" t="inlineStr">
        <x:is>
          <x:t xml:space="preserve">Paired spiral/petal decoration; cluster allocation unknown</x:t>
        </x:is>
      </x:c>
      <x:c r="Y101" s="234" t="n"/>
      <x:c r="Z101" s="234" t="inlineStr">
        <x:is>
          <x:t xml:space="preserve">medium</x:t>
        </x:is>
      </x:c>
      <x:c r="AA101" s="234" t="inlineStr">
        <x:is>
          <x:t xml:space="preserve">CSV_RECORDED_NOT_IMAGE_VERIFIED</x:t>
        </x:is>
      </x:c>
      <x:c r="AB101" s="234" t="inlineStr">
        <x:is>
          <x:t xml:space="preserve">https://github.com/mrroot01011001/Cicada-3301-/tree/main/liber-primus/pages</x:t>
        </x:is>
      </x:c>
      <x:c r="AC101" s="234" t="n"/>
      <x:c r="AD101" s="234" t="inlineStr">
        <x:is>
          <x:t xml:space="preserve">Do not infer an exact left/right split from this aggregate; pages 57 and 68 have separate annotated dot-cluster records.</x:t>
        </x:is>
      </x:c>
      <x:c r="AE101" s="234" t="n"/>
      <x:c r="AF101" s="234" t="n"/>
      <x:c r="AG101" s="234" t="n"/>
      <x:c r="AH101" s="234" t="inlineStr">
        <x:is>
          <x:t xml:space="preserve">single_page</x:t>
        </x:is>
      </x:c>
      <x:c r="AI101" s="234" t="inlineStr">
        <x:is>
          <x:t xml:space="preserve">59.JPG</x:t>
        </x:is>
      </x:c>
      <x:c r="AJ101" s="234" t="inlineStr">
        <x:is>
          <x:t xml:space="preserve">CSV-D027</x:t>
        </x:is>
      </x:c>
      <x:c r="AK101" s="234" t="n">
        <x:v>27</x:v>
      </x:c>
      <x:c r="AL101" s="234" t="inlineStr">
        <x:is>
          <x:t xml:space="preserve">SPIRALS AND PETALS</x:t>
        </x:is>
      </x:c>
      <x:c r="AM101" s="234" t="inlineStr">
        <x:is>
          <x:t xml:space="preserve">0</x:t>
        </x:is>
      </x:c>
      <x:c r="AN101" s="234" t="inlineStr">
        <x:is>
          <x:t xml:space="preserve">8</x:t>
        </x:is>
      </x:c>
      <x:c r="AO101" s="234" t="inlineStr">
        <x:is>
          <x:t xml:space="preserve">0</x:t>
        </x:is>
      </x:c>
      <x:c r="AP101" s="234" t="inlineStr">
        <x:is>
          <x:t xml:space="preserve">LEFT AND RIGHT OF THE PAGE</x:t>
        </x:is>
      </x:c>
      <x:c r="AQ101" s="234" t="inlineStr">
        <x:is>
          <x:t xml:space="preserve">0</x:t>
        </x:is>
      </x:c>
      <x:c r="AR101" s="234" t="inlineStr">
        <x:is>
          <x:t xml:space="preserve">SPIRAL AND PETS ON THE RIGHT SIDE HAVE 5 FULL BLACK PETALS BUT ON THE LEFT SIDE THERE ARE 2 WHITE AND 3 BLACK</x:t>
        </x:is>
      </x:c>
      <x:c r="AS101" s="234" t="n"/>
      <x:c r="AT101" s="234" t="inlineStr">
        <x:is>
          <x:t xml:space="preserve">POPULATED_SOURCE_RECORD</x:t>
        </x:is>
      </x:c>
      <x:c r="AU101" s="234" t="inlineStr">
        <x:is>
          <x:t xml:space="preserve">NO_ANNOTATED_IMAGE_IN_ANNOTATED_REPOSITORY</x:t>
        </x:is>
      </x:c>
    </x:row>
    <x:row r="102" s="232" customFormat="1" ht="32" customHeight="1">
      <x:c r="A102" s="234" t="n">
        <x:v>60</x:v>
      </x:c>
      <x:c r="B102" s="234" t="n"/>
      <x:c r="C102" s="234" t="inlineStr">
        <x:is>
          <x:t xml:space="preserve">LP060-F90</x:t>
        </x:is>
      </x:c>
      <x:c r="D102" s="234" t="inlineStr">
        <x:is>
          <x:t xml:space="preserve">CSV source spreadsheet; feature-level representation</x:t>
        </x:is>
      </x:c>
      <x:c r="E102" s="234" t="n"/>
      <x:c r="F102" s="234" t="n"/>
      <x:c r="G102" s="234" t="inlineStr">
        <x:is>
          <x:t xml:space="preserve">paired spiral/petal motif (page-level)</x:t>
        </x:is>
      </x:c>
      <x:c r="H102" s="234" t="inlineStr">
        <x:is>
          <x:t xml:space="preserve">Source CSV visual-object label: SPIRALS AND PETALS. Source note: SPIRAL AND PETS ON THE RIGHT SIDE HAVE 5 FULL BLACK PETALS BUT ON THE LEFT SIDE THERE ARE 2 WHITE AND 3 BLACK</x:t>
        </x:is>
      </x:c>
      <x:c r="I102" s="234" t="n"/>
      <x:c r="J102" s="234" t="n"/>
      <x:c r="K102" s="234" t="n"/>
      <x:c r="L102" s="234" t="n"/>
      <x:c r="M102" s="234" t="n"/>
      <x:c r="N102" s="234" t="n"/>
      <x:c r="O102" s="234" t="n"/>
      <x:c r="P102" s="234" t="n"/>
      <x:c r="Q102" s="234" t="inlineStr">
        <x:is>
          <x:t xml:space="preserve">left and right of page</x:t>
        </x:is>
      </x:c>
      <x:c r="R102" s="234" t="n"/>
      <x:c r="S102" s="234" t="n"/>
      <x:c r="T102" s="234" t="n"/>
      <x:c r="U102" s="234" t="n"/>
      <x:c r="V102" s="234" t="n"/>
      <x:c r="W102" s="234" t="n"/>
      <x:c r="X102" s="234" t="inlineStr">
        <x:is>
          <x:t xml:space="preserve">Both margins beside central text; page-level motif summary</x:t>
        </x:is>
      </x:c>
      <x:c r="Y102" s="234" t="n"/>
      <x:c r="Z102" s="234" t="inlineStr">
        <x:is>
          <x:t xml:space="preserve">medium</x:t>
        </x:is>
      </x:c>
      <x:c r="AA102" s="234" t="inlineStr">
        <x:is>
          <x:t xml:space="preserve">CSV_RECORDED_NOT_IMAGE_VERIFIED</x:t>
        </x:is>
      </x:c>
      <x:c r="AB102" s="234" t="inlineStr">
        <x:is>
          <x:t xml:space="preserve">https://github.com/mrroot01011001/Cicada-3301-/tree/main/liber-primus/pages</x:t>
        </x:is>
      </x:c>
      <x:c r="AC102" s="234" t="n"/>
      <x:c r="AD102" s="234" t="inlineStr">
        <x:is>
          <x:t xml:space="preserve">Composite motif row retained alongside left/right component rows. Page-level counts in source fields are context, not counts to sum across every feature row.</x:t>
        </x:is>
      </x:c>
      <x:c r="AE102" s="234" t="n"/>
      <x:c r="AF102" s="234" t="n"/>
      <x:c r="AG102" s="234" t="n"/>
      <x:c r="AH102" s="234" t="inlineStr">
        <x:is>
          <x:t xml:space="preserve">single_page</x:t>
        </x:is>
      </x:c>
      <x:c r="AI102" s="234" t="inlineStr">
        <x:is>
          <x:t xml:space="preserve">60.JPG</x:t>
        </x:is>
      </x:c>
      <x:c r="AJ102" s="234" t="inlineStr">
        <x:is>
          <x:t xml:space="preserve">CSV-D028</x:t>
        </x:is>
      </x:c>
      <x:c r="AK102" s="234" t="n">
        <x:v>28</x:v>
      </x:c>
      <x:c r="AL102" s="234" t="inlineStr">
        <x:is>
          <x:t xml:space="preserve">SPIRALS AND PETALS</x:t>
        </x:is>
      </x:c>
      <x:c r="AM102" s="234" t="inlineStr">
        <x:is>
          <x:t xml:space="preserve">0</x:t>
        </x:is>
      </x:c>
      <x:c r="AN102" s="234" t="inlineStr">
        <x:is>
          <x:t xml:space="preserve">8</x:t>
        </x:is>
      </x:c>
      <x:c r="AO102" s="234" t="inlineStr">
        <x:is>
          <x:t xml:space="preserve">0</x:t>
        </x:is>
      </x:c>
      <x:c r="AP102" s="234" t="inlineStr">
        <x:is>
          <x:t xml:space="preserve">LEFT AND RIGHT OF THE PAGE</x:t>
        </x:is>
      </x:c>
      <x:c r="AQ102" s="234" t="inlineStr">
        <x:is>
          <x:t xml:space="preserve">0</x:t>
        </x:is>
      </x:c>
      <x:c r="AR102" s="234" t="inlineStr">
        <x:is>
          <x:t xml:space="preserve">SPIRAL AND PETS ON THE RIGHT SIDE HAVE 5 FULL BLACK PETALS BUT ON THE LEFT SIDE THERE ARE 2 WHITE AND 3 BLACK</x:t>
        </x:is>
      </x:c>
      <x:c r="AS102" s="234" t="n"/>
      <x:c r="AT102" s="234" t="inlineStr">
        <x:is>
          <x:t xml:space="preserve">POPULATED_SOURCE_RECORD</x:t>
        </x:is>
      </x:c>
      <x:c r="AU102" s="234" t="inlineStr">
        <x:is>
          <x:t xml:space="preserve">NO_ANNOTATED_IMAGE_IN_ANNOTATED_REPOSITORY</x:t>
        </x:is>
      </x:c>
    </x:row>
    <x:row r="103" s="232" customFormat="1" ht="32" customHeight="1">
      <x:c r="A103" s="234" t="n">
        <x:v>60</x:v>
      </x:c>
      <x:c r="B103" s="234" t="n"/>
      <x:c r="C103" s="234" t="inlineStr">
        <x:is>
          <x:t xml:space="preserve">LP060-F91</x:t>
        </x:is>
      </x:c>
      <x:c r="D103" s="234" t="inlineStr">
        <x:is>
          <x:t xml:space="preserve">CSV source spreadsheet; feature-level representation</x:t>
        </x:is>
      </x:c>
      <x:c r="E103" s="234" t="n"/>
      <x:c r="F103" s="234" t="n"/>
      <x:c r="G103" s="234" t="inlineStr">
        <x:is>
          <x:t xml:space="preserve">left-side petal group</x:t>
        </x:is>
      </x:c>
      <x:c r="H103" s="234" t="inlineStr">
        <x:is>
          <x:t xml:space="preserve">Source CSV reports two white/unfilled petals and three black/filled petals on the left-side spiral/petal motif.</x:t>
        </x:is>
      </x:c>
      <x:c r="I103" s="234" t="n"/>
      <x:c r="J103" s="234" t="n"/>
      <x:c r="K103" s="234" t="n"/>
      <x:c r="L103" s="234" t="n"/>
      <x:c r="M103" s="234" t="n"/>
      <x:c r="N103" s="234" t="n"/>
      <x:c r="O103" s="234" t="n"/>
      <x:c r="P103" s="234" t="n"/>
      <x:c r="Q103" s="234" t="inlineStr">
        <x:is>
          <x:t xml:space="preserve">left side of page</x:t>
        </x:is>
      </x:c>
      <x:c r="R103" s="234" t="n"/>
      <x:c r="S103" s="234" t="n"/>
      <x:c r="T103" s="234" t="n"/>
      <x:c r="U103" s="234" t="n"/>
      <x:c r="V103" s="234" t="n"/>
      <x:c r="W103" s="234" t="n"/>
      <x:c r="X103" s="234" t="inlineStr">
        <x:is>
          <x:t xml:space="preserve">left spiral/petal decoration</x:t>
        </x:is>
      </x:c>
      <x:c r="Y103" s="234" t="n"/>
      <x:c r="Z103" s="234" t="inlineStr">
        <x:is>
          <x:t xml:space="preserve">medium</x:t>
        </x:is>
      </x:c>
      <x:c r="AA103" s="234" t="inlineStr">
        <x:is>
          <x:t xml:space="preserve">CSV_RECORDED_NOT_IMAGE_VERIFIED</x:t>
        </x:is>
      </x:c>
      <x:c r="AB103" s="234" t="inlineStr">
        <x:is>
          <x:t xml:space="preserve">https://github.com/mrroot01011001/Cicada-3301-/tree/main/liber-primus/pages</x:t>
        </x:is>
      </x:c>
      <x:c r="AC103" s="234" t="n"/>
      <x:c r="AD103" s="234" t="inlineStr">
        <x:is>
          <x:t xml:space="preserve">Petal counts and filled/unfilled distinctions are preserved from the source notes, not independently counted from image coordinates.</x:t>
        </x:is>
      </x:c>
      <x:c r="AE103" s="234" t="n">
        <x:v>5</x:v>
      </x:c>
      <x:c r="AF103" s="234" t="n">
        <x:v>3</x:v>
      </x:c>
      <x:c r="AG103" s="234" t="n">
        <x:v>2</x:v>
      </x:c>
      <x:c r="AH103" s="234" t="inlineStr">
        <x:is>
          <x:t xml:space="preserve">single_page</x:t>
        </x:is>
      </x:c>
      <x:c r="AI103" s="234" t="inlineStr">
        <x:is>
          <x:t xml:space="preserve">60.JPG</x:t>
        </x:is>
      </x:c>
      <x:c r="AJ103" s="234" t="inlineStr">
        <x:is>
          <x:t xml:space="preserve">CSV-D028</x:t>
        </x:is>
      </x:c>
      <x:c r="AK103" s="234" t="n">
        <x:v>28</x:v>
      </x:c>
      <x:c r="AL103" s="234" t="inlineStr">
        <x:is>
          <x:t xml:space="preserve">SPIRALS AND PETALS</x:t>
        </x:is>
      </x:c>
      <x:c r="AM103" s="234" t="inlineStr">
        <x:is>
          <x:t xml:space="preserve">0</x:t>
        </x:is>
      </x:c>
      <x:c r="AN103" s="234" t="inlineStr">
        <x:is>
          <x:t xml:space="preserve">8</x:t>
        </x:is>
      </x:c>
      <x:c r="AO103" s="234" t="inlineStr">
        <x:is>
          <x:t xml:space="preserve">0</x:t>
        </x:is>
      </x:c>
      <x:c r="AP103" s="234" t="inlineStr">
        <x:is>
          <x:t xml:space="preserve">LEFT AND RIGHT OF THE PAGE</x:t>
        </x:is>
      </x:c>
      <x:c r="AQ103" s="234" t="inlineStr">
        <x:is>
          <x:t xml:space="preserve">0</x:t>
        </x:is>
      </x:c>
      <x:c r="AR103" s="234" t="inlineStr">
        <x:is>
          <x:t xml:space="preserve">SPIRAL AND PETS ON THE RIGHT SIDE HAVE 5 FULL BLACK PETALS BUT ON THE LEFT SIDE THERE ARE 2 WHITE AND 3 BLACK</x:t>
        </x:is>
      </x:c>
      <x:c r="AS103" s="234" t="n"/>
      <x:c r="AT103" s="234" t="inlineStr">
        <x:is>
          <x:t xml:space="preserve">POPULATED_SOURCE_RECORD</x:t>
        </x:is>
      </x:c>
      <x:c r="AU103" s="234" t="inlineStr">
        <x:is>
          <x:t xml:space="preserve">NO_ANNOTATED_IMAGE_IN_ANNOTATED_REPOSITORY</x:t>
        </x:is>
      </x:c>
    </x:row>
    <x:row r="104" s="232" customFormat="1" ht="32" customHeight="1">
      <x:c r="A104" s="234" t="n">
        <x:v>60</x:v>
      </x:c>
      <x:c r="B104" s="234" t="n"/>
      <x:c r="C104" s="234" t="inlineStr">
        <x:is>
          <x:t xml:space="preserve">LP060-F92</x:t>
        </x:is>
      </x:c>
      <x:c r="D104" s="234" t="inlineStr">
        <x:is>
          <x:t xml:space="preserve">CSV source spreadsheet; feature-level representation</x:t>
        </x:is>
      </x:c>
      <x:c r="E104" s="234" t="n"/>
      <x:c r="F104" s="234" t="n"/>
      <x:c r="G104" s="234" t="inlineStr">
        <x:is>
          <x:t xml:space="preserve">right-side petal group</x:t>
        </x:is>
      </x:c>
      <x:c r="H104" s="234" t="inlineStr">
        <x:is>
          <x:t xml:space="preserve">Source CSV reports five fully black/filled petals on the right-side spiral/petal motif.</x:t>
        </x:is>
      </x:c>
      <x:c r="I104" s="234" t="n"/>
      <x:c r="J104" s="234" t="n"/>
      <x:c r="K104" s="234" t="n"/>
      <x:c r="L104" s="234" t="n"/>
      <x:c r="M104" s="234" t="n"/>
      <x:c r="N104" s="234" t="n"/>
      <x:c r="O104" s="234" t="n"/>
      <x:c r="P104" s="234" t="n"/>
      <x:c r="Q104" s="234" t="inlineStr">
        <x:is>
          <x:t xml:space="preserve">right side of page</x:t>
        </x:is>
      </x:c>
      <x:c r="R104" s="234" t="n"/>
      <x:c r="S104" s="234" t="n"/>
      <x:c r="T104" s="234" t="n"/>
      <x:c r="U104" s="234" t="n"/>
      <x:c r="V104" s="234" t="n"/>
      <x:c r="W104" s="234" t="n"/>
      <x:c r="X104" s="234" t="inlineStr">
        <x:is>
          <x:t xml:space="preserve">right spiral/petal decoration</x:t>
        </x:is>
      </x:c>
      <x:c r="Y104" s="234" t="n"/>
      <x:c r="Z104" s="234" t="inlineStr">
        <x:is>
          <x:t xml:space="preserve">medium</x:t>
        </x:is>
      </x:c>
      <x:c r="AA104" s="234" t="inlineStr">
        <x:is>
          <x:t xml:space="preserve">CSV_RECORDED_NOT_IMAGE_VERIFIED</x:t>
        </x:is>
      </x:c>
      <x:c r="AB104" s="234" t="inlineStr">
        <x:is>
          <x:t xml:space="preserve">https://github.com/mrroot01011001/Cicada-3301-/tree/main/liber-primus/pages</x:t>
        </x:is>
      </x:c>
      <x:c r="AC104" s="234" t="n"/>
      <x:c r="AD104" s="234" t="inlineStr">
        <x:is>
          <x:t xml:space="preserve">The zero unfilled petals is implied by the source's '5 full black petals' description; verify visually before treating this as a measured count.</x:t>
        </x:is>
      </x:c>
      <x:c r="AE104" s="234" t="n">
        <x:v>5</x:v>
      </x:c>
      <x:c r="AF104" s="234" t="n">
        <x:v>5</x:v>
      </x:c>
      <x:c r="AG104" s="234" t="n">
        <x:v>0</x:v>
      </x:c>
      <x:c r="AH104" s="234" t="inlineStr">
        <x:is>
          <x:t xml:space="preserve">single_page</x:t>
        </x:is>
      </x:c>
      <x:c r="AI104" s="234" t="inlineStr">
        <x:is>
          <x:t xml:space="preserve">60.JPG</x:t>
        </x:is>
      </x:c>
      <x:c r="AJ104" s="234" t="inlineStr">
        <x:is>
          <x:t xml:space="preserve">CSV-D028</x:t>
        </x:is>
      </x:c>
      <x:c r="AK104" s="234" t="n">
        <x:v>28</x:v>
      </x:c>
      <x:c r="AL104" s="234" t="inlineStr">
        <x:is>
          <x:t xml:space="preserve">SPIRALS AND PETALS</x:t>
        </x:is>
      </x:c>
      <x:c r="AM104" s="234" t="inlineStr">
        <x:is>
          <x:t xml:space="preserve">0</x:t>
        </x:is>
      </x:c>
      <x:c r="AN104" s="234" t="inlineStr">
        <x:is>
          <x:t xml:space="preserve">8</x:t>
        </x:is>
      </x:c>
      <x:c r="AO104" s="234" t="inlineStr">
        <x:is>
          <x:t xml:space="preserve">0</x:t>
        </x:is>
      </x:c>
      <x:c r="AP104" s="234" t="inlineStr">
        <x:is>
          <x:t xml:space="preserve">LEFT AND RIGHT OF THE PAGE</x:t>
        </x:is>
      </x:c>
      <x:c r="AQ104" s="234" t="inlineStr">
        <x:is>
          <x:t xml:space="preserve">0</x:t>
        </x:is>
      </x:c>
      <x:c r="AR104" s="234" t="inlineStr">
        <x:is>
          <x:t xml:space="preserve">SPIRAL AND PETS ON THE RIGHT SIDE HAVE 5 FULL BLACK PETALS BUT ON THE LEFT SIDE THERE ARE 2 WHITE AND 3 BLACK</x:t>
        </x:is>
      </x:c>
      <x:c r="AS104" s="234" t="n"/>
      <x:c r="AT104" s="234" t="inlineStr">
        <x:is>
          <x:t xml:space="preserve">POPULATED_SOURCE_RECORD</x:t>
        </x:is>
      </x:c>
      <x:c r="AU104" s="234" t="inlineStr">
        <x:is>
          <x:t xml:space="preserve">NO_ANNOTATED_IMAGE_IN_ANNOTATED_REPOSITORY</x:t>
        </x:is>
      </x:c>
    </x:row>
    <x:row r="105" s="232" customFormat="1" ht="32" customHeight="1">
      <x:c r="A105" s="234" t="n">
        <x:v>60</x:v>
      </x:c>
      <x:c r="B105" s="234" t="n"/>
      <x:c r="C105" s="234" t="inlineStr">
        <x:is>
          <x:t xml:space="preserve">LP060-F93</x:t>
        </x:is>
      </x:c>
      <x:c r="D105" s="234" t="inlineStr">
        <x:is>
          <x:t xml:space="preserve">CSV source spreadsheet; feature-level representation</x:t>
        </x:is>
      </x:c>
      <x:c r="E105" s="234" t="n"/>
      <x:c r="F105" s="234" t="n"/>
      <x:c r="G105" s="234" t="inlineStr">
        <x:is>
          <x:t xml:space="preserve">left-side plant/root/spiral ornament</x:t>
        </x:is>
      </x:c>
      <x:c r="H105" s="234" t="inlineStr">
        <x:is>
          <x:t xml:space="preserve">Source CSV lists paired spiral/petal artwork on both sides. This row records the left-side motif as a separate spatial feature; detailed branches, roots, and endpoints have not been measured.</x:t>
        </x:is>
      </x:c>
      <x:c r="I105" s="234" t="n"/>
      <x:c r="J105" s="234" t="n"/>
      <x:c r="K105" s="234" t="n"/>
      <x:c r="L105" s="234" t="n"/>
      <x:c r="M105" s="234" t="n"/>
      <x:c r="N105" s="234" t="n"/>
      <x:c r="O105" s="234" t="n"/>
      <x:c r="P105" s="234" t="n"/>
      <x:c r="Q105" s="234" t="inlineStr">
        <x:is>
          <x:t xml:space="preserve">left side of page</x:t>
        </x:is>
      </x:c>
      <x:c r="R105" s="234" t="n"/>
      <x:c r="S105" s="234" t="n"/>
      <x:c r="T105" s="234" t="n"/>
      <x:c r="U105" s="234" t="n"/>
      <x:c r="V105" s="234" t="n"/>
      <x:c r="W105" s="234" t="n"/>
      <x:c r="X105" s="234" t="inlineStr">
        <x:is>
          <x:t xml:space="preserve">left margin beside glyph block</x:t>
        </x:is>
      </x:c>
      <x:c r="Y105" s="234" t="n"/>
      <x:c r="Z105" s="234" t="inlineStr">
        <x:is>
          <x:t xml:space="preserve">medium</x:t>
        </x:is>
      </x:c>
      <x:c r="AA105" s="234" t="inlineStr">
        <x:is>
          <x:t xml:space="preserve">CSV_RECORDED_NOT_IMAGE_VERIFIED</x:t>
        </x:is>
      </x:c>
      <x:c r="AB105" s="234" t="inlineStr">
        <x:is>
          <x:t xml:space="preserve">https://github.com/mrroot01011001/Cicada-3301-/tree/main/liber-primus/pages</x:t>
        </x:is>
      </x:c>
      <x:c r="AC105" s="234" t="n"/>
      <x:c r="AD105" s="234" t="inlineStr">
        <x:is>
          <x:t xml:space="preserve">No corresponding annotated image is present in the annotated-pages repository; retain source observation without adding unverified geometry.</x:t>
        </x:is>
      </x:c>
      <x:c r="AE105" s="234" t="n"/>
      <x:c r="AF105" s="234" t="n"/>
      <x:c r="AG105" s="234" t="n"/>
      <x:c r="AH105" s="234" t="inlineStr">
        <x:is>
          <x:t xml:space="preserve">single_page</x:t>
        </x:is>
      </x:c>
      <x:c r="AI105" s="234" t="inlineStr">
        <x:is>
          <x:t xml:space="preserve">60.JPG</x:t>
        </x:is>
      </x:c>
      <x:c r="AJ105" s="234" t="inlineStr">
        <x:is>
          <x:t xml:space="preserve">CSV-D028</x:t>
        </x:is>
      </x:c>
      <x:c r="AK105" s="234" t="n">
        <x:v>28</x:v>
      </x:c>
      <x:c r="AL105" s="234" t="inlineStr">
        <x:is>
          <x:t xml:space="preserve">SPIRALS AND PETALS</x:t>
        </x:is>
      </x:c>
      <x:c r="AM105" s="234" t="inlineStr">
        <x:is>
          <x:t xml:space="preserve">0</x:t>
        </x:is>
      </x:c>
      <x:c r="AN105" s="234" t="inlineStr">
        <x:is>
          <x:t xml:space="preserve">8</x:t>
        </x:is>
      </x:c>
      <x:c r="AO105" s="234" t="inlineStr">
        <x:is>
          <x:t xml:space="preserve">0</x:t>
        </x:is>
      </x:c>
      <x:c r="AP105" s="234" t="inlineStr">
        <x:is>
          <x:t xml:space="preserve">LEFT AND RIGHT OF THE PAGE</x:t>
        </x:is>
      </x:c>
      <x:c r="AQ105" s="234" t="inlineStr">
        <x:is>
          <x:t xml:space="preserve">0</x:t>
        </x:is>
      </x:c>
      <x:c r="AR105" s="234" t="inlineStr">
        <x:is>
          <x:t xml:space="preserve">SPIRAL AND PETS ON THE RIGHT SIDE HAVE 5 FULL BLACK PETALS BUT ON THE LEFT SIDE THERE ARE 2 WHITE AND 3 BLACK</x:t>
        </x:is>
      </x:c>
      <x:c r="AS105" s="234" t="n"/>
      <x:c r="AT105" s="234" t="inlineStr">
        <x:is>
          <x:t xml:space="preserve">POPULATED_SOURCE_RECORD</x:t>
        </x:is>
      </x:c>
      <x:c r="AU105" s="234" t="inlineStr">
        <x:is>
          <x:t xml:space="preserve">NO_ANNOTATED_IMAGE_IN_ANNOTATED_REPOSITORY</x:t>
        </x:is>
      </x:c>
    </x:row>
    <x:row r="106" s="232" customFormat="1" ht="32" customHeight="1">
      <x:c r="A106" s="234" t="n">
        <x:v>60</x:v>
      </x:c>
      <x:c r="B106" s="234" t="n"/>
      <x:c r="C106" s="234" t="inlineStr">
        <x:is>
          <x:t xml:space="preserve">LP060-F94</x:t>
        </x:is>
      </x:c>
      <x:c r="D106" s="234" t="inlineStr">
        <x:is>
          <x:t xml:space="preserve">CSV source spreadsheet; feature-level representation</x:t>
        </x:is>
      </x:c>
      <x:c r="E106" s="234" t="n"/>
      <x:c r="F106" s="234" t="n"/>
      <x:c r="G106" s="234" t="inlineStr">
        <x:is>
          <x:t xml:space="preserve">right-side plant/root/spiral ornament</x:t>
        </x:is>
      </x:c>
      <x:c r="H106" s="234" t="inlineStr">
        <x:is>
          <x:t xml:space="preserve">Source CSV lists paired spiral/petal artwork on both sides. This row records the right-side motif as a separate spatial feature; detailed branches, roots, and endpoints have not been measured.</x:t>
        </x:is>
      </x:c>
      <x:c r="I106" s="234" t="n"/>
      <x:c r="J106" s="234" t="n"/>
      <x:c r="K106" s="234" t="n"/>
      <x:c r="L106" s="234" t="n"/>
      <x:c r="M106" s="234" t="n"/>
      <x:c r="N106" s="234" t="n"/>
      <x:c r="O106" s="234" t="n"/>
      <x:c r="P106" s="234" t="n"/>
      <x:c r="Q106" s="234" t="inlineStr">
        <x:is>
          <x:t xml:space="preserve">right side of page</x:t>
        </x:is>
      </x:c>
      <x:c r="R106" s="234" t="n"/>
      <x:c r="S106" s="234" t="n"/>
      <x:c r="T106" s="234" t="n"/>
      <x:c r="U106" s="234" t="n"/>
      <x:c r="V106" s="234" t="n"/>
      <x:c r="W106" s="234" t="n"/>
      <x:c r="X106" s="234" t="inlineStr">
        <x:is>
          <x:t xml:space="preserve">right margin beside glyph block</x:t>
        </x:is>
      </x:c>
      <x:c r="Y106" s="234" t="n"/>
      <x:c r="Z106" s="234" t="inlineStr">
        <x:is>
          <x:t xml:space="preserve">medium</x:t>
        </x:is>
      </x:c>
      <x:c r="AA106" s="234" t="inlineStr">
        <x:is>
          <x:t xml:space="preserve">CSV_RECORDED_NOT_IMAGE_VERIFIED</x:t>
        </x:is>
      </x:c>
      <x:c r="AB106" s="234" t="inlineStr">
        <x:is>
          <x:t xml:space="preserve">https://github.com/mrroot01011001/Cicada-3301-/tree/main/liber-primus/pages</x:t>
        </x:is>
      </x:c>
      <x:c r="AC106" s="234" t="n"/>
      <x:c r="AD106" s="234" t="inlineStr">
        <x:is>
          <x:t xml:space="preserve">No corresponding annotated image is present in the annotated-pages repository; retain source observation without adding unverified geometry.</x:t>
        </x:is>
      </x:c>
      <x:c r="AE106" s="234" t="n"/>
      <x:c r="AF106" s="234" t="n"/>
      <x:c r="AG106" s="234" t="n"/>
      <x:c r="AH106" s="234" t="inlineStr">
        <x:is>
          <x:t xml:space="preserve">single_page</x:t>
        </x:is>
      </x:c>
      <x:c r="AI106" s="234" t="inlineStr">
        <x:is>
          <x:t xml:space="preserve">60.JPG</x:t>
        </x:is>
      </x:c>
      <x:c r="AJ106" s="234" t="inlineStr">
        <x:is>
          <x:t xml:space="preserve">CSV-D028</x:t>
        </x:is>
      </x:c>
      <x:c r="AK106" s="234" t="n">
        <x:v>28</x:v>
      </x:c>
      <x:c r="AL106" s="234" t="inlineStr">
        <x:is>
          <x:t xml:space="preserve">SPIRALS AND PETALS</x:t>
        </x:is>
      </x:c>
      <x:c r="AM106" s="234" t="inlineStr">
        <x:is>
          <x:t xml:space="preserve">0</x:t>
        </x:is>
      </x:c>
      <x:c r="AN106" s="234" t="inlineStr">
        <x:is>
          <x:t xml:space="preserve">8</x:t>
        </x:is>
      </x:c>
      <x:c r="AO106" s="234" t="inlineStr">
        <x:is>
          <x:t xml:space="preserve">0</x:t>
        </x:is>
      </x:c>
      <x:c r="AP106" s="234" t="inlineStr">
        <x:is>
          <x:t xml:space="preserve">LEFT AND RIGHT OF THE PAGE</x:t>
        </x:is>
      </x:c>
      <x:c r="AQ106" s="234" t="inlineStr">
        <x:is>
          <x:t xml:space="preserve">0</x:t>
        </x:is>
      </x:c>
      <x:c r="AR106" s="234" t="inlineStr">
        <x:is>
          <x:t xml:space="preserve">SPIRAL AND PETS ON THE RIGHT SIDE HAVE 5 FULL BLACK PETALS BUT ON THE LEFT SIDE THERE ARE 2 WHITE AND 3 BLACK</x:t>
        </x:is>
      </x:c>
      <x:c r="AS106" s="234" t="n"/>
      <x:c r="AT106" s="234" t="inlineStr">
        <x:is>
          <x:t xml:space="preserve">POPULATED_SOURCE_RECORD</x:t>
        </x:is>
      </x:c>
      <x:c r="AU106" s="234" t="inlineStr">
        <x:is>
          <x:t xml:space="preserve">NO_ANNOTATED_IMAGE_IN_ANNOTATED_REPOSITORY</x:t>
        </x:is>
      </x:c>
    </x:row>
    <x:row r="107" s="232" customFormat="1" ht="32" customHeight="1">
      <x:c r="A107" s="234" t="n">
        <x:v>60</x:v>
      </x:c>
      <x:c r="B107" s="234" t="n"/>
      <x:c r="C107" s="234" t="inlineStr">
        <x:is>
          <x:t xml:space="preserve">LP060-F95</x:t>
        </x:is>
      </x:c>
      <x:c r="D107" s="234" t="inlineStr">
        <x:is>
          <x:t xml:space="preserve">CSV source spreadsheet; feature-level representation</x:t>
        </x:is>
      </x:c>
      <x:c r="E107" s="234" t="n"/>
      <x:c r="F107" s="234" t="n"/>
      <x:c r="G107" s="234" t="inlineStr">
        <x:is>
          <x:t xml:space="preserve">external dot count (page aggregate; cluster positions unknown)</x:t>
        </x:is>
      </x:c>
      <x:c r="H107" s="234" t="inlineStr">
        <x:is>
          <x:t xml:space="preserve">Source CSV records eight external dots for this page's paired spiral/petal decoration; individual cluster positions are not separately recorded in the source row.</x:t>
        </x:is>
      </x:c>
      <x:c r="I107" s="234" t="n">
        <x:v>8</x:v>
      </x:c>
      <x:c r="J107" s="234" t="n"/>
      <x:c r="K107" s="234" t="n">
        <x:v>8</x:v>
      </x:c>
      <x:c r="L107" s="234" t="n"/>
      <x:c r="M107" s="234" t="n"/>
      <x:c r="N107" s="234" t="n"/>
      <x:c r="O107" s="234" t="n"/>
      <x:c r="P107" s="234" t="n"/>
      <x:c r="Q107" s="234" t="inlineStr">
        <x:is>
          <x:t xml:space="preserve">left and right of page</x:t>
        </x:is>
      </x:c>
      <x:c r="R107" s="234" t="n"/>
      <x:c r="S107" s="234" t="n"/>
      <x:c r="T107" s="234" t="n"/>
      <x:c r="U107" s="234" t="n"/>
      <x:c r="V107" s="234" t="n"/>
      <x:c r="W107" s="234" t="n"/>
      <x:c r="X107" s="234" t="inlineStr">
        <x:is>
          <x:t xml:space="preserve">Paired spiral/petal decoration; cluster allocation unknown</x:t>
        </x:is>
      </x:c>
      <x:c r="Y107" s="234" t="n"/>
      <x:c r="Z107" s="234" t="inlineStr">
        <x:is>
          <x:t xml:space="preserve">medium</x:t>
        </x:is>
      </x:c>
      <x:c r="AA107" s="234" t="inlineStr">
        <x:is>
          <x:t xml:space="preserve">CSV_RECORDED_NOT_IMAGE_VERIFIED</x:t>
        </x:is>
      </x:c>
      <x:c r="AB107" s="234" t="inlineStr">
        <x:is>
          <x:t xml:space="preserve">https://github.com/mrroot01011001/Cicada-3301-/tree/main/liber-primus/pages</x:t>
        </x:is>
      </x:c>
      <x:c r="AC107" s="234" t="n"/>
      <x:c r="AD107" s="234" t="inlineStr">
        <x:is>
          <x:t xml:space="preserve">Do not infer an exact left/right split from this aggregate; pages 57 and 68 have separate annotated dot-cluster records.</x:t>
        </x:is>
      </x:c>
      <x:c r="AE107" s="234" t="n"/>
      <x:c r="AF107" s="234" t="n"/>
      <x:c r="AG107" s="234" t="n"/>
      <x:c r="AH107" s="234" t="inlineStr">
        <x:is>
          <x:t xml:space="preserve">single_page</x:t>
        </x:is>
      </x:c>
      <x:c r="AI107" s="234" t="inlineStr">
        <x:is>
          <x:t xml:space="preserve">60.JPG</x:t>
        </x:is>
      </x:c>
      <x:c r="AJ107" s="234" t="inlineStr">
        <x:is>
          <x:t xml:space="preserve">CSV-D028</x:t>
        </x:is>
      </x:c>
      <x:c r="AK107" s="234" t="n">
        <x:v>28</x:v>
      </x:c>
      <x:c r="AL107" s="234" t="inlineStr">
        <x:is>
          <x:t xml:space="preserve">SPIRALS AND PETALS</x:t>
        </x:is>
      </x:c>
      <x:c r="AM107" s="234" t="inlineStr">
        <x:is>
          <x:t xml:space="preserve">0</x:t>
        </x:is>
      </x:c>
      <x:c r="AN107" s="234" t="inlineStr">
        <x:is>
          <x:t xml:space="preserve">8</x:t>
        </x:is>
      </x:c>
      <x:c r="AO107" s="234" t="inlineStr">
        <x:is>
          <x:t xml:space="preserve">0</x:t>
        </x:is>
      </x:c>
      <x:c r="AP107" s="234" t="inlineStr">
        <x:is>
          <x:t xml:space="preserve">LEFT AND RIGHT OF THE PAGE</x:t>
        </x:is>
      </x:c>
      <x:c r="AQ107" s="234" t="inlineStr">
        <x:is>
          <x:t xml:space="preserve">0</x:t>
        </x:is>
      </x:c>
      <x:c r="AR107" s="234" t="inlineStr">
        <x:is>
          <x:t xml:space="preserve">SPIRAL AND PETS ON THE RIGHT SIDE HAVE 5 FULL BLACK PETALS BUT ON THE LEFT SIDE THERE ARE 2 WHITE AND 3 BLACK</x:t>
        </x:is>
      </x:c>
      <x:c r="AS107" s="234" t="n"/>
      <x:c r="AT107" s="234" t="inlineStr">
        <x:is>
          <x:t xml:space="preserve">POPULATED_SOURCE_RECORD</x:t>
        </x:is>
      </x:c>
      <x:c r="AU107" s="234" t="inlineStr">
        <x:is>
          <x:t xml:space="preserve">NO_ANNOTATED_IMAGE_IN_ANNOTATED_REPOSITORY</x:t>
        </x:is>
      </x:c>
    </x:row>
    <x:row r="108" s="232" customFormat="1" ht="32" customHeight="1">
      <x:c r="A108" s="234" t="n">
        <x:v>61</x:v>
      </x:c>
      <x:c r="B108" s="234" t="n"/>
      <x:c r="C108" s="234" t="inlineStr">
        <x:is>
          <x:t xml:space="preserve">LP061-F90</x:t>
        </x:is>
      </x:c>
      <x:c r="D108" s="234" t="inlineStr">
        <x:is>
          <x:t xml:space="preserve">CSV source spreadsheet; feature-level representation</x:t>
        </x:is>
      </x:c>
      <x:c r="E108" s="234" t="n"/>
      <x:c r="F108" s="234" t="n"/>
      <x:c r="G108" s="234" t="inlineStr">
        <x:is>
          <x:t xml:space="preserve">paired spiral/petal motif (page-level)</x:t>
        </x:is>
      </x:c>
      <x:c r="H108" s="234" t="inlineStr">
        <x:is>
          <x:t xml:space="preserve">Source CSV visual-object label: SPIRALS AND PETALS. Source note: SPIRAL AND PETS ON THE RIGHT SIDE HAVE 5 FULL BLACK PETALS BUT ON THE LEFT SIDE THERE ARE 2 WHITE AND 3 BLACK</x:t>
        </x:is>
      </x:c>
      <x:c r="I108" s="234" t="n"/>
      <x:c r="J108" s="234" t="n"/>
      <x:c r="K108" s="234" t="n"/>
      <x:c r="L108" s="234" t="n"/>
      <x:c r="M108" s="234" t="n"/>
      <x:c r="N108" s="234" t="n"/>
      <x:c r="O108" s="234" t="n"/>
      <x:c r="P108" s="234" t="n"/>
      <x:c r="Q108" s="234" t="inlineStr">
        <x:is>
          <x:t xml:space="preserve">left and right of page</x:t>
        </x:is>
      </x:c>
      <x:c r="R108" s="234" t="n"/>
      <x:c r="S108" s="234" t="n"/>
      <x:c r="T108" s="234" t="n"/>
      <x:c r="U108" s="234" t="n"/>
      <x:c r="V108" s="234" t="n"/>
      <x:c r="W108" s="234" t="n"/>
      <x:c r="X108" s="234" t="inlineStr">
        <x:is>
          <x:t xml:space="preserve">Both margins beside central text; page-level motif summary</x:t>
        </x:is>
      </x:c>
      <x:c r="Y108" s="234" t="n"/>
      <x:c r="Z108" s="234" t="inlineStr">
        <x:is>
          <x:t xml:space="preserve">medium</x:t>
        </x:is>
      </x:c>
      <x:c r="AA108" s="234" t="inlineStr">
        <x:is>
          <x:t xml:space="preserve">CSV_RECORDED_NOT_IMAGE_VERIFIED</x:t>
        </x:is>
      </x:c>
      <x:c r="AB108" s="234" t="inlineStr">
        <x:is>
          <x:t xml:space="preserve">https://github.com/mrroot01011001/Cicada-3301-/tree/main/liber-primus/pages</x:t>
        </x:is>
      </x:c>
      <x:c r="AC108" s="234" t="n"/>
      <x:c r="AD108" s="234" t="inlineStr">
        <x:is>
          <x:t xml:space="preserve">Composite motif row retained alongside left/right component rows. Page-level counts in source fields are context, not counts to sum across every feature row.</x:t>
        </x:is>
      </x:c>
      <x:c r="AE108" s="234" t="n"/>
      <x:c r="AF108" s="234" t="n"/>
      <x:c r="AG108" s="234" t="n"/>
      <x:c r="AH108" s="234" t="inlineStr">
        <x:is>
          <x:t xml:space="preserve">single_page</x:t>
        </x:is>
      </x:c>
      <x:c r="AI108" s="234" t="inlineStr">
        <x:is>
          <x:t xml:space="preserve">61.JPG</x:t>
        </x:is>
      </x:c>
      <x:c r="AJ108" s="234" t="inlineStr">
        <x:is>
          <x:t xml:space="preserve">CSV-D029</x:t>
        </x:is>
      </x:c>
      <x:c r="AK108" s="234" t="n">
        <x:v>29</x:v>
      </x:c>
      <x:c r="AL108" s="234" t="inlineStr">
        <x:is>
          <x:t xml:space="preserve">SPIRALS AND PETALS</x:t>
        </x:is>
      </x:c>
      <x:c r="AM108" s="234" t="inlineStr">
        <x:is>
          <x:t xml:space="preserve">0</x:t>
        </x:is>
      </x:c>
      <x:c r="AN108" s="234" t="inlineStr">
        <x:is>
          <x:t xml:space="preserve">8</x:t>
        </x:is>
      </x:c>
      <x:c r="AO108" s="234" t="inlineStr">
        <x:is>
          <x:t xml:space="preserve">0</x:t>
        </x:is>
      </x:c>
      <x:c r="AP108" s="234" t="inlineStr">
        <x:is>
          <x:t xml:space="preserve">LEFT AND RIGHT OF THE PAGE</x:t>
        </x:is>
      </x:c>
      <x:c r="AQ108" s="234" t="inlineStr">
        <x:is>
          <x:t xml:space="preserve">0</x:t>
        </x:is>
      </x:c>
      <x:c r="AR108" s="234" t="inlineStr">
        <x:is>
          <x:t xml:space="preserve">SPIRAL AND PETS ON THE RIGHT SIDE HAVE 5 FULL BLACK PETALS BUT ON THE LEFT SIDE THERE ARE 2 WHITE AND 3 BLACK</x:t>
        </x:is>
      </x:c>
      <x:c r="AS108" s="234" t="n"/>
      <x:c r="AT108" s="234" t="inlineStr">
        <x:is>
          <x:t xml:space="preserve">POPULATED_SOURCE_RECORD</x:t>
        </x:is>
      </x:c>
      <x:c r="AU108" s="234" t="inlineStr">
        <x:is>
          <x:t xml:space="preserve">NO_ANNOTATED_IMAGE_IN_ANNOTATED_REPOSITORY</x:t>
        </x:is>
      </x:c>
    </x:row>
    <x:row r="109" s="232" customFormat="1" ht="32" customHeight="1">
      <x:c r="A109" s="234" t="n">
        <x:v>61</x:v>
      </x:c>
      <x:c r="B109" s="234" t="n"/>
      <x:c r="C109" s="234" t="inlineStr">
        <x:is>
          <x:t xml:space="preserve">LP061-F91</x:t>
        </x:is>
      </x:c>
      <x:c r="D109" s="234" t="inlineStr">
        <x:is>
          <x:t xml:space="preserve">CSV source spreadsheet; feature-level representation</x:t>
        </x:is>
      </x:c>
      <x:c r="E109" s="234" t="n"/>
      <x:c r="F109" s="234" t="n"/>
      <x:c r="G109" s="234" t="inlineStr">
        <x:is>
          <x:t xml:space="preserve">left-side petal group</x:t>
        </x:is>
      </x:c>
      <x:c r="H109" s="234" t="inlineStr">
        <x:is>
          <x:t xml:space="preserve">Source CSV reports two white/unfilled petals and three black/filled petals on the left-side spiral/petal motif.</x:t>
        </x:is>
      </x:c>
      <x:c r="I109" s="234" t="n"/>
      <x:c r="J109" s="234" t="n"/>
      <x:c r="K109" s="234" t="n"/>
      <x:c r="L109" s="234" t="n"/>
      <x:c r="M109" s="234" t="n"/>
      <x:c r="N109" s="234" t="n"/>
      <x:c r="O109" s="234" t="n"/>
      <x:c r="P109" s="234" t="n"/>
      <x:c r="Q109" s="234" t="inlineStr">
        <x:is>
          <x:t xml:space="preserve">left side of page</x:t>
        </x:is>
      </x:c>
      <x:c r="R109" s="234" t="n"/>
      <x:c r="S109" s="234" t="n"/>
      <x:c r="T109" s="234" t="n"/>
      <x:c r="U109" s="234" t="n"/>
      <x:c r="V109" s="234" t="n"/>
      <x:c r="W109" s="234" t="n"/>
      <x:c r="X109" s="234" t="inlineStr">
        <x:is>
          <x:t xml:space="preserve">left spiral/petal decoration</x:t>
        </x:is>
      </x:c>
      <x:c r="Y109" s="234" t="n"/>
      <x:c r="Z109" s="234" t="inlineStr">
        <x:is>
          <x:t xml:space="preserve">medium</x:t>
        </x:is>
      </x:c>
      <x:c r="AA109" s="234" t="inlineStr">
        <x:is>
          <x:t xml:space="preserve">CSV_RECORDED_NOT_IMAGE_VERIFIED</x:t>
        </x:is>
      </x:c>
      <x:c r="AB109" s="234" t="inlineStr">
        <x:is>
          <x:t xml:space="preserve">https://github.com/mrroot01011001/Cicada-3301-/tree/main/liber-primus/pages</x:t>
        </x:is>
      </x:c>
      <x:c r="AC109" s="234" t="n"/>
      <x:c r="AD109" s="234" t="inlineStr">
        <x:is>
          <x:t xml:space="preserve">Petal counts and filled/unfilled distinctions are preserved from the source notes, not independently counted from image coordinates.</x:t>
        </x:is>
      </x:c>
      <x:c r="AE109" s="234" t="n">
        <x:v>5</x:v>
      </x:c>
      <x:c r="AF109" s="234" t="n">
        <x:v>3</x:v>
      </x:c>
      <x:c r="AG109" s="234" t="n">
        <x:v>2</x:v>
      </x:c>
      <x:c r="AH109" s="234" t="inlineStr">
        <x:is>
          <x:t xml:space="preserve">single_page</x:t>
        </x:is>
      </x:c>
      <x:c r="AI109" s="234" t="inlineStr">
        <x:is>
          <x:t xml:space="preserve">61.JPG</x:t>
        </x:is>
      </x:c>
      <x:c r="AJ109" s="234" t="inlineStr">
        <x:is>
          <x:t xml:space="preserve">CSV-D029</x:t>
        </x:is>
      </x:c>
      <x:c r="AK109" s="234" t="n">
        <x:v>29</x:v>
      </x:c>
      <x:c r="AL109" s="234" t="inlineStr">
        <x:is>
          <x:t xml:space="preserve">SPIRALS AND PETALS</x:t>
        </x:is>
      </x:c>
      <x:c r="AM109" s="234" t="inlineStr">
        <x:is>
          <x:t xml:space="preserve">0</x:t>
        </x:is>
      </x:c>
      <x:c r="AN109" s="234" t="inlineStr">
        <x:is>
          <x:t xml:space="preserve">8</x:t>
        </x:is>
      </x:c>
      <x:c r="AO109" s="234" t="inlineStr">
        <x:is>
          <x:t xml:space="preserve">0</x:t>
        </x:is>
      </x:c>
      <x:c r="AP109" s="234" t="inlineStr">
        <x:is>
          <x:t xml:space="preserve">LEFT AND RIGHT OF THE PAGE</x:t>
        </x:is>
      </x:c>
      <x:c r="AQ109" s="234" t="inlineStr">
        <x:is>
          <x:t xml:space="preserve">0</x:t>
        </x:is>
      </x:c>
      <x:c r="AR109" s="234" t="inlineStr">
        <x:is>
          <x:t xml:space="preserve">SPIRAL AND PETS ON THE RIGHT SIDE HAVE 5 FULL BLACK PETALS BUT ON THE LEFT SIDE THERE ARE 2 WHITE AND 3 BLACK</x:t>
        </x:is>
      </x:c>
      <x:c r="AS109" s="234" t="n"/>
      <x:c r="AT109" s="234" t="inlineStr">
        <x:is>
          <x:t xml:space="preserve">POPULATED_SOURCE_RECORD</x:t>
        </x:is>
      </x:c>
      <x:c r="AU109" s="234" t="inlineStr">
        <x:is>
          <x:t xml:space="preserve">NO_ANNOTATED_IMAGE_IN_ANNOTATED_REPOSITORY</x:t>
        </x:is>
      </x:c>
    </x:row>
    <x:row r="110" s="232" customFormat="1" ht="32" customHeight="1">
      <x:c r="A110" s="234" t="n">
        <x:v>61</x:v>
      </x:c>
      <x:c r="B110" s="234" t="n"/>
      <x:c r="C110" s="234" t="inlineStr">
        <x:is>
          <x:t xml:space="preserve">LP061-F92</x:t>
        </x:is>
      </x:c>
      <x:c r="D110" s="234" t="inlineStr">
        <x:is>
          <x:t xml:space="preserve">CSV source spreadsheet; feature-level representation</x:t>
        </x:is>
      </x:c>
      <x:c r="E110" s="234" t="n"/>
      <x:c r="F110" s="234" t="n"/>
      <x:c r="G110" s="234" t="inlineStr">
        <x:is>
          <x:t xml:space="preserve">right-side petal group</x:t>
        </x:is>
      </x:c>
      <x:c r="H110" s="234" t="inlineStr">
        <x:is>
          <x:t xml:space="preserve">Source CSV reports five fully black/filled petals on the right-side spiral/petal motif.</x:t>
        </x:is>
      </x:c>
      <x:c r="I110" s="234" t="n"/>
      <x:c r="J110" s="234" t="n"/>
      <x:c r="K110" s="234" t="n"/>
      <x:c r="L110" s="234" t="n"/>
      <x:c r="M110" s="234" t="n"/>
      <x:c r="N110" s="234" t="n"/>
      <x:c r="O110" s="234" t="n"/>
      <x:c r="P110" s="234" t="n"/>
      <x:c r="Q110" s="234" t="inlineStr">
        <x:is>
          <x:t xml:space="preserve">right side of page</x:t>
        </x:is>
      </x:c>
      <x:c r="R110" s="234" t="n"/>
      <x:c r="S110" s="234" t="n"/>
      <x:c r="T110" s="234" t="n"/>
      <x:c r="U110" s="234" t="n"/>
      <x:c r="V110" s="234" t="n"/>
      <x:c r="W110" s="234" t="n"/>
      <x:c r="X110" s="234" t="inlineStr">
        <x:is>
          <x:t xml:space="preserve">right spiral/petal decoration</x:t>
        </x:is>
      </x:c>
      <x:c r="Y110" s="234" t="n"/>
      <x:c r="Z110" s="234" t="inlineStr">
        <x:is>
          <x:t xml:space="preserve">medium</x:t>
        </x:is>
      </x:c>
      <x:c r="AA110" s="234" t="inlineStr">
        <x:is>
          <x:t xml:space="preserve">CSV_RECORDED_NOT_IMAGE_VERIFIED</x:t>
        </x:is>
      </x:c>
      <x:c r="AB110" s="234" t="inlineStr">
        <x:is>
          <x:t xml:space="preserve">https://github.com/mrroot01011001/Cicada-3301-/tree/main/liber-primus/pages</x:t>
        </x:is>
      </x:c>
      <x:c r="AC110" s="234" t="n"/>
      <x:c r="AD110" s="234" t="inlineStr">
        <x:is>
          <x:t xml:space="preserve">The zero unfilled petals is implied by the source's '5 full black petals' description; verify visually before treating this as a measured count.</x:t>
        </x:is>
      </x:c>
      <x:c r="AE110" s="234" t="n">
        <x:v>5</x:v>
      </x:c>
      <x:c r="AF110" s="234" t="n">
        <x:v>5</x:v>
      </x:c>
      <x:c r="AG110" s="234" t="n">
        <x:v>0</x:v>
      </x:c>
      <x:c r="AH110" s="234" t="inlineStr">
        <x:is>
          <x:t xml:space="preserve">single_page</x:t>
        </x:is>
      </x:c>
      <x:c r="AI110" s="234" t="inlineStr">
        <x:is>
          <x:t xml:space="preserve">61.JPG</x:t>
        </x:is>
      </x:c>
      <x:c r="AJ110" s="234" t="inlineStr">
        <x:is>
          <x:t xml:space="preserve">CSV-D029</x:t>
        </x:is>
      </x:c>
      <x:c r="AK110" s="234" t="n">
        <x:v>29</x:v>
      </x:c>
      <x:c r="AL110" s="234" t="inlineStr">
        <x:is>
          <x:t xml:space="preserve">SPIRALS AND PETALS</x:t>
        </x:is>
      </x:c>
      <x:c r="AM110" s="234" t="inlineStr">
        <x:is>
          <x:t xml:space="preserve">0</x:t>
        </x:is>
      </x:c>
      <x:c r="AN110" s="234" t="inlineStr">
        <x:is>
          <x:t xml:space="preserve">8</x:t>
        </x:is>
      </x:c>
      <x:c r="AO110" s="234" t="inlineStr">
        <x:is>
          <x:t xml:space="preserve">0</x:t>
        </x:is>
      </x:c>
      <x:c r="AP110" s="234" t="inlineStr">
        <x:is>
          <x:t xml:space="preserve">LEFT AND RIGHT OF THE PAGE</x:t>
        </x:is>
      </x:c>
      <x:c r="AQ110" s="234" t="inlineStr">
        <x:is>
          <x:t xml:space="preserve">0</x:t>
        </x:is>
      </x:c>
      <x:c r="AR110" s="234" t="inlineStr">
        <x:is>
          <x:t xml:space="preserve">SPIRAL AND PETS ON THE RIGHT SIDE HAVE 5 FULL BLACK PETALS BUT ON THE LEFT SIDE THERE ARE 2 WHITE AND 3 BLACK</x:t>
        </x:is>
      </x:c>
      <x:c r="AS110" s="234" t="n"/>
      <x:c r="AT110" s="234" t="inlineStr">
        <x:is>
          <x:t xml:space="preserve">POPULATED_SOURCE_RECORD</x:t>
        </x:is>
      </x:c>
      <x:c r="AU110" s="234" t="inlineStr">
        <x:is>
          <x:t xml:space="preserve">NO_ANNOTATED_IMAGE_IN_ANNOTATED_REPOSITORY</x:t>
        </x:is>
      </x:c>
    </x:row>
    <x:row r="111" s="232" customFormat="1" ht="32" customHeight="1">
      <x:c r="A111" s="234" t="n">
        <x:v>61</x:v>
      </x:c>
      <x:c r="B111" s="234" t="n"/>
      <x:c r="C111" s="234" t="inlineStr">
        <x:is>
          <x:t xml:space="preserve">LP061-F93</x:t>
        </x:is>
      </x:c>
      <x:c r="D111" s="234" t="inlineStr">
        <x:is>
          <x:t xml:space="preserve">CSV source spreadsheet; feature-level representation</x:t>
        </x:is>
      </x:c>
      <x:c r="E111" s="234" t="n"/>
      <x:c r="F111" s="234" t="n"/>
      <x:c r="G111" s="234" t="inlineStr">
        <x:is>
          <x:t xml:space="preserve">left-side plant/root/spiral ornament</x:t>
        </x:is>
      </x:c>
      <x:c r="H111" s="234" t="inlineStr">
        <x:is>
          <x:t xml:space="preserve">Source CSV lists paired spiral/petal artwork on both sides. This row records the left-side motif as a separate spatial feature; detailed branches, roots, and endpoints have not been measured.</x:t>
        </x:is>
      </x:c>
      <x:c r="I111" s="234" t="n"/>
      <x:c r="J111" s="234" t="n"/>
      <x:c r="K111" s="234" t="n"/>
      <x:c r="L111" s="234" t="n"/>
      <x:c r="M111" s="234" t="n"/>
      <x:c r="N111" s="234" t="n"/>
      <x:c r="O111" s="234" t="n"/>
      <x:c r="P111" s="234" t="n"/>
      <x:c r="Q111" s="234" t="inlineStr">
        <x:is>
          <x:t xml:space="preserve">left side of page</x:t>
        </x:is>
      </x:c>
      <x:c r="R111" s="234" t="n"/>
      <x:c r="S111" s="234" t="n"/>
      <x:c r="T111" s="234" t="n"/>
      <x:c r="U111" s="234" t="n"/>
      <x:c r="V111" s="234" t="n"/>
      <x:c r="W111" s="234" t="n"/>
      <x:c r="X111" s="234" t="inlineStr">
        <x:is>
          <x:t xml:space="preserve">left margin beside glyph block</x:t>
        </x:is>
      </x:c>
      <x:c r="Y111" s="234" t="n"/>
      <x:c r="Z111" s="234" t="inlineStr">
        <x:is>
          <x:t xml:space="preserve">medium</x:t>
        </x:is>
      </x:c>
      <x:c r="AA111" s="234" t="inlineStr">
        <x:is>
          <x:t xml:space="preserve">CSV_RECORDED_NOT_IMAGE_VERIFIED</x:t>
        </x:is>
      </x:c>
      <x:c r="AB111" s="234" t="inlineStr">
        <x:is>
          <x:t xml:space="preserve">https://github.com/mrroot01011001/Cicada-3301-/tree/main/liber-primus/pages</x:t>
        </x:is>
      </x:c>
      <x:c r="AC111" s="234" t="n"/>
      <x:c r="AD111" s="234" t="inlineStr">
        <x:is>
          <x:t xml:space="preserve">No corresponding annotated image is present in the annotated-pages repository; retain source observation without adding unverified geometry.</x:t>
        </x:is>
      </x:c>
      <x:c r="AE111" s="234" t="n"/>
      <x:c r="AF111" s="234" t="n"/>
      <x:c r="AG111" s="234" t="n"/>
      <x:c r="AH111" s="234" t="inlineStr">
        <x:is>
          <x:t xml:space="preserve">single_page</x:t>
        </x:is>
      </x:c>
      <x:c r="AI111" s="234" t="inlineStr">
        <x:is>
          <x:t xml:space="preserve">61.JPG</x:t>
        </x:is>
      </x:c>
      <x:c r="AJ111" s="234" t="inlineStr">
        <x:is>
          <x:t xml:space="preserve">CSV-D029</x:t>
        </x:is>
      </x:c>
      <x:c r="AK111" s="234" t="n">
        <x:v>29</x:v>
      </x:c>
      <x:c r="AL111" s="234" t="inlineStr">
        <x:is>
          <x:t xml:space="preserve">SPIRALS AND PETALS</x:t>
        </x:is>
      </x:c>
      <x:c r="AM111" s="234" t="inlineStr">
        <x:is>
          <x:t xml:space="preserve">0</x:t>
        </x:is>
      </x:c>
      <x:c r="AN111" s="234" t="inlineStr">
        <x:is>
          <x:t xml:space="preserve">8</x:t>
        </x:is>
      </x:c>
      <x:c r="AO111" s="234" t="inlineStr">
        <x:is>
          <x:t xml:space="preserve">0</x:t>
        </x:is>
      </x:c>
      <x:c r="AP111" s="234" t="inlineStr">
        <x:is>
          <x:t xml:space="preserve">LEFT AND RIGHT OF THE PAGE</x:t>
        </x:is>
      </x:c>
      <x:c r="AQ111" s="234" t="inlineStr">
        <x:is>
          <x:t xml:space="preserve">0</x:t>
        </x:is>
      </x:c>
      <x:c r="AR111" s="234" t="inlineStr">
        <x:is>
          <x:t xml:space="preserve">SPIRAL AND PETS ON THE RIGHT SIDE HAVE 5 FULL BLACK PETALS BUT ON THE LEFT SIDE THERE ARE 2 WHITE AND 3 BLACK</x:t>
        </x:is>
      </x:c>
      <x:c r="AS111" s="234" t="n"/>
      <x:c r="AT111" s="234" t="inlineStr">
        <x:is>
          <x:t xml:space="preserve">POPULATED_SOURCE_RECORD</x:t>
        </x:is>
      </x:c>
      <x:c r="AU111" s="234" t="inlineStr">
        <x:is>
          <x:t xml:space="preserve">NO_ANNOTATED_IMAGE_IN_ANNOTATED_REPOSITORY</x:t>
        </x:is>
      </x:c>
    </x:row>
    <x:row r="112" s="232" customFormat="1" ht="32" customHeight="1">
      <x:c r="A112" s="234" t="n">
        <x:v>61</x:v>
      </x:c>
      <x:c r="B112" s="234" t="n"/>
      <x:c r="C112" s="234" t="inlineStr">
        <x:is>
          <x:t xml:space="preserve">LP061-F94</x:t>
        </x:is>
      </x:c>
      <x:c r="D112" s="234" t="inlineStr">
        <x:is>
          <x:t xml:space="preserve">CSV source spreadsheet; feature-level representation</x:t>
        </x:is>
      </x:c>
      <x:c r="E112" s="234" t="n"/>
      <x:c r="F112" s="234" t="n"/>
      <x:c r="G112" s="234" t="inlineStr">
        <x:is>
          <x:t xml:space="preserve">right-side plant/root/spiral ornament</x:t>
        </x:is>
      </x:c>
      <x:c r="H112" s="234" t="inlineStr">
        <x:is>
          <x:t xml:space="preserve">Source CSV lists paired spiral/petal artwork on both sides. This row records the right-side motif as a separate spatial feature; detailed branches, roots, and endpoints have not been measured.</x:t>
        </x:is>
      </x:c>
      <x:c r="I112" s="234" t="n"/>
      <x:c r="J112" s="234" t="n"/>
      <x:c r="K112" s="234" t="n"/>
      <x:c r="L112" s="234" t="n"/>
      <x:c r="M112" s="234" t="n"/>
      <x:c r="N112" s="234" t="n"/>
      <x:c r="O112" s="234" t="n"/>
      <x:c r="P112" s="234" t="n"/>
      <x:c r="Q112" s="234" t="inlineStr">
        <x:is>
          <x:t xml:space="preserve">right side of page</x:t>
        </x:is>
      </x:c>
      <x:c r="R112" s="234" t="n"/>
      <x:c r="S112" s="234" t="n"/>
      <x:c r="T112" s="234" t="n"/>
      <x:c r="U112" s="234" t="n"/>
      <x:c r="V112" s="234" t="n"/>
      <x:c r="W112" s="234" t="n"/>
      <x:c r="X112" s="234" t="inlineStr">
        <x:is>
          <x:t xml:space="preserve">right margin beside glyph block</x:t>
        </x:is>
      </x:c>
      <x:c r="Y112" s="234" t="n"/>
      <x:c r="Z112" s="234" t="inlineStr">
        <x:is>
          <x:t xml:space="preserve">medium</x:t>
        </x:is>
      </x:c>
      <x:c r="AA112" s="234" t="inlineStr">
        <x:is>
          <x:t xml:space="preserve">CSV_RECORDED_NOT_IMAGE_VERIFIED</x:t>
        </x:is>
      </x:c>
      <x:c r="AB112" s="234" t="inlineStr">
        <x:is>
          <x:t xml:space="preserve">https://github.com/mrroot01011001/Cicada-3301-/tree/main/liber-primus/pages</x:t>
        </x:is>
      </x:c>
      <x:c r="AC112" s="234" t="n"/>
      <x:c r="AD112" s="234" t="inlineStr">
        <x:is>
          <x:t xml:space="preserve">No corresponding annotated image is present in the annotated-pages repository; retain source observation without adding unverified geometry.</x:t>
        </x:is>
      </x:c>
      <x:c r="AE112" s="234" t="n"/>
      <x:c r="AF112" s="234" t="n"/>
      <x:c r="AG112" s="234" t="n"/>
      <x:c r="AH112" s="234" t="inlineStr">
        <x:is>
          <x:t xml:space="preserve">single_page</x:t>
        </x:is>
      </x:c>
      <x:c r="AI112" s="234" t="inlineStr">
        <x:is>
          <x:t xml:space="preserve">61.JPG</x:t>
        </x:is>
      </x:c>
      <x:c r="AJ112" s="234" t="inlineStr">
        <x:is>
          <x:t xml:space="preserve">CSV-D029</x:t>
        </x:is>
      </x:c>
      <x:c r="AK112" s="234" t="n">
        <x:v>29</x:v>
      </x:c>
      <x:c r="AL112" s="234" t="inlineStr">
        <x:is>
          <x:t xml:space="preserve">SPIRALS AND PETALS</x:t>
        </x:is>
      </x:c>
      <x:c r="AM112" s="234" t="inlineStr">
        <x:is>
          <x:t xml:space="preserve">0</x:t>
        </x:is>
      </x:c>
      <x:c r="AN112" s="234" t="inlineStr">
        <x:is>
          <x:t xml:space="preserve">8</x:t>
        </x:is>
      </x:c>
      <x:c r="AO112" s="234" t="inlineStr">
        <x:is>
          <x:t xml:space="preserve">0</x:t>
        </x:is>
      </x:c>
      <x:c r="AP112" s="234" t="inlineStr">
        <x:is>
          <x:t xml:space="preserve">LEFT AND RIGHT OF THE PAGE</x:t>
        </x:is>
      </x:c>
      <x:c r="AQ112" s="234" t="inlineStr">
        <x:is>
          <x:t xml:space="preserve">0</x:t>
        </x:is>
      </x:c>
      <x:c r="AR112" s="234" t="inlineStr">
        <x:is>
          <x:t xml:space="preserve">SPIRAL AND PETS ON THE RIGHT SIDE HAVE 5 FULL BLACK PETALS BUT ON THE LEFT SIDE THERE ARE 2 WHITE AND 3 BLACK</x:t>
        </x:is>
      </x:c>
      <x:c r="AS112" s="234" t="n"/>
      <x:c r="AT112" s="234" t="inlineStr">
        <x:is>
          <x:t xml:space="preserve">POPULATED_SOURCE_RECORD</x:t>
        </x:is>
      </x:c>
      <x:c r="AU112" s="234" t="inlineStr">
        <x:is>
          <x:t xml:space="preserve">NO_ANNOTATED_IMAGE_IN_ANNOTATED_REPOSITORY</x:t>
        </x:is>
      </x:c>
    </x:row>
    <x:row r="113" s="232" customFormat="1" ht="32" customHeight="1">
      <x:c r="A113" s="234" t="n">
        <x:v>61</x:v>
      </x:c>
      <x:c r="B113" s="234" t="n"/>
      <x:c r="C113" s="234" t="inlineStr">
        <x:is>
          <x:t xml:space="preserve">LP061-F95</x:t>
        </x:is>
      </x:c>
      <x:c r="D113" s="234" t="inlineStr">
        <x:is>
          <x:t xml:space="preserve">CSV source spreadsheet; feature-level representation</x:t>
        </x:is>
      </x:c>
      <x:c r="E113" s="234" t="n"/>
      <x:c r="F113" s="234" t="n"/>
      <x:c r="G113" s="234" t="inlineStr">
        <x:is>
          <x:t xml:space="preserve">external dot count (page aggregate; cluster positions unknown)</x:t>
        </x:is>
      </x:c>
      <x:c r="H113" s="234" t="inlineStr">
        <x:is>
          <x:t xml:space="preserve">Source CSV records eight external dots for this page's paired spiral/petal decoration; individual cluster positions are not separately recorded in the source row.</x:t>
        </x:is>
      </x:c>
      <x:c r="I113" s="234" t="n">
        <x:v>8</x:v>
      </x:c>
      <x:c r="J113" s="234" t="n"/>
      <x:c r="K113" s="234" t="n">
        <x:v>8</x:v>
      </x:c>
      <x:c r="L113" s="234" t="n"/>
      <x:c r="M113" s="234" t="n"/>
      <x:c r="N113" s="234" t="n"/>
      <x:c r="O113" s="234" t="n"/>
      <x:c r="P113" s="234" t="n"/>
      <x:c r="Q113" s="234" t="inlineStr">
        <x:is>
          <x:t xml:space="preserve">left and right of page</x:t>
        </x:is>
      </x:c>
      <x:c r="R113" s="234" t="n"/>
      <x:c r="S113" s="234" t="n"/>
      <x:c r="T113" s="234" t="n"/>
      <x:c r="U113" s="234" t="n"/>
      <x:c r="V113" s="234" t="n"/>
      <x:c r="W113" s="234" t="n"/>
      <x:c r="X113" s="234" t="inlineStr">
        <x:is>
          <x:t xml:space="preserve">Paired spiral/petal decoration; cluster allocation unknown</x:t>
        </x:is>
      </x:c>
      <x:c r="Y113" s="234" t="n"/>
      <x:c r="Z113" s="234" t="inlineStr">
        <x:is>
          <x:t xml:space="preserve">medium</x:t>
        </x:is>
      </x:c>
      <x:c r="AA113" s="234" t="inlineStr">
        <x:is>
          <x:t xml:space="preserve">CSV_RECORDED_NOT_IMAGE_VERIFIED</x:t>
        </x:is>
      </x:c>
      <x:c r="AB113" s="234" t="inlineStr">
        <x:is>
          <x:t xml:space="preserve">https://github.com/mrroot01011001/Cicada-3301-/tree/main/liber-primus/pages</x:t>
        </x:is>
      </x:c>
      <x:c r="AC113" s="234" t="n"/>
      <x:c r="AD113" s="234" t="inlineStr">
        <x:is>
          <x:t xml:space="preserve">Do not infer an exact left/right split from this aggregate; pages 57 and 68 have separate annotated dot-cluster records.</x:t>
        </x:is>
      </x:c>
      <x:c r="AE113" s="234" t="n"/>
      <x:c r="AF113" s="234" t="n"/>
      <x:c r="AG113" s="234" t="n"/>
      <x:c r="AH113" s="234" t="inlineStr">
        <x:is>
          <x:t xml:space="preserve">single_page</x:t>
        </x:is>
      </x:c>
      <x:c r="AI113" s="234" t="inlineStr">
        <x:is>
          <x:t xml:space="preserve">61.JPG</x:t>
        </x:is>
      </x:c>
      <x:c r="AJ113" s="234" t="inlineStr">
        <x:is>
          <x:t xml:space="preserve">CSV-D029</x:t>
        </x:is>
      </x:c>
      <x:c r="AK113" s="234" t="n">
        <x:v>29</x:v>
      </x:c>
      <x:c r="AL113" s="234" t="inlineStr">
        <x:is>
          <x:t xml:space="preserve">SPIRALS AND PETALS</x:t>
        </x:is>
      </x:c>
      <x:c r="AM113" s="234" t="inlineStr">
        <x:is>
          <x:t xml:space="preserve">0</x:t>
        </x:is>
      </x:c>
      <x:c r="AN113" s="234" t="inlineStr">
        <x:is>
          <x:t xml:space="preserve">8</x:t>
        </x:is>
      </x:c>
      <x:c r="AO113" s="234" t="inlineStr">
        <x:is>
          <x:t xml:space="preserve">0</x:t>
        </x:is>
      </x:c>
      <x:c r="AP113" s="234" t="inlineStr">
        <x:is>
          <x:t xml:space="preserve">LEFT AND RIGHT OF THE PAGE</x:t>
        </x:is>
      </x:c>
      <x:c r="AQ113" s="234" t="inlineStr">
        <x:is>
          <x:t xml:space="preserve">0</x:t>
        </x:is>
      </x:c>
      <x:c r="AR113" s="234" t="inlineStr">
        <x:is>
          <x:t xml:space="preserve">SPIRAL AND PETS ON THE RIGHT SIDE HAVE 5 FULL BLACK PETALS BUT ON THE LEFT SIDE THERE ARE 2 WHITE AND 3 BLACK</x:t>
        </x:is>
      </x:c>
      <x:c r="AS113" s="234" t="n"/>
      <x:c r="AT113" s="234" t="inlineStr">
        <x:is>
          <x:t xml:space="preserve">POPULATED_SOURCE_RECORD</x:t>
        </x:is>
      </x:c>
      <x:c r="AU113" s="234" t="inlineStr">
        <x:is>
          <x:t xml:space="preserve">NO_ANNOTATED_IMAGE_IN_ANNOTATED_REPOSITORY</x:t>
        </x:is>
      </x:c>
    </x:row>
    <x:row r="114" s="232" customFormat="1" ht="32" customHeight="1">
      <x:c r="A114" s="234" t="n">
        <x:v>62</x:v>
      </x:c>
      <x:c r="B114" s="234" t="n"/>
      <x:c r="C114" s="234" t="inlineStr">
        <x:is>
          <x:t xml:space="preserve">LP062-F90</x:t>
        </x:is>
      </x:c>
      <x:c r="D114" s="234" t="inlineStr">
        <x:is>
          <x:t xml:space="preserve">CSV source spreadsheet; feature-level representation</x:t>
        </x:is>
      </x:c>
      <x:c r="E114" s="234" t="n"/>
      <x:c r="F114" s="234" t="n"/>
      <x:c r="G114" s="234" t="inlineStr">
        <x:is>
          <x:t xml:space="preserve">paired spiral/petal motif (page-level)</x:t>
        </x:is>
      </x:c>
      <x:c r="H114" s="234" t="inlineStr">
        <x:is>
          <x:t xml:space="preserve">Source CSV visual-object label: SPIRALS AND PETALS. Source note: SPIRAL AND PETS ON THE RIGHT SIDE HAVE 5 FULL BLACK PETALS BUT ON THE LEFT SIDE THERE ARE 2 WHITE AND 3 BLACK</x:t>
        </x:is>
      </x:c>
      <x:c r="I114" s="234" t="n"/>
      <x:c r="J114" s="234" t="n"/>
      <x:c r="K114" s="234" t="n"/>
      <x:c r="L114" s="234" t="n"/>
      <x:c r="M114" s="234" t="n"/>
      <x:c r="N114" s="234" t="n"/>
      <x:c r="O114" s="234" t="n"/>
      <x:c r="P114" s="234" t="n"/>
      <x:c r="Q114" s="234" t="inlineStr">
        <x:is>
          <x:t xml:space="preserve">left and right of page</x:t>
        </x:is>
      </x:c>
      <x:c r="R114" s="234" t="n"/>
      <x:c r="S114" s="234" t="n"/>
      <x:c r="T114" s="234" t="n"/>
      <x:c r="U114" s="234" t="n"/>
      <x:c r="V114" s="234" t="n"/>
      <x:c r="W114" s="234" t="n"/>
      <x:c r="X114" s="234" t="inlineStr">
        <x:is>
          <x:t xml:space="preserve">Both margins beside central text; page-level motif summary</x:t>
        </x:is>
      </x:c>
      <x:c r="Y114" s="234" t="n"/>
      <x:c r="Z114" s="234" t="inlineStr">
        <x:is>
          <x:t xml:space="preserve">medium</x:t>
        </x:is>
      </x:c>
      <x:c r="AA114" s="234" t="inlineStr">
        <x:is>
          <x:t xml:space="preserve">CSV_RECORDED_NOT_IMAGE_VERIFIED</x:t>
        </x:is>
      </x:c>
      <x:c r="AB114" s="234" t="inlineStr">
        <x:is>
          <x:t xml:space="preserve">https://github.com/mrroot01011001/Cicada-3301-/tree/main/liber-primus/pages</x:t>
        </x:is>
      </x:c>
      <x:c r="AC114" s="234" t="n"/>
      <x:c r="AD114" s="234" t="inlineStr">
        <x:is>
          <x:t xml:space="preserve">Composite motif row retained alongside left/right component rows. Page-level counts in source fields are context, not counts to sum across every feature row.</x:t>
        </x:is>
      </x:c>
      <x:c r="AE114" s="234" t="n"/>
      <x:c r="AF114" s="234" t="n"/>
      <x:c r="AG114" s="234" t="n"/>
      <x:c r="AH114" s="234" t="inlineStr">
        <x:is>
          <x:t xml:space="preserve">single_page</x:t>
        </x:is>
      </x:c>
      <x:c r="AI114" s="234" t="inlineStr">
        <x:is>
          <x:t xml:space="preserve">62.JPG</x:t>
        </x:is>
      </x:c>
      <x:c r="AJ114" s="234" t="inlineStr">
        <x:is>
          <x:t xml:space="preserve">CSV-D030</x:t>
        </x:is>
      </x:c>
      <x:c r="AK114" s="234" t="n">
        <x:v>30</x:v>
      </x:c>
      <x:c r="AL114" s="234" t="inlineStr">
        <x:is>
          <x:t xml:space="preserve">SPIRALS AND PETALS</x:t>
        </x:is>
      </x:c>
      <x:c r="AM114" s="234" t="inlineStr">
        <x:is>
          <x:t xml:space="preserve">0</x:t>
        </x:is>
      </x:c>
      <x:c r="AN114" s="234" t="inlineStr">
        <x:is>
          <x:t xml:space="preserve">8</x:t>
        </x:is>
      </x:c>
      <x:c r="AO114" s="234" t="inlineStr">
        <x:is>
          <x:t xml:space="preserve">0</x:t>
        </x:is>
      </x:c>
      <x:c r="AP114" s="234" t="inlineStr">
        <x:is>
          <x:t xml:space="preserve">LEFT AND RIGHT OF THE PAGE</x:t>
        </x:is>
      </x:c>
      <x:c r="AQ114" s="234" t="inlineStr">
        <x:is>
          <x:t xml:space="preserve">0</x:t>
        </x:is>
      </x:c>
      <x:c r="AR114" s="234" t="inlineStr">
        <x:is>
          <x:t xml:space="preserve">SPIRAL AND PETS ON THE RIGHT SIDE HAVE 5 FULL BLACK PETALS BUT ON THE LEFT SIDE THERE ARE 2 WHITE AND 3 BLACK</x:t>
        </x:is>
      </x:c>
      <x:c r="AS114" s="234" t="n"/>
      <x:c r="AT114" s="234" t="inlineStr">
        <x:is>
          <x:t xml:space="preserve">POPULATED_SOURCE_RECORD</x:t>
        </x:is>
      </x:c>
      <x:c r="AU114" s="234" t="inlineStr">
        <x:is>
          <x:t xml:space="preserve">NO_ANNOTATED_IMAGE_IN_ANNOTATED_REPOSITORY</x:t>
        </x:is>
      </x:c>
    </x:row>
    <x:row r="115" s="232" customFormat="1" ht="32" customHeight="1">
      <x:c r="A115" s="234" t="n">
        <x:v>62</x:v>
      </x:c>
      <x:c r="B115" s="234" t="n"/>
      <x:c r="C115" s="234" t="inlineStr">
        <x:is>
          <x:t xml:space="preserve">LP062-F91</x:t>
        </x:is>
      </x:c>
      <x:c r="D115" s="234" t="inlineStr">
        <x:is>
          <x:t xml:space="preserve">CSV source spreadsheet; feature-level representation</x:t>
        </x:is>
      </x:c>
      <x:c r="E115" s="234" t="n"/>
      <x:c r="F115" s="234" t="n"/>
      <x:c r="G115" s="234" t="inlineStr">
        <x:is>
          <x:t xml:space="preserve">left-side petal group</x:t>
        </x:is>
      </x:c>
      <x:c r="H115" s="234" t="inlineStr">
        <x:is>
          <x:t xml:space="preserve">Source CSV reports two white/unfilled petals and three black/filled petals on the left-side spiral/petal motif.</x:t>
        </x:is>
      </x:c>
      <x:c r="I115" s="234" t="n"/>
      <x:c r="J115" s="234" t="n"/>
      <x:c r="K115" s="234" t="n"/>
      <x:c r="L115" s="234" t="n"/>
      <x:c r="M115" s="234" t="n"/>
      <x:c r="N115" s="234" t="n"/>
      <x:c r="O115" s="234" t="n"/>
      <x:c r="P115" s="234" t="n"/>
      <x:c r="Q115" s="234" t="inlineStr">
        <x:is>
          <x:t xml:space="preserve">left side of page</x:t>
        </x:is>
      </x:c>
      <x:c r="R115" s="234" t="n"/>
      <x:c r="S115" s="234" t="n"/>
      <x:c r="T115" s="234" t="n"/>
      <x:c r="U115" s="234" t="n"/>
      <x:c r="V115" s="234" t="n"/>
      <x:c r="W115" s="234" t="n"/>
      <x:c r="X115" s="234" t="inlineStr">
        <x:is>
          <x:t xml:space="preserve">left spiral/petal decoration</x:t>
        </x:is>
      </x:c>
      <x:c r="Y115" s="234" t="n"/>
      <x:c r="Z115" s="234" t="inlineStr">
        <x:is>
          <x:t xml:space="preserve">medium</x:t>
        </x:is>
      </x:c>
      <x:c r="AA115" s="234" t="inlineStr">
        <x:is>
          <x:t xml:space="preserve">CSV_RECORDED_NOT_IMAGE_VERIFIED</x:t>
        </x:is>
      </x:c>
      <x:c r="AB115" s="234" t="inlineStr">
        <x:is>
          <x:t xml:space="preserve">https://github.com/mrroot01011001/Cicada-3301-/tree/main/liber-primus/pages</x:t>
        </x:is>
      </x:c>
      <x:c r="AC115" s="234" t="n"/>
      <x:c r="AD115" s="234" t="inlineStr">
        <x:is>
          <x:t xml:space="preserve">Petal counts and filled/unfilled distinctions are preserved from the source notes, not independently counted from image coordinates.</x:t>
        </x:is>
      </x:c>
      <x:c r="AE115" s="234" t="n">
        <x:v>5</x:v>
      </x:c>
      <x:c r="AF115" s="234" t="n">
        <x:v>3</x:v>
      </x:c>
      <x:c r="AG115" s="234" t="n">
        <x:v>2</x:v>
      </x:c>
      <x:c r="AH115" s="234" t="inlineStr">
        <x:is>
          <x:t xml:space="preserve">single_page</x:t>
        </x:is>
      </x:c>
      <x:c r="AI115" s="234" t="inlineStr">
        <x:is>
          <x:t xml:space="preserve">62.JPG</x:t>
        </x:is>
      </x:c>
      <x:c r="AJ115" s="234" t="inlineStr">
        <x:is>
          <x:t xml:space="preserve">CSV-D030</x:t>
        </x:is>
      </x:c>
      <x:c r="AK115" s="234" t="n">
        <x:v>30</x:v>
      </x:c>
      <x:c r="AL115" s="234" t="inlineStr">
        <x:is>
          <x:t xml:space="preserve">SPIRALS AND PETALS</x:t>
        </x:is>
      </x:c>
      <x:c r="AM115" s="234" t="inlineStr">
        <x:is>
          <x:t xml:space="preserve">0</x:t>
        </x:is>
      </x:c>
      <x:c r="AN115" s="234" t="inlineStr">
        <x:is>
          <x:t xml:space="preserve">8</x:t>
        </x:is>
      </x:c>
      <x:c r="AO115" s="234" t="inlineStr">
        <x:is>
          <x:t xml:space="preserve">0</x:t>
        </x:is>
      </x:c>
      <x:c r="AP115" s="234" t="inlineStr">
        <x:is>
          <x:t xml:space="preserve">LEFT AND RIGHT OF THE PAGE</x:t>
        </x:is>
      </x:c>
      <x:c r="AQ115" s="234" t="inlineStr">
        <x:is>
          <x:t xml:space="preserve">0</x:t>
        </x:is>
      </x:c>
      <x:c r="AR115" s="234" t="inlineStr">
        <x:is>
          <x:t xml:space="preserve">SPIRAL AND PETS ON THE RIGHT SIDE HAVE 5 FULL BLACK PETALS BUT ON THE LEFT SIDE THERE ARE 2 WHITE AND 3 BLACK</x:t>
        </x:is>
      </x:c>
      <x:c r="AS115" s="234" t="n"/>
      <x:c r="AT115" s="234" t="inlineStr">
        <x:is>
          <x:t xml:space="preserve">POPULATED_SOURCE_RECORD</x:t>
        </x:is>
      </x:c>
      <x:c r="AU115" s="234" t="inlineStr">
        <x:is>
          <x:t xml:space="preserve">NO_ANNOTATED_IMAGE_IN_ANNOTATED_REPOSITORY</x:t>
        </x:is>
      </x:c>
    </x:row>
    <x:row r="116" s="232" customFormat="1" ht="32" customHeight="1">
      <x:c r="A116" s="234" t="n">
        <x:v>62</x:v>
      </x:c>
      <x:c r="B116" s="234" t="n"/>
      <x:c r="C116" s="234" t="inlineStr">
        <x:is>
          <x:t xml:space="preserve">LP062-F92</x:t>
        </x:is>
      </x:c>
      <x:c r="D116" s="234" t="inlineStr">
        <x:is>
          <x:t xml:space="preserve">CSV source spreadsheet; feature-level representation</x:t>
        </x:is>
      </x:c>
      <x:c r="E116" s="234" t="n"/>
      <x:c r="F116" s="234" t="n"/>
      <x:c r="G116" s="234" t="inlineStr">
        <x:is>
          <x:t xml:space="preserve">right-side petal group</x:t>
        </x:is>
      </x:c>
      <x:c r="H116" s="234" t="inlineStr">
        <x:is>
          <x:t xml:space="preserve">Source CSV reports five fully black/filled petals on the right-side spiral/petal motif.</x:t>
        </x:is>
      </x:c>
      <x:c r="I116" s="234" t="n"/>
      <x:c r="J116" s="234" t="n"/>
      <x:c r="K116" s="234" t="n"/>
      <x:c r="L116" s="234" t="n"/>
      <x:c r="M116" s="234" t="n"/>
      <x:c r="N116" s="234" t="n"/>
      <x:c r="O116" s="234" t="n"/>
      <x:c r="P116" s="234" t="n"/>
      <x:c r="Q116" s="234" t="inlineStr">
        <x:is>
          <x:t xml:space="preserve">right side of page</x:t>
        </x:is>
      </x:c>
      <x:c r="R116" s="234" t="n"/>
      <x:c r="S116" s="234" t="n"/>
      <x:c r="T116" s="234" t="n"/>
      <x:c r="U116" s="234" t="n"/>
      <x:c r="V116" s="234" t="n"/>
      <x:c r="W116" s="234" t="n"/>
      <x:c r="X116" s="234" t="inlineStr">
        <x:is>
          <x:t xml:space="preserve">right spiral/petal decoration</x:t>
        </x:is>
      </x:c>
      <x:c r="Y116" s="234" t="n"/>
      <x:c r="Z116" s="234" t="inlineStr">
        <x:is>
          <x:t xml:space="preserve">medium</x:t>
        </x:is>
      </x:c>
      <x:c r="AA116" s="234" t="inlineStr">
        <x:is>
          <x:t xml:space="preserve">CSV_RECORDED_NOT_IMAGE_VERIFIED</x:t>
        </x:is>
      </x:c>
      <x:c r="AB116" s="234" t="inlineStr">
        <x:is>
          <x:t xml:space="preserve">https://github.com/mrroot01011001/Cicada-3301-/tree/main/liber-primus/pages</x:t>
        </x:is>
      </x:c>
      <x:c r="AC116" s="234" t="n"/>
      <x:c r="AD116" s="234" t="inlineStr">
        <x:is>
          <x:t xml:space="preserve">The zero unfilled petals is implied by the source's '5 full black petals' description; verify visually before treating this as a measured count.</x:t>
        </x:is>
      </x:c>
      <x:c r="AE116" s="234" t="n">
        <x:v>5</x:v>
      </x:c>
      <x:c r="AF116" s="234" t="n">
        <x:v>5</x:v>
      </x:c>
      <x:c r="AG116" s="234" t="n">
        <x:v>0</x:v>
      </x:c>
      <x:c r="AH116" s="234" t="inlineStr">
        <x:is>
          <x:t xml:space="preserve">single_page</x:t>
        </x:is>
      </x:c>
      <x:c r="AI116" s="234" t="inlineStr">
        <x:is>
          <x:t xml:space="preserve">62.JPG</x:t>
        </x:is>
      </x:c>
      <x:c r="AJ116" s="234" t="inlineStr">
        <x:is>
          <x:t xml:space="preserve">CSV-D030</x:t>
        </x:is>
      </x:c>
      <x:c r="AK116" s="234" t="n">
        <x:v>30</x:v>
      </x:c>
      <x:c r="AL116" s="234" t="inlineStr">
        <x:is>
          <x:t xml:space="preserve">SPIRALS AND PETALS</x:t>
        </x:is>
      </x:c>
      <x:c r="AM116" s="234" t="inlineStr">
        <x:is>
          <x:t xml:space="preserve">0</x:t>
        </x:is>
      </x:c>
      <x:c r="AN116" s="234" t="inlineStr">
        <x:is>
          <x:t xml:space="preserve">8</x:t>
        </x:is>
      </x:c>
      <x:c r="AO116" s="234" t="inlineStr">
        <x:is>
          <x:t xml:space="preserve">0</x:t>
        </x:is>
      </x:c>
      <x:c r="AP116" s="234" t="inlineStr">
        <x:is>
          <x:t xml:space="preserve">LEFT AND RIGHT OF THE PAGE</x:t>
        </x:is>
      </x:c>
      <x:c r="AQ116" s="234" t="inlineStr">
        <x:is>
          <x:t xml:space="preserve">0</x:t>
        </x:is>
      </x:c>
      <x:c r="AR116" s="234" t="inlineStr">
        <x:is>
          <x:t xml:space="preserve">SPIRAL AND PETS ON THE RIGHT SIDE HAVE 5 FULL BLACK PETALS BUT ON THE LEFT SIDE THERE ARE 2 WHITE AND 3 BLACK</x:t>
        </x:is>
      </x:c>
      <x:c r="AS116" s="234" t="n"/>
      <x:c r="AT116" s="234" t="inlineStr">
        <x:is>
          <x:t xml:space="preserve">POPULATED_SOURCE_RECORD</x:t>
        </x:is>
      </x:c>
      <x:c r="AU116" s="234" t="inlineStr">
        <x:is>
          <x:t xml:space="preserve">NO_ANNOTATED_IMAGE_IN_ANNOTATED_REPOSITORY</x:t>
        </x:is>
      </x:c>
    </x:row>
    <x:row r="117" s="232" customFormat="1" ht="32" customHeight="1">
      <x:c r="A117" s="234" t="n">
        <x:v>62</x:v>
      </x:c>
      <x:c r="B117" s="234" t="n"/>
      <x:c r="C117" s="234" t="inlineStr">
        <x:is>
          <x:t xml:space="preserve">LP062-F93</x:t>
        </x:is>
      </x:c>
      <x:c r="D117" s="234" t="inlineStr">
        <x:is>
          <x:t xml:space="preserve">CSV source spreadsheet; feature-level representation</x:t>
        </x:is>
      </x:c>
      <x:c r="E117" s="234" t="n"/>
      <x:c r="F117" s="234" t="n"/>
      <x:c r="G117" s="234" t="inlineStr">
        <x:is>
          <x:t xml:space="preserve">left-side plant/root/spiral ornament</x:t>
        </x:is>
      </x:c>
      <x:c r="H117" s="234" t="inlineStr">
        <x:is>
          <x:t xml:space="preserve">Source CSV lists paired spiral/petal artwork on both sides. This row records the left-side motif as a separate spatial feature; detailed branches, roots, and endpoints have not been measured.</x:t>
        </x:is>
      </x:c>
      <x:c r="I117" s="234" t="n"/>
      <x:c r="J117" s="234" t="n"/>
      <x:c r="K117" s="234" t="n"/>
      <x:c r="L117" s="234" t="n"/>
      <x:c r="M117" s="234" t="n"/>
      <x:c r="N117" s="234" t="n"/>
      <x:c r="O117" s="234" t="n"/>
      <x:c r="P117" s="234" t="n"/>
      <x:c r="Q117" s="234" t="inlineStr">
        <x:is>
          <x:t xml:space="preserve">left side of page</x:t>
        </x:is>
      </x:c>
      <x:c r="R117" s="234" t="n"/>
      <x:c r="S117" s="234" t="n"/>
      <x:c r="T117" s="234" t="n"/>
      <x:c r="U117" s="234" t="n"/>
      <x:c r="V117" s="234" t="n"/>
      <x:c r="W117" s="234" t="n"/>
      <x:c r="X117" s="234" t="inlineStr">
        <x:is>
          <x:t xml:space="preserve">left margin beside glyph block</x:t>
        </x:is>
      </x:c>
      <x:c r="Y117" s="234" t="n"/>
      <x:c r="Z117" s="234" t="inlineStr">
        <x:is>
          <x:t xml:space="preserve">medium</x:t>
        </x:is>
      </x:c>
      <x:c r="AA117" s="234" t="inlineStr">
        <x:is>
          <x:t xml:space="preserve">CSV_RECORDED_NOT_IMAGE_VERIFIED</x:t>
        </x:is>
      </x:c>
      <x:c r="AB117" s="234" t="inlineStr">
        <x:is>
          <x:t xml:space="preserve">https://github.com/mrroot01011001/Cicada-3301-/tree/main/liber-primus/pages</x:t>
        </x:is>
      </x:c>
      <x:c r="AC117" s="234" t="n"/>
      <x:c r="AD117" s="234" t="inlineStr">
        <x:is>
          <x:t xml:space="preserve">No corresponding annotated image is present in the annotated-pages repository; retain source observation without adding unverified geometry.</x:t>
        </x:is>
      </x:c>
      <x:c r="AE117" s="234" t="n"/>
      <x:c r="AF117" s="234" t="n"/>
      <x:c r="AG117" s="234" t="n"/>
      <x:c r="AH117" s="234" t="inlineStr">
        <x:is>
          <x:t xml:space="preserve">single_page</x:t>
        </x:is>
      </x:c>
      <x:c r="AI117" s="234" t="inlineStr">
        <x:is>
          <x:t xml:space="preserve">62.JPG</x:t>
        </x:is>
      </x:c>
      <x:c r="AJ117" s="234" t="inlineStr">
        <x:is>
          <x:t xml:space="preserve">CSV-D030</x:t>
        </x:is>
      </x:c>
      <x:c r="AK117" s="234" t="n">
        <x:v>30</x:v>
      </x:c>
      <x:c r="AL117" s="234" t="inlineStr">
        <x:is>
          <x:t xml:space="preserve">SPIRALS AND PETALS</x:t>
        </x:is>
      </x:c>
      <x:c r="AM117" s="234" t="inlineStr">
        <x:is>
          <x:t xml:space="preserve">0</x:t>
        </x:is>
      </x:c>
      <x:c r="AN117" s="234" t="inlineStr">
        <x:is>
          <x:t xml:space="preserve">8</x:t>
        </x:is>
      </x:c>
      <x:c r="AO117" s="234" t="inlineStr">
        <x:is>
          <x:t xml:space="preserve">0</x:t>
        </x:is>
      </x:c>
      <x:c r="AP117" s="234" t="inlineStr">
        <x:is>
          <x:t xml:space="preserve">LEFT AND RIGHT OF THE PAGE</x:t>
        </x:is>
      </x:c>
      <x:c r="AQ117" s="234" t="inlineStr">
        <x:is>
          <x:t xml:space="preserve">0</x:t>
        </x:is>
      </x:c>
      <x:c r="AR117" s="234" t="inlineStr">
        <x:is>
          <x:t xml:space="preserve">SPIRAL AND PETS ON THE RIGHT SIDE HAVE 5 FULL BLACK PETALS BUT ON THE LEFT SIDE THERE ARE 2 WHITE AND 3 BLACK</x:t>
        </x:is>
      </x:c>
      <x:c r="AS117" s="234" t="n"/>
      <x:c r="AT117" s="234" t="inlineStr">
        <x:is>
          <x:t xml:space="preserve">POPULATED_SOURCE_RECORD</x:t>
        </x:is>
      </x:c>
      <x:c r="AU117" s="234" t="inlineStr">
        <x:is>
          <x:t xml:space="preserve">NO_ANNOTATED_IMAGE_IN_ANNOTATED_REPOSITORY</x:t>
        </x:is>
      </x:c>
    </x:row>
    <x:row r="118" s="232" customFormat="1" ht="32" customHeight="1">
      <x:c r="A118" s="234" t="n">
        <x:v>62</x:v>
      </x:c>
      <x:c r="B118" s="234" t="n"/>
      <x:c r="C118" s="234" t="inlineStr">
        <x:is>
          <x:t xml:space="preserve">LP062-F94</x:t>
        </x:is>
      </x:c>
      <x:c r="D118" s="234" t="inlineStr">
        <x:is>
          <x:t xml:space="preserve">CSV source spreadsheet; feature-level representation</x:t>
        </x:is>
      </x:c>
      <x:c r="E118" s="234" t="n"/>
      <x:c r="F118" s="234" t="n"/>
      <x:c r="G118" s="234" t="inlineStr">
        <x:is>
          <x:t xml:space="preserve">right-side plant/root/spiral ornament</x:t>
        </x:is>
      </x:c>
      <x:c r="H118" s="234" t="inlineStr">
        <x:is>
          <x:t xml:space="preserve">Source CSV lists paired spiral/petal artwork on both sides. This row records the right-side motif as a separate spatial feature; detailed branches, roots, and endpoints have not been measured.</x:t>
        </x:is>
      </x:c>
      <x:c r="I118" s="234" t="n"/>
      <x:c r="J118" s="234" t="n"/>
      <x:c r="K118" s="234" t="n"/>
      <x:c r="L118" s="234" t="n"/>
      <x:c r="M118" s="234" t="n"/>
      <x:c r="N118" s="234" t="n"/>
      <x:c r="O118" s="234" t="n"/>
      <x:c r="P118" s="234" t="n"/>
      <x:c r="Q118" s="234" t="inlineStr">
        <x:is>
          <x:t xml:space="preserve">right side of page</x:t>
        </x:is>
      </x:c>
      <x:c r="R118" s="234" t="n"/>
      <x:c r="S118" s="234" t="n"/>
      <x:c r="T118" s="234" t="n"/>
      <x:c r="U118" s="234" t="n"/>
      <x:c r="V118" s="234" t="n"/>
      <x:c r="W118" s="234" t="n"/>
      <x:c r="X118" s="234" t="inlineStr">
        <x:is>
          <x:t xml:space="preserve">right margin beside glyph block</x:t>
        </x:is>
      </x:c>
      <x:c r="Y118" s="234" t="n"/>
      <x:c r="Z118" s="234" t="inlineStr">
        <x:is>
          <x:t xml:space="preserve">medium</x:t>
        </x:is>
      </x:c>
      <x:c r="AA118" s="234" t="inlineStr">
        <x:is>
          <x:t xml:space="preserve">CSV_RECORDED_NOT_IMAGE_VERIFIED</x:t>
        </x:is>
      </x:c>
      <x:c r="AB118" s="234" t="inlineStr">
        <x:is>
          <x:t xml:space="preserve">https://github.com/mrroot01011001/Cicada-3301-/tree/main/liber-primus/pages</x:t>
        </x:is>
      </x:c>
      <x:c r="AC118" s="234" t="n"/>
      <x:c r="AD118" s="234" t="inlineStr">
        <x:is>
          <x:t xml:space="preserve">No corresponding annotated image is present in the annotated-pages repository; retain source observation without adding unverified geometry.</x:t>
        </x:is>
      </x:c>
      <x:c r="AE118" s="234" t="n"/>
      <x:c r="AF118" s="234" t="n"/>
      <x:c r="AG118" s="234" t="n"/>
      <x:c r="AH118" s="234" t="inlineStr">
        <x:is>
          <x:t xml:space="preserve">single_page</x:t>
        </x:is>
      </x:c>
      <x:c r="AI118" s="234" t="inlineStr">
        <x:is>
          <x:t xml:space="preserve">62.JPG</x:t>
        </x:is>
      </x:c>
      <x:c r="AJ118" s="234" t="inlineStr">
        <x:is>
          <x:t xml:space="preserve">CSV-D030</x:t>
        </x:is>
      </x:c>
      <x:c r="AK118" s="234" t="n">
        <x:v>30</x:v>
      </x:c>
      <x:c r="AL118" s="234" t="inlineStr">
        <x:is>
          <x:t xml:space="preserve">SPIRALS AND PETALS</x:t>
        </x:is>
      </x:c>
      <x:c r="AM118" s="234" t="inlineStr">
        <x:is>
          <x:t xml:space="preserve">0</x:t>
        </x:is>
      </x:c>
      <x:c r="AN118" s="234" t="inlineStr">
        <x:is>
          <x:t xml:space="preserve">8</x:t>
        </x:is>
      </x:c>
      <x:c r="AO118" s="234" t="inlineStr">
        <x:is>
          <x:t xml:space="preserve">0</x:t>
        </x:is>
      </x:c>
      <x:c r="AP118" s="234" t="inlineStr">
        <x:is>
          <x:t xml:space="preserve">LEFT AND RIGHT OF THE PAGE</x:t>
        </x:is>
      </x:c>
      <x:c r="AQ118" s="234" t="inlineStr">
        <x:is>
          <x:t xml:space="preserve">0</x:t>
        </x:is>
      </x:c>
      <x:c r="AR118" s="234" t="inlineStr">
        <x:is>
          <x:t xml:space="preserve">SPIRAL AND PETS ON THE RIGHT SIDE HAVE 5 FULL BLACK PETALS BUT ON THE LEFT SIDE THERE ARE 2 WHITE AND 3 BLACK</x:t>
        </x:is>
      </x:c>
      <x:c r="AS118" s="234" t="n"/>
      <x:c r="AT118" s="234" t="inlineStr">
        <x:is>
          <x:t xml:space="preserve">POPULATED_SOURCE_RECORD</x:t>
        </x:is>
      </x:c>
      <x:c r="AU118" s="234" t="inlineStr">
        <x:is>
          <x:t xml:space="preserve">NO_ANNOTATED_IMAGE_IN_ANNOTATED_REPOSITORY</x:t>
        </x:is>
      </x:c>
    </x:row>
    <x:row r="119" s="232" customFormat="1" ht="32" customHeight="1">
      <x:c r="A119" s="234" t="n">
        <x:v>62</x:v>
      </x:c>
      <x:c r="B119" s="234" t="n"/>
      <x:c r="C119" s="234" t="inlineStr">
        <x:is>
          <x:t xml:space="preserve">LP062-F95</x:t>
        </x:is>
      </x:c>
      <x:c r="D119" s="234" t="inlineStr">
        <x:is>
          <x:t xml:space="preserve">CSV source spreadsheet; feature-level representation</x:t>
        </x:is>
      </x:c>
      <x:c r="E119" s="234" t="n"/>
      <x:c r="F119" s="234" t="n"/>
      <x:c r="G119" s="234" t="inlineStr">
        <x:is>
          <x:t xml:space="preserve">external dot count (page aggregate; cluster positions unknown)</x:t>
        </x:is>
      </x:c>
      <x:c r="H119" s="234" t="inlineStr">
        <x:is>
          <x:t xml:space="preserve">Source CSV records eight external dots for this page's paired spiral/petal decoration; individual cluster positions are not separately recorded in the source row.</x:t>
        </x:is>
      </x:c>
      <x:c r="I119" s="234" t="n">
        <x:v>8</x:v>
      </x:c>
      <x:c r="J119" s="234" t="n"/>
      <x:c r="K119" s="234" t="n">
        <x:v>8</x:v>
      </x:c>
      <x:c r="L119" s="234" t="n"/>
      <x:c r="M119" s="234" t="n"/>
      <x:c r="N119" s="234" t="n"/>
      <x:c r="O119" s="234" t="n"/>
      <x:c r="P119" s="234" t="n"/>
      <x:c r="Q119" s="234" t="inlineStr">
        <x:is>
          <x:t xml:space="preserve">left and right of page</x:t>
        </x:is>
      </x:c>
      <x:c r="R119" s="234" t="n"/>
      <x:c r="S119" s="234" t="n"/>
      <x:c r="T119" s="234" t="n"/>
      <x:c r="U119" s="234" t="n"/>
      <x:c r="V119" s="234" t="n"/>
      <x:c r="W119" s="234" t="n"/>
      <x:c r="X119" s="234" t="inlineStr">
        <x:is>
          <x:t xml:space="preserve">Paired spiral/petal decoration; cluster allocation unknown</x:t>
        </x:is>
      </x:c>
      <x:c r="Y119" s="234" t="n"/>
      <x:c r="Z119" s="234" t="inlineStr">
        <x:is>
          <x:t xml:space="preserve">medium</x:t>
        </x:is>
      </x:c>
      <x:c r="AA119" s="234" t="inlineStr">
        <x:is>
          <x:t xml:space="preserve">CSV_RECORDED_NOT_IMAGE_VERIFIED</x:t>
        </x:is>
      </x:c>
      <x:c r="AB119" s="234" t="inlineStr">
        <x:is>
          <x:t xml:space="preserve">https://github.com/mrroot01011001/Cicada-3301-/tree/main/liber-primus/pages</x:t>
        </x:is>
      </x:c>
      <x:c r="AC119" s="234" t="n"/>
      <x:c r="AD119" s="234" t="inlineStr">
        <x:is>
          <x:t xml:space="preserve">Do not infer an exact left/right split from this aggregate; pages 57 and 68 have separate annotated dot-cluster records.</x:t>
        </x:is>
      </x:c>
      <x:c r="AE119" s="234" t="n"/>
      <x:c r="AF119" s="234" t="n"/>
      <x:c r="AG119" s="234" t="n"/>
      <x:c r="AH119" s="234" t="inlineStr">
        <x:is>
          <x:t xml:space="preserve">single_page</x:t>
        </x:is>
      </x:c>
      <x:c r="AI119" s="234" t="inlineStr">
        <x:is>
          <x:t xml:space="preserve">62.JPG</x:t>
        </x:is>
      </x:c>
      <x:c r="AJ119" s="234" t="inlineStr">
        <x:is>
          <x:t xml:space="preserve">CSV-D030</x:t>
        </x:is>
      </x:c>
      <x:c r="AK119" s="234" t="n">
        <x:v>30</x:v>
      </x:c>
      <x:c r="AL119" s="234" t="inlineStr">
        <x:is>
          <x:t xml:space="preserve">SPIRALS AND PETALS</x:t>
        </x:is>
      </x:c>
      <x:c r="AM119" s="234" t="inlineStr">
        <x:is>
          <x:t xml:space="preserve">0</x:t>
        </x:is>
      </x:c>
      <x:c r="AN119" s="234" t="inlineStr">
        <x:is>
          <x:t xml:space="preserve">8</x:t>
        </x:is>
      </x:c>
      <x:c r="AO119" s="234" t="inlineStr">
        <x:is>
          <x:t xml:space="preserve">0</x:t>
        </x:is>
      </x:c>
      <x:c r="AP119" s="234" t="inlineStr">
        <x:is>
          <x:t xml:space="preserve">LEFT AND RIGHT OF THE PAGE</x:t>
        </x:is>
      </x:c>
      <x:c r="AQ119" s="234" t="inlineStr">
        <x:is>
          <x:t xml:space="preserve">0</x:t>
        </x:is>
      </x:c>
      <x:c r="AR119" s="234" t="inlineStr">
        <x:is>
          <x:t xml:space="preserve">SPIRAL AND PETS ON THE RIGHT SIDE HAVE 5 FULL BLACK PETALS BUT ON THE LEFT SIDE THERE ARE 2 WHITE AND 3 BLACK</x:t>
        </x:is>
      </x:c>
      <x:c r="AS119" s="234" t="n"/>
      <x:c r="AT119" s="234" t="inlineStr">
        <x:is>
          <x:t xml:space="preserve">POPULATED_SOURCE_RECORD</x:t>
        </x:is>
      </x:c>
      <x:c r="AU119" s="234" t="inlineStr">
        <x:is>
          <x:t xml:space="preserve">NO_ANNOTATED_IMAGE_IN_ANNOTATED_REPOSITORY</x:t>
        </x:is>
      </x:c>
    </x:row>
    <x:row r="120" s="232" customFormat="1" ht="32" customHeight="1">
      <x:c r="A120" s="234" t="n">
        <x:v>63</x:v>
      </x:c>
      <x:c r="B120" s="234" t="n"/>
      <x:c r="C120" s="234" t="inlineStr">
        <x:is>
          <x:t xml:space="preserve">LP063-F90</x:t>
        </x:is>
      </x:c>
      <x:c r="D120" s="234" t="inlineStr">
        <x:is>
          <x:t xml:space="preserve">CSV source spreadsheet; feature-level representation</x:t>
        </x:is>
      </x:c>
      <x:c r="E120" s="234" t="n"/>
      <x:c r="F120" s="234" t="n"/>
      <x:c r="G120" s="234" t="inlineStr">
        <x:is>
          <x:t xml:space="preserve">paired spiral/petal motif (page-level)</x:t>
        </x:is>
      </x:c>
      <x:c r="H120" s="234" t="inlineStr">
        <x:is>
          <x:t xml:space="preserve">Source CSV visual-object label: SPIRALS AND PETALS. Source note: SPIRAL AND PETS ON THE RIGHT SIDE HAVE 5 FULL BLACK PETALS BUT ON THE LEFT SIDE THERE ARE 2 WHITE AND 3 BLACK</x:t>
        </x:is>
      </x:c>
      <x:c r="I120" s="234" t="n"/>
      <x:c r="J120" s="234" t="n"/>
      <x:c r="K120" s="234" t="n"/>
      <x:c r="L120" s="234" t="n"/>
      <x:c r="M120" s="234" t="n"/>
      <x:c r="N120" s="234" t="n"/>
      <x:c r="O120" s="234" t="n"/>
      <x:c r="P120" s="234" t="n"/>
      <x:c r="Q120" s="234" t="inlineStr">
        <x:is>
          <x:t xml:space="preserve">left and right of page</x:t>
        </x:is>
      </x:c>
      <x:c r="R120" s="234" t="n"/>
      <x:c r="S120" s="234" t="n"/>
      <x:c r="T120" s="234" t="n"/>
      <x:c r="U120" s="234" t="n"/>
      <x:c r="V120" s="234" t="n"/>
      <x:c r="W120" s="234" t="n"/>
      <x:c r="X120" s="234" t="inlineStr">
        <x:is>
          <x:t xml:space="preserve">Both margins beside central text; page-level motif summary</x:t>
        </x:is>
      </x:c>
      <x:c r="Y120" s="234" t="n"/>
      <x:c r="Z120" s="234" t="inlineStr">
        <x:is>
          <x:t xml:space="preserve">medium</x:t>
        </x:is>
      </x:c>
      <x:c r="AA120" s="234" t="inlineStr">
        <x:is>
          <x:t xml:space="preserve">CSV_RECORDED_NOT_IMAGE_VERIFIED</x:t>
        </x:is>
      </x:c>
      <x:c r="AB120" s="234" t="inlineStr">
        <x:is>
          <x:t xml:space="preserve">https://github.com/mrroot01011001/Cicada-3301-/tree/main/liber-primus/pages</x:t>
        </x:is>
      </x:c>
      <x:c r="AC120" s="234" t="n"/>
      <x:c r="AD120" s="234" t="inlineStr">
        <x:is>
          <x:t xml:space="preserve">Composite motif row retained alongside left/right component rows. Page-level counts in source fields are context, not counts to sum across every feature row.</x:t>
        </x:is>
      </x:c>
      <x:c r="AE120" s="234" t="n"/>
      <x:c r="AF120" s="234" t="n"/>
      <x:c r="AG120" s="234" t="n"/>
      <x:c r="AH120" s="234" t="inlineStr">
        <x:is>
          <x:t xml:space="preserve">single_page</x:t>
        </x:is>
      </x:c>
      <x:c r="AI120" s="234" t="inlineStr">
        <x:is>
          <x:t xml:space="preserve">63.JPG</x:t>
        </x:is>
      </x:c>
      <x:c r="AJ120" s="234" t="inlineStr">
        <x:is>
          <x:t xml:space="preserve">CSV-D031</x:t>
        </x:is>
      </x:c>
      <x:c r="AK120" s="234" t="n">
        <x:v>31</x:v>
      </x:c>
      <x:c r="AL120" s="234" t="inlineStr">
        <x:is>
          <x:t xml:space="preserve">SPIRALS AND PETALS</x:t>
        </x:is>
      </x:c>
      <x:c r="AM120" s="234" t="inlineStr">
        <x:is>
          <x:t xml:space="preserve">0</x:t>
        </x:is>
      </x:c>
      <x:c r="AN120" s="234" t="inlineStr">
        <x:is>
          <x:t xml:space="preserve">8</x:t>
        </x:is>
      </x:c>
      <x:c r="AO120" s="234" t="inlineStr">
        <x:is>
          <x:t xml:space="preserve">0</x:t>
        </x:is>
      </x:c>
      <x:c r="AP120" s="234" t="inlineStr">
        <x:is>
          <x:t xml:space="preserve">LEFT AND RIGHT OF THE PAGE</x:t>
        </x:is>
      </x:c>
      <x:c r="AQ120" s="234" t="inlineStr">
        <x:is>
          <x:t xml:space="preserve">0</x:t>
        </x:is>
      </x:c>
      <x:c r="AR120" s="234" t="inlineStr">
        <x:is>
          <x:t xml:space="preserve">SPIRAL AND PETS ON THE RIGHT SIDE HAVE 5 FULL BLACK PETALS BUT ON THE LEFT SIDE THERE ARE 2 WHITE AND 3 BLACK</x:t>
        </x:is>
      </x:c>
      <x:c r="AS120" s="234" t="n"/>
      <x:c r="AT120" s="234" t="inlineStr">
        <x:is>
          <x:t xml:space="preserve">POPULATED_SOURCE_RECORD</x:t>
        </x:is>
      </x:c>
      <x:c r="AU120" s="234" t="inlineStr">
        <x:is>
          <x:t xml:space="preserve">NO_ANNOTATED_IMAGE_IN_ANNOTATED_REPOSITORY</x:t>
        </x:is>
      </x:c>
    </x:row>
    <x:row r="121" s="232" customFormat="1" ht="32" customHeight="1">
      <x:c r="A121" s="234" t="n">
        <x:v>63</x:v>
      </x:c>
      <x:c r="B121" s="234" t="n"/>
      <x:c r="C121" s="234" t="inlineStr">
        <x:is>
          <x:t xml:space="preserve">LP063-F91</x:t>
        </x:is>
      </x:c>
      <x:c r="D121" s="234" t="inlineStr">
        <x:is>
          <x:t xml:space="preserve">CSV source spreadsheet; feature-level representation</x:t>
        </x:is>
      </x:c>
      <x:c r="E121" s="234" t="n"/>
      <x:c r="F121" s="234" t="n"/>
      <x:c r="G121" s="234" t="inlineStr">
        <x:is>
          <x:t xml:space="preserve">left-side petal group</x:t>
        </x:is>
      </x:c>
      <x:c r="H121" s="234" t="inlineStr">
        <x:is>
          <x:t xml:space="preserve">Source CSV reports two white/unfilled petals and three black/filled petals on the left-side spiral/petal motif.</x:t>
        </x:is>
      </x:c>
      <x:c r="I121" s="234" t="n"/>
      <x:c r="J121" s="234" t="n"/>
      <x:c r="K121" s="234" t="n"/>
      <x:c r="L121" s="234" t="n"/>
      <x:c r="M121" s="234" t="n"/>
      <x:c r="N121" s="234" t="n"/>
      <x:c r="O121" s="234" t="n"/>
      <x:c r="P121" s="234" t="n"/>
      <x:c r="Q121" s="234" t="inlineStr">
        <x:is>
          <x:t xml:space="preserve">left side of page</x:t>
        </x:is>
      </x:c>
      <x:c r="R121" s="234" t="n"/>
      <x:c r="S121" s="234" t="n"/>
      <x:c r="T121" s="234" t="n"/>
      <x:c r="U121" s="234" t="n"/>
      <x:c r="V121" s="234" t="n"/>
      <x:c r="W121" s="234" t="n"/>
      <x:c r="X121" s="234" t="inlineStr">
        <x:is>
          <x:t xml:space="preserve">left spiral/petal decoration</x:t>
        </x:is>
      </x:c>
      <x:c r="Y121" s="234" t="n"/>
      <x:c r="Z121" s="234" t="inlineStr">
        <x:is>
          <x:t xml:space="preserve">medium</x:t>
        </x:is>
      </x:c>
      <x:c r="AA121" s="234" t="inlineStr">
        <x:is>
          <x:t xml:space="preserve">CSV_RECORDED_NOT_IMAGE_VERIFIED</x:t>
        </x:is>
      </x:c>
      <x:c r="AB121" s="234" t="inlineStr">
        <x:is>
          <x:t xml:space="preserve">https://github.com/mrroot01011001/Cicada-3301-/tree/main/liber-primus/pages</x:t>
        </x:is>
      </x:c>
      <x:c r="AC121" s="234" t="n"/>
      <x:c r="AD121" s="234" t="inlineStr">
        <x:is>
          <x:t xml:space="preserve">Petal counts and filled/unfilled distinctions are preserved from the source notes, not independently counted from image coordinates.</x:t>
        </x:is>
      </x:c>
      <x:c r="AE121" s="234" t="n">
        <x:v>5</x:v>
      </x:c>
      <x:c r="AF121" s="234" t="n">
        <x:v>3</x:v>
      </x:c>
      <x:c r="AG121" s="234" t="n">
        <x:v>2</x:v>
      </x:c>
      <x:c r="AH121" s="234" t="inlineStr">
        <x:is>
          <x:t xml:space="preserve">single_page</x:t>
        </x:is>
      </x:c>
      <x:c r="AI121" s="234" t="inlineStr">
        <x:is>
          <x:t xml:space="preserve">63.JPG</x:t>
        </x:is>
      </x:c>
      <x:c r="AJ121" s="234" t="inlineStr">
        <x:is>
          <x:t xml:space="preserve">CSV-D031</x:t>
        </x:is>
      </x:c>
      <x:c r="AK121" s="234" t="n">
        <x:v>31</x:v>
      </x:c>
      <x:c r="AL121" s="234" t="inlineStr">
        <x:is>
          <x:t xml:space="preserve">SPIRALS AND PETALS</x:t>
        </x:is>
      </x:c>
      <x:c r="AM121" s="234" t="inlineStr">
        <x:is>
          <x:t xml:space="preserve">0</x:t>
        </x:is>
      </x:c>
      <x:c r="AN121" s="234" t="inlineStr">
        <x:is>
          <x:t xml:space="preserve">8</x:t>
        </x:is>
      </x:c>
      <x:c r="AO121" s="234" t="inlineStr">
        <x:is>
          <x:t xml:space="preserve">0</x:t>
        </x:is>
      </x:c>
      <x:c r="AP121" s="234" t="inlineStr">
        <x:is>
          <x:t xml:space="preserve">LEFT AND RIGHT OF THE PAGE</x:t>
        </x:is>
      </x:c>
      <x:c r="AQ121" s="234" t="inlineStr">
        <x:is>
          <x:t xml:space="preserve">0</x:t>
        </x:is>
      </x:c>
      <x:c r="AR121" s="234" t="inlineStr">
        <x:is>
          <x:t xml:space="preserve">SPIRAL AND PETS ON THE RIGHT SIDE HAVE 5 FULL BLACK PETALS BUT ON THE LEFT SIDE THERE ARE 2 WHITE AND 3 BLACK</x:t>
        </x:is>
      </x:c>
      <x:c r="AS121" s="234" t="n"/>
      <x:c r="AT121" s="234" t="inlineStr">
        <x:is>
          <x:t xml:space="preserve">POPULATED_SOURCE_RECORD</x:t>
        </x:is>
      </x:c>
      <x:c r="AU121" s="234" t="inlineStr">
        <x:is>
          <x:t xml:space="preserve">NO_ANNOTATED_IMAGE_IN_ANNOTATED_REPOSITORY</x:t>
        </x:is>
      </x:c>
    </x:row>
    <x:row r="122" s="232" customFormat="1" ht="32" customHeight="1">
      <x:c r="A122" s="234" t="n">
        <x:v>63</x:v>
      </x:c>
      <x:c r="B122" s="234" t="n"/>
      <x:c r="C122" s="234" t="inlineStr">
        <x:is>
          <x:t xml:space="preserve">LP063-F92</x:t>
        </x:is>
      </x:c>
      <x:c r="D122" s="234" t="inlineStr">
        <x:is>
          <x:t xml:space="preserve">CSV source spreadsheet; feature-level representation</x:t>
        </x:is>
      </x:c>
      <x:c r="E122" s="234" t="n"/>
      <x:c r="F122" s="234" t="n"/>
      <x:c r="G122" s="234" t="inlineStr">
        <x:is>
          <x:t xml:space="preserve">right-side petal group</x:t>
        </x:is>
      </x:c>
      <x:c r="H122" s="234" t="inlineStr">
        <x:is>
          <x:t xml:space="preserve">Source CSV reports five fully black/filled petals on the right-side spiral/petal motif.</x:t>
        </x:is>
      </x:c>
      <x:c r="I122" s="234" t="n"/>
      <x:c r="J122" s="234" t="n"/>
      <x:c r="K122" s="234" t="n"/>
      <x:c r="L122" s="234" t="n"/>
      <x:c r="M122" s="234" t="n"/>
      <x:c r="N122" s="234" t="n"/>
      <x:c r="O122" s="234" t="n"/>
      <x:c r="P122" s="234" t="n"/>
      <x:c r="Q122" s="234" t="inlineStr">
        <x:is>
          <x:t xml:space="preserve">right side of page</x:t>
        </x:is>
      </x:c>
      <x:c r="R122" s="234" t="n"/>
      <x:c r="S122" s="234" t="n"/>
      <x:c r="T122" s="234" t="n"/>
      <x:c r="U122" s="234" t="n"/>
      <x:c r="V122" s="234" t="n"/>
      <x:c r="W122" s="234" t="n"/>
      <x:c r="X122" s="234" t="inlineStr">
        <x:is>
          <x:t xml:space="preserve">right spiral/petal decoration</x:t>
        </x:is>
      </x:c>
      <x:c r="Y122" s="234" t="n"/>
      <x:c r="Z122" s="234" t="inlineStr">
        <x:is>
          <x:t xml:space="preserve">medium</x:t>
        </x:is>
      </x:c>
      <x:c r="AA122" s="234" t="inlineStr">
        <x:is>
          <x:t xml:space="preserve">CSV_RECORDED_NOT_IMAGE_VERIFIED</x:t>
        </x:is>
      </x:c>
      <x:c r="AB122" s="234" t="inlineStr">
        <x:is>
          <x:t xml:space="preserve">https://github.com/mrroot01011001/Cicada-3301-/tree/main/liber-primus/pages</x:t>
        </x:is>
      </x:c>
      <x:c r="AC122" s="234" t="n"/>
      <x:c r="AD122" s="234" t="inlineStr">
        <x:is>
          <x:t xml:space="preserve">The zero unfilled petals is implied by the source's '5 full black petals' description; verify visually before treating this as a measured count.</x:t>
        </x:is>
      </x:c>
      <x:c r="AE122" s="234" t="n">
        <x:v>5</x:v>
      </x:c>
      <x:c r="AF122" s="234" t="n">
        <x:v>5</x:v>
      </x:c>
      <x:c r="AG122" s="234" t="n">
        <x:v>0</x:v>
      </x:c>
      <x:c r="AH122" s="234" t="inlineStr">
        <x:is>
          <x:t xml:space="preserve">single_page</x:t>
        </x:is>
      </x:c>
      <x:c r="AI122" s="234" t="inlineStr">
        <x:is>
          <x:t xml:space="preserve">63.JPG</x:t>
        </x:is>
      </x:c>
      <x:c r="AJ122" s="234" t="inlineStr">
        <x:is>
          <x:t xml:space="preserve">CSV-D031</x:t>
        </x:is>
      </x:c>
      <x:c r="AK122" s="234" t="n">
        <x:v>31</x:v>
      </x:c>
      <x:c r="AL122" s="234" t="inlineStr">
        <x:is>
          <x:t xml:space="preserve">SPIRALS AND PETALS</x:t>
        </x:is>
      </x:c>
      <x:c r="AM122" s="234" t="inlineStr">
        <x:is>
          <x:t xml:space="preserve">0</x:t>
        </x:is>
      </x:c>
      <x:c r="AN122" s="234" t="inlineStr">
        <x:is>
          <x:t xml:space="preserve">8</x:t>
        </x:is>
      </x:c>
      <x:c r="AO122" s="234" t="inlineStr">
        <x:is>
          <x:t xml:space="preserve">0</x:t>
        </x:is>
      </x:c>
      <x:c r="AP122" s="234" t="inlineStr">
        <x:is>
          <x:t xml:space="preserve">LEFT AND RIGHT OF THE PAGE</x:t>
        </x:is>
      </x:c>
      <x:c r="AQ122" s="234" t="inlineStr">
        <x:is>
          <x:t xml:space="preserve">0</x:t>
        </x:is>
      </x:c>
      <x:c r="AR122" s="234" t="inlineStr">
        <x:is>
          <x:t xml:space="preserve">SPIRAL AND PETS ON THE RIGHT SIDE HAVE 5 FULL BLACK PETALS BUT ON THE LEFT SIDE THERE ARE 2 WHITE AND 3 BLACK</x:t>
        </x:is>
      </x:c>
      <x:c r="AS122" s="234" t="n"/>
      <x:c r="AT122" s="234" t="inlineStr">
        <x:is>
          <x:t xml:space="preserve">POPULATED_SOURCE_RECORD</x:t>
        </x:is>
      </x:c>
      <x:c r="AU122" s="234" t="inlineStr">
        <x:is>
          <x:t xml:space="preserve">NO_ANNOTATED_IMAGE_IN_ANNOTATED_REPOSITORY</x:t>
        </x:is>
      </x:c>
    </x:row>
    <x:row r="123" s="232" customFormat="1" ht="32" customHeight="1">
      <x:c r="A123" s="234" t="n">
        <x:v>63</x:v>
      </x:c>
      <x:c r="B123" s="234" t="n"/>
      <x:c r="C123" s="234" t="inlineStr">
        <x:is>
          <x:t xml:space="preserve">LP063-F93</x:t>
        </x:is>
      </x:c>
      <x:c r="D123" s="234" t="inlineStr">
        <x:is>
          <x:t xml:space="preserve">CSV source spreadsheet; feature-level representation</x:t>
        </x:is>
      </x:c>
      <x:c r="E123" s="234" t="n"/>
      <x:c r="F123" s="234" t="n"/>
      <x:c r="G123" s="234" t="inlineStr">
        <x:is>
          <x:t xml:space="preserve">left-side plant/root/spiral ornament</x:t>
        </x:is>
      </x:c>
      <x:c r="H123" s="234" t="inlineStr">
        <x:is>
          <x:t xml:space="preserve">Source CSV lists paired spiral/petal artwork on both sides. This row records the left-side motif as a separate spatial feature; detailed branches, roots, and endpoints have not been measured.</x:t>
        </x:is>
      </x:c>
      <x:c r="I123" s="234" t="n"/>
      <x:c r="J123" s="234" t="n"/>
      <x:c r="K123" s="234" t="n"/>
      <x:c r="L123" s="234" t="n"/>
      <x:c r="M123" s="234" t="n"/>
      <x:c r="N123" s="234" t="n"/>
      <x:c r="O123" s="234" t="n"/>
      <x:c r="P123" s="234" t="n"/>
      <x:c r="Q123" s="234" t="inlineStr">
        <x:is>
          <x:t xml:space="preserve">left side of page</x:t>
        </x:is>
      </x:c>
      <x:c r="R123" s="234" t="n"/>
      <x:c r="S123" s="234" t="n"/>
      <x:c r="T123" s="234" t="n"/>
      <x:c r="U123" s="234" t="n"/>
      <x:c r="V123" s="234" t="n"/>
      <x:c r="W123" s="234" t="n"/>
      <x:c r="X123" s="234" t="inlineStr">
        <x:is>
          <x:t xml:space="preserve">left margin beside glyph block</x:t>
        </x:is>
      </x:c>
      <x:c r="Y123" s="234" t="n"/>
      <x:c r="Z123" s="234" t="inlineStr">
        <x:is>
          <x:t xml:space="preserve">medium</x:t>
        </x:is>
      </x:c>
      <x:c r="AA123" s="234" t="inlineStr">
        <x:is>
          <x:t xml:space="preserve">CSV_RECORDED_NOT_IMAGE_VERIFIED</x:t>
        </x:is>
      </x:c>
      <x:c r="AB123" s="234" t="inlineStr">
        <x:is>
          <x:t xml:space="preserve">https://github.com/mrroot01011001/Cicada-3301-/tree/main/liber-primus/pages</x:t>
        </x:is>
      </x:c>
      <x:c r="AC123" s="234" t="n"/>
      <x:c r="AD123" s="234" t="inlineStr">
        <x:is>
          <x:t xml:space="preserve">No corresponding annotated image is present in the annotated-pages repository; retain source observation without adding unverified geometry.</x:t>
        </x:is>
      </x:c>
      <x:c r="AE123" s="234" t="n"/>
      <x:c r="AF123" s="234" t="n"/>
      <x:c r="AG123" s="234" t="n"/>
      <x:c r="AH123" s="234" t="inlineStr">
        <x:is>
          <x:t xml:space="preserve">single_page</x:t>
        </x:is>
      </x:c>
      <x:c r="AI123" s="234" t="inlineStr">
        <x:is>
          <x:t xml:space="preserve">63.JPG</x:t>
        </x:is>
      </x:c>
      <x:c r="AJ123" s="234" t="inlineStr">
        <x:is>
          <x:t xml:space="preserve">CSV-D031</x:t>
        </x:is>
      </x:c>
      <x:c r="AK123" s="234" t="n">
        <x:v>31</x:v>
      </x:c>
      <x:c r="AL123" s="234" t="inlineStr">
        <x:is>
          <x:t xml:space="preserve">SPIRALS AND PETALS</x:t>
        </x:is>
      </x:c>
      <x:c r="AM123" s="234" t="inlineStr">
        <x:is>
          <x:t xml:space="preserve">0</x:t>
        </x:is>
      </x:c>
      <x:c r="AN123" s="234" t="inlineStr">
        <x:is>
          <x:t xml:space="preserve">8</x:t>
        </x:is>
      </x:c>
      <x:c r="AO123" s="234" t="inlineStr">
        <x:is>
          <x:t xml:space="preserve">0</x:t>
        </x:is>
      </x:c>
      <x:c r="AP123" s="234" t="inlineStr">
        <x:is>
          <x:t xml:space="preserve">LEFT AND RIGHT OF THE PAGE</x:t>
        </x:is>
      </x:c>
      <x:c r="AQ123" s="234" t="inlineStr">
        <x:is>
          <x:t xml:space="preserve">0</x:t>
        </x:is>
      </x:c>
      <x:c r="AR123" s="234" t="inlineStr">
        <x:is>
          <x:t xml:space="preserve">SPIRAL AND PETS ON THE RIGHT SIDE HAVE 5 FULL BLACK PETALS BUT ON THE LEFT SIDE THERE ARE 2 WHITE AND 3 BLACK</x:t>
        </x:is>
      </x:c>
      <x:c r="AS123" s="234" t="n"/>
      <x:c r="AT123" s="234" t="inlineStr">
        <x:is>
          <x:t xml:space="preserve">POPULATED_SOURCE_RECORD</x:t>
        </x:is>
      </x:c>
      <x:c r="AU123" s="234" t="inlineStr">
        <x:is>
          <x:t xml:space="preserve">NO_ANNOTATED_IMAGE_IN_ANNOTATED_REPOSITORY</x:t>
        </x:is>
      </x:c>
    </x:row>
    <x:row r="124" s="232" customFormat="1" ht="32" customHeight="1">
      <x:c r="A124" s="234" t="n">
        <x:v>63</x:v>
      </x:c>
      <x:c r="B124" s="234" t="n"/>
      <x:c r="C124" s="234" t="inlineStr">
        <x:is>
          <x:t xml:space="preserve">LP063-F94</x:t>
        </x:is>
      </x:c>
      <x:c r="D124" s="234" t="inlineStr">
        <x:is>
          <x:t xml:space="preserve">CSV source spreadsheet; feature-level representation</x:t>
        </x:is>
      </x:c>
      <x:c r="E124" s="234" t="n"/>
      <x:c r="F124" s="234" t="n"/>
      <x:c r="G124" s="234" t="inlineStr">
        <x:is>
          <x:t xml:space="preserve">right-side plant/root/spiral ornament</x:t>
        </x:is>
      </x:c>
      <x:c r="H124" s="234" t="inlineStr">
        <x:is>
          <x:t xml:space="preserve">Source CSV lists paired spiral/petal artwork on both sides. This row records the right-side motif as a separate spatial feature; detailed branches, roots, and endpoints have not been measured.</x:t>
        </x:is>
      </x:c>
      <x:c r="I124" s="234" t="n"/>
      <x:c r="J124" s="234" t="n"/>
      <x:c r="K124" s="234" t="n"/>
      <x:c r="L124" s="234" t="n"/>
      <x:c r="M124" s="234" t="n"/>
      <x:c r="N124" s="234" t="n"/>
      <x:c r="O124" s="234" t="n"/>
      <x:c r="P124" s="234" t="n"/>
      <x:c r="Q124" s="234" t="inlineStr">
        <x:is>
          <x:t xml:space="preserve">right side of page</x:t>
        </x:is>
      </x:c>
      <x:c r="R124" s="234" t="n"/>
      <x:c r="S124" s="234" t="n"/>
      <x:c r="T124" s="234" t="n"/>
      <x:c r="U124" s="234" t="n"/>
      <x:c r="V124" s="234" t="n"/>
      <x:c r="W124" s="234" t="n"/>
      <x:c r="X124" s="234" t="inlineStr">
        <x:is>
          <x:t xml:space="preserve">right margin beside glyph block</x:t>
        </x:is>
      </x:c>
      <x:c r="Y124" s="234" t="n"/>
      <x:c r="Z124" s="234" t="inlineStr">
        <x:is>
          <x:t xml:space="preserve">medium</x:t>
        </x:is>
      </x:c>
      <x:c r="AA124" s="234" t="inlineStr">
        <x:is>
          <x:t xml:space="preserve">CSV_RECORDED_NOT_IMAGE_VERIFIED</x:t>
        </x:is>
      </x:c>
      <x:c r="AB124" s="234" t="inlineStr">
        <x:is>
          <x:t xml:space="preserve">https://github.com/mrroot01011001/Cicada-3301-/tree/main/liber-primus/pages</x:t>
        </x:is>
      </x:c>
      <x:c r="AC124" s="234" t="n"/>
      <x:c r="AD124" s="234" t="inlineStr">
        <x:is>
          <x:t xml:space="preserve">No corresponding annotated image is present in the annotated-pages repository; retain source observation without adding unverified geometry.</x:t>
        </x:is>
      </x:c>
      <x:c r="AE124" s="234" t="n"/>
      <x:c r="AF124" s="234" t="n"/>
      <x:c r="AG124" s="234" t="n"/>
      <x:c r="AH124" s="234" t="inlineStr">
        <x:is>
          <x:t xml:space="preserve">single_page</x:t>
        </x:is>
      </x:c>
      <x:c r="AI124" s="234" t="inlineStr">
        <x:is>
          <x:t xml:space="preserve">63.JPG</x:t>
        </x:is>
      </x:c>
      <x:c r="AJ124" s="234" t="inlineStr">
        <x:is>
          <x:t xml:space="preserve">CSV-D031</x:t>
        </x:is>
      </x:c>
      <x:c r="AK124" s="234" t="n">
        <x:v>31</x:v>
      </x:c>
      <x:c r="AL124" s="234" t="inlineStr">
        <x:is>
          <x:t xml:space="preserve">SPIRALS AND PETALS</x:t>
        </x:is>
      </x:c>
      <x:c r="AM124" s="234" t="inlineStr">
        <x:is>
          <x:t xml:space="preserve">0</x:t>
        </x:is>
      </x:c>
      <x:c r="AN124" s="234" t="inlineStr">
        <x:is>
          <x:t xml:space="preserve">8</x:t>
        </x:is>
      </x:c>
      <x:c r="AO124" s="234" t="inlineStr">
        <x:is>
          <x:t xml:space="preserve">0</x:t>
        </x:is>
      </x:c>
      <x:c r="AP124" s="234" t="inlineStr">
        <x:is>
          <x:t xml:space="preserve">LEFT AND RIGHT OF THE PAGE</x:t>
        </x:is>
      </x:c>
      <x:c r="AQ124" s="234" t="inlineStr">
        <x:is>
          <x:t xml:space="preserve">0</x:t>
        </x:is>
      </x:c>
      <x:c r="AR124" s="234" t="inlineStr">
        <x:is>
          <x:t xml:space="preserve">SPIRAL AND PETS ON THE RIGHT SIDE HAVE 5 FULL BLACK PETALS BUT ON THE LEFT SIDE THERE ARE 2 WHITE AND 3 BLACK</x:t>
        </x:is>
      </x:c>
      <x:c r="AS124" s="234" t="n"/>
      <x:c r="AT124" s="234" t="inlineStr">
        <x:is>
          <x:t xml:space="preserve">POPULATED_SOURCE_RECORD</x:t>
        </x:is>
      </x:c>
      <x:c r="AU124" s="234" t="inlineStr">
        <x:is>
          <x:t xml:space="preserve">NO_ANNOTATED_IMAGE_IN_ANNOTATED_REPOSITORY</x:t>
        </x:is>
      </x:c>
    </x:row>
    <x:row r="125" s="232" customFormat="1" ht="32" customHeight="1">
      <x:c r="A125" s="234" t="n">
        <x:v>63</x:v>
      </x:c>
      <x:c r="B125" s="234" t="n"/>
      <x:c r="C125" s="234" t="inlineStr">
        <x:is>
          <x:t xml:space="preserve">LP063-F95</x:t>
        </x:is>
      </x:c>
      <x:c r="D125" s="234" t="inlineStr">
        <x:is>
          <x:t xml:space="preserve">CSV source spreadsheet; feature-level representation</x:t>
        </x:is>
      </x:c>
      <x:c r="E125" s="234" t="n"/>
      <x:c r="F125" s="234" t="n"/>
      <x:c r="G125" s="234" t="inlineStr">
        <x:is>
          <x:t xml:space="preserve">external dot count (page aggregate; cluster positions unknown)</x:t>
        </x:is>
      </x:c>
      <x:c r="H125" s="234" t="inlineStr">
        <x:is>
          <x:t xml:space="preserve">Source CSV records eight external dots for this page's paired spiral/petal decoration; individual cluster positions are not separately recorded in the source row.</x:t>
        </x:is>
      </x:c>
      <x:c r="I125" s="234" t="n">
        <x:v>8</x:v>
      </x:c>
      <x:c r="J125" s="234" t="n"/>
      <x:c r="K125" s="234" t="n">
        <x:v>8</x:v>
      </x:c>
      <x:c r="L125" s="234" t="n"/>
      <x:c r="M125" s="234" t="n"/>
      <x:c r="N125" s="234" t="n"/>
      <x:c r="O125" s="234" t="n"/>
      <x:c r="P125" s="234" t="n"/>
      <x:c r="Q125" s="234" t="inlineStr">
        <x:is>
          <x:t xml:space="preserve">left and right of page</x:t>
        </x:is>
      </x:c>
      <x:c r="R125" s="234" t="n"/>
      <x:c r="S125" s="234" t="n"/>
      <x:c r="T125" s="234" t="n"/>
      <x:c r="U125" s="234" t="n"/>
      <x:c r="V125" s="234" t="n"/>
      <x:c r="W125" s="234" t="n"/>
      <x:c r="X125" s="234" t="inlineStr">
        <x:is>
          <x:t xml:space="preserve">Paired spiral/petal decoration; cluster allocation unknown</x:t>
        </x:is>
      </x:c>
      <x:c r="Y125" s="234" t="n"/>
      <x:c r="Z125" s="234" t="inlineStr">
        <x:is>
          <x:t xml:space="preserve">medium</x:t>
        </x:is>
      </x:c>
      <x:c r="AA125" s="234" t="inlineStr">
        <x:is>
          <x:t xml:space="preserve">CSV_RECORDED_NOT_IMAGE_VERIFIED</x:t>
        </x:is>
      </x:c>
      <x:c r="AB125" s="234" t="inlineStr">
        <x:is>
          <x:t xml:space="preserve">https://github.com/mrroot01011001/Cicada-3301-/tree/main/liber-primus/pages</x:t>
        </x:is>
      </x:c>
      <x:c r="AC125" s="234" t="n"/>
      <x:c r="AD125" s="234" t="inlineStr">
        <x:is>
          <x:t xml:space="preserve">Do not infer an exact left/right split from this aggregate; pages 57 and 68 have separate annotated dot-cluster records.</x:t>
        </x:is>
      </x:c>
      <x:c r="AE125" s="234" t="n"/>
      <x:c r="AF125" s="234" t="n"/>
      <x:c r="AG125" s="234" t="n"/>
      <x:c r="AH125" s="234" t="inlineStr">
        <x:is>
          <x:t xml:space="preserve">single_page</x:t>
        </x:is>
      </x:c>
      <x:c r="AI125" s="234" t="inlineStr">
        <x:is>
          <x:t xml:space="preserve">63.JPG</x:t>
        </x:is>
      </x:c>
      <x:c r="AJ125" s="234" t="inlineStr">
        <x:is>
          <x:t xml:space="preserve">CSV-D031</x:t>
        </x:is>
      </x:c>
      <x:c r="AK125" s="234" t="n">
        <x:v>31</x:v>
      </x:c>
      <x:c r="AL125" s="234" t="inlineStr">
        <x:is>
          <x:t xml:space="preserve">SPIRALS AND PETALS</x:t>
        </x:is>
      </x:c>
      <x:c r="AM125" s="234" t="inlineStr">
        <x:is>
          <x:t xml:space="preserve">0</x:t>
        </x:is>
      </x:c>
      <x:c r="AN125" s="234" t="inlineStr">
        <x:is>
          <x:t xml:space="preserve">8</x:t>
        </x:is>
      </x:c>
      <x:c r="AO125" s="234" t="inlineStr">
        <x:is>
          <x:t xml:space="preserve">0</x:t>
        </x:is>
      </x:c>
      <x:c r="AP125" s="234" t="inlineStr">
        <x:is>
          <x:t xml:space="preserve">LEFT AND RIGHT OF THE PAGE</x:t>
        </x:is>
      </x:c>
      <x:c r="AQ125" s="234" t="inlineStr">
        <x:is>
          <x:t xml:space="preserve">0</x:t>
        </x:is>
      </x:c>
      <x:c r="AR125" s="234" t="inlineStr">
        <x:is>
          <x:t xml:space="preserve">SPIRAL AND PETS ON THE RIGHT SIDE HAVE 5 FULL BLACK PETALS BUT ON THE LEFT SIDE THERE ARE 2 WHITE AND 3 BLACK</x:t>
        </x:is>
      </x:c>
      <x:c r="AS125" s="234" t="n"/>
      <x:c r="AT125" s="234" t="inlineStr">
        <x:is>
          <x:t xml:space="preserve">POPULATED_SOURCE_RECORD</x:t>
        </x:is>
      </x:c>
      <x:c r="AU125" s="234" t="inlineStr">
        <x:is>
          <x:t xml:space="preserve">NO_ANNOTATED_IMAGE_IN_ANNOTATED_REPOSITORY</x:t>
        </x:is>
      </x:c>
    </x:row>
    <x:row r="126" s="232" customFormat="1" ht="32" customHeight="1">
      <x:c r="A126" s="234" t="n">
        <x:v>64</x:v>
      </x:c>
      <x:c r="B126" s="234" t="n"/>
      <x:c r="C126" s="234" t="inlineStr">
        <x:is>
          <x:t xml:space="preserve">LP064-F90</x:t>
        </x:is>
      </x:c>
      <x:c r="D126" s="234" t="inlineStr">
        <x:is>
          <x:t xml:space="preserve">CSV source spreadsheet; feature-level representation</x:t>
        </x:is>
      </x:c>
      <x:c r="E126" s="234" t="n"/>
      <x:c r="F126" s="234" t="n"/>
      <x:c r="G126" s="234" t="inlineStr">
        <x:is>
          <x:t xml:space="preserve">paired spiral/petal motif (page-level)</x:t>
        </x:is>
      </x:c>
      <x:c r="H126" s="234" t="inlineStr">
        <x:is>
          <x:t xml:space="preserve">Source CSV visual-object label: SPIRALS AND PETALS. Source note: SPIRAL AND PETS ON THE RIGHT SIDE HAVE 5 FULL BLACK PETALS BUT ON THE LEFT SIDE THERE ARE 2 WHITE AND 3 BLACK</x:t>
        </x:is>
      </x:c>
      <x:c r="I126" s="234" t="n"/>
      <x:c r="J126" s="234" t="n"/>
      <x:c r="K126" s="234" t="n"/>
      <x:c r="L126" s="234" t="n"/>
      <x:c r="M126" s="234" t="n"/>
      <x:c r="N126" s="234" t="n"/>
      <x:c r="O126" s="234" t="n"/>
      <x:c r="P126" s="234" t="n"/>
      <x:c r="Q126" s="234" t="inlineStr">
        <x:is>
          <x:t xml:space="preserve">left and right of page</x:t>
        </x:is>
      </x:c>
      <x:c r="R126" s="234" t="n"/>
      <x:c r="S126" s="234" t="n"/>
      <x:c r="T126" s="234" t="n"/>
      <x:c r="U126" s="234" t="n"/>
      <x:c r="V126" s="234" t="n"/>
      <x:c r="W126" s="234" t="n"/>
      <x:c r="X126" s="234" t="inlineStr">
        <x:is>
          <x:t xml:space="preserve">Both margins beside central text; page-level motif summary</x:t>
        </x:is>
      </x:c>
      <x:c r="Y126" s="234" t="n"/>
      <x:c r="Z126" s="234" t="inlineStr">
        <x:is>
          <x:t xml:space="preserve">medium</x:t>
        </x:is>
      </x:c>
      <x:c r="AA126" s="234" t="inlineStr">
        <x:is>
          <x:t xml:space="preserve">CSV_RECORDED_NOT_IMAGE_VERIFIED</x:t>
        </x:is>
      </x:c>
      <x:c r="AB126" s="234" t="inlineStr">
        <x:is>
          <x:t xml:space="preserve">https://github.com/mrroot01011001/Cicada-3301-/tree/main/liber-primus/pages</x:t>
        </x:is>
      </x:c>
      <x:c r="AC126" s="234" t="n"/>
      <x:c r="AD126" s="234" t="inlineStr">
        <x:is>
          <x:t xml:space="preserve">Composite motif row retained alongside left/right component rows. Page-level counts in source fields are context, not counts to sum across every feature row.</x:t>
        </x:is>
      </x:c>
      <x:c r="AE126" s="234" t="n"/>
      <x:c r="AF126" s="234" t="n"/>
      <x:c r="AG126" s="234" t="n"/>
      <x:c r="AH126" s="234" t="inlineStr">
        <x:is>
          <x:t xml:space="preserve">single_page</x:t>
        </x:is>
      </x:c>
      <x:c r="AI126" s="234" t="inlineStr">
        <x:is>
          <x:t xml:space="preserve">64.JPG</x:t>
        </x:is>
      </x:c>
      <x:c r="AJ126" s="234" t="inlineStr">
        <x:is>
          <x:t xml:space="preserve">CSV-D032</x:t>
        </x:is>
      </x:c>
      <x:c r="AK126" s="234" t="n">
        <x:v>32</x:v>
      </x:c>
      <x:c r="AL126" s="234" t="inlineStr">
        <x:is>
          <x:t xml:space="preserve">SPIRALS AND PETALS</x:t>
        </x:is>
      </x:c>
      <x:c r="AM126" s="234" t="inlineStr">
        <x:is>
          <x:t xml:space="preserve">0</x:t>
        </x:is>
      </x:c>
      <x:c r="AN126" s="234" t="inlineStr">
        <x:is>
          <x:t xml:space="preserve">8</x:t>
        </x:is>
      </x:c>
      <x:c r="AO126" s="234" t="inlineStr">
        <x:is>
          <x:t xml:space="preserve">0</x:t>
        </x:is>
      </x:c>
      <x:c r="AP126" s="234" t="inlineStr">
        <x:is>
          <x:t xml:space="preserve">LEFT AND RIGHT OF THE PAGE</x:t>
        </x:is>
      </x:c>
      <x:c r="AQ126" s="234" t="inlineStr">
        <x:is>
          <x:t xml:space="preserve">0</x:t>
        </x:is>
      </x:c>
      <x:c r="AR126" s="234" t="inlineStr">
        <x:is>
          <x:t xml:space="preserve">SPIRAL AND PETS ON THE RIGHT SIDE HAVE 5 FULL BLACK PETALS BUT ON THE LEFT SIDE THERE ARE 2 WHITE AND 3 BLACK</x:t>
        </x:is>
      </x:c>
      <x:c r="AS126" s="234" t="n"/>
      <x:c r="AT126" s="234" t="inlineStr">
        <x:is>
          <x:t xml:space="preserve">POPULATED_SOURCE_RECORD</x:t>
        </x:is>
      </x:c>
      <x:c r="AU126" s="234" t="inlineStr">
        <x:is>
          <x:t xml:space="preserve">NO_ANNOTATED_IMAGE_IN_ANNOTATED_REPOSITORY</x:t>
        </x:is>
      </x:c>
    </x:row>
    <x:row r="127" s="232" customFormat="1" ht="32" customHeight="1">
      <x:c r="A127" s="234" t="n">
        <x:v>64</x:v>
      </x:c>
      <x:c r="B127" s="234" t="n"/>
      <x:c r="C127" s="234" t="inlineStr">
        <x:is>
          <x:t xml:space="preserve">LP064-F91</x:t>
        </x:is>
      </x:c>
      <x:c r="D127" s="234" t="inlineStr">
        <x:is>
          <x:t xml:space="preserve">CSV source spreadsheet; feature-level representation</x:t>
        </x:is>
      </x:c>
      <x:c r="E127" s="234" t="n"/>
      <x:c r="F127" s="234" t="n"/>
      <x:c r="G127" s="234" t="inlineStr">
        <x:is>
          <x:t xml:space="preserve">left-side petal group</x:t>
        </x:is>
      </x:c>
      <x:c r="H127" s="234" t="inlineStr">
        <x:is>
          <x:t xml:space="preserve">Source CSV reports two white/unfilled petals and three black/filled petals on the left-side spiral/petal motif.</x:t>
        </x:is>
      </x:c>
      <x:c r="I127" s="234" t="n"/>
      <x:c r="J127" s="234" t="n"/>
      <x:c r="K127" s="234" t="n"/>
      <x:c r="L127" s="234" t="n"/>
      <x:c r="M127" s="234" t="n"/>
      <x:c r="N127" s="234" t="n"/>
      <x:c r="O127" s="234" t="n"/>
      <x:c r="P127" s="234" t="n"/>
      <x:c r="Q127" s="234" t="inlineStr">
        <x:is>
          <x:t xml:space="preserve">left side of page</x:t>
        </x:is>
      </x:c>
      <x:c r="R127" s="234" t="n"/>
      <x:c r="S127" s="234" t="n"/>
      <x:c r="T127" s="234" t="n"/>
      <x:c r="U127" s="234" t="n"/>
      <x:c r="V127" s="234" t="n"/>
      <x:c r="W127" s="234" t="n"/>
      <x:c r="X127" s="234" t="inlineStr">
        <x:is>
          <x:t xml:space="preserve">left spiral/petal decoration</x:t>
        </x:is>
      </x:c>
      <x:c r="Y127" s="234" t="n"/>
      <x:c r="Z127" s="234" t="inlineStr">
        <x:is>
          <x:t xml:space="preserve">medium</x:t>
        </x:is>
      </x:c>
      <x:c r="AA127" s="234" t="inlineStr">
        <x:is>
          <x:t xml:space="preserve">CSV_RECORDED_NOT_IMAGE_VERIFIED</x:t>
        </x:is>
      </x:c>
      <x:c r="AB127" s="234" t="inlineStr">
        <x:is>
          <x:t xml:space="preserve">https://github.com/mrroot01011001/Cicada-3301-/tree/main/liber-primus/pages</x:t>
        </x:is>
      </x:c>
      <x:c r="AC127" s="234" t="n"/>
      <x:c r="AD127" s="234" t="inlineStr">
        <x:is>
          <x:t xml:space="preserve">Petal counts and filled/unfilled distinctions are preserved from the source notes, not independently counted from image coordinates.</x:t>
        </x:is>
      </x:c>
      <x:c r="AE127" s="234" t="n">
        <x:v>5</x:v>
      </x:c>
      <x:c r="AF127" s="234" t="n">
        <x:v>3</x:v>
      </x:c>
      <x:c r="AG127" s="234" t="n">
        <x:v>2</x:v>
      </x:c>
      <x:c r="AH127" s="234" t="inlineStr">
        <x:is>
          <x:t xml:space="preserve">single_page</x:t>
        </x:is>
      </x:c>
      <x:c r="AI127" s="234" t="inlineStr">
        <x:is>
          <x:t xml:space="preserve">64.JPG</x:t>
        </x:is>
      </x:c>
      <x:c r="AJ127" s="234" t="inlineStr">
        <x:is>
          <x:t xml:space="preserve">CSV-D032</x:t>
        </x:is>
      </x:c>
      <x:c r="AK127" s="234" t="n">
        <x:v>32</x:v>
      </x:c>
      <x:c r="AL127" s="234" t="inlineStr">
        <x:is>
          <x:t xml:space="preserve">SPIRALS AND PETALS</x:t>
        </x:is>
      </x:c>
      <x:c r="AM127" s="234" t="inlineStr">
        <x:is>
          <x:t xml:space="preserve">0</x:t>
        </x:is>
      </x:c>
      <x:c r="AN127" s="234" t="inlineStr">
        <x:is>
          <x:t xml:space="preserve">8</x:t>
        </x:is>
      </x:c>
      <x:c r="AO127" s="234" t="inlineStr">
        <x:is>
          <x:t xml:space="preserve">0</x:t>
        </x:is>
      </x:c>
      <x:c r="AP127" s="234" t="inlineStr">
        <x:is>
          <x:t xml:space="preserve">LEFT AND RIGHT OF THE PAGE</x:t>
        </x:is>
      </x:c>
      <x:c r="AQ127" s="234" t="inlineStr">
        <x:is>
          <x:t xml:space="preserve">0</x:t>
        </x:is>
      </x:c>
      <x:c r="AR127" s="234" t="inlineStr">
        <x:is>
          <x:t xml:space="preserve">SPIRAL AND PETS ON THE RIGHT SIDE HAVE 5 FULL BLACK PETALS BUT ON THE LEFT SIDE THERE ARE 2 WHITE AND 3 BLACK</x:t>
        </x:is>
      </x:c>
      <x:c r="AS127" s="234" t="n"/>
      <x:c r="AT127" s="234" t="inlineStr">
        <x:is>
          <x:t xml:space="preserve">POPULATED_SOURCE_RECORD</x:t>
        </x:is>
      </x:c>
      <x:c r="AU127" s="234" t="inlineStr">
        <x:is>
          <x:t xml:space="preserve">NO_ANNOTATED_IMAGE_IN_ANNOTATED_REPOSITORY</x:t>
        </x:is>
      </x:c>
    </x:row>
    <x:row r="128" s="232" customFormat="1" ht="32" customHeight="1">
      <x:c r="A128" s="234" t="n">
        <x:v>64</x:v>
      </x:c>
      <x:c r="B128" s="234" t="n"/>
      <x:c r="C128" s="234" t="inlineStr">
        <x:is>
          <x:t xml:space="preserve">LP064-F92</x:t>
        </x:is>
      </x:c>
      <x:c r="D128" s="234" t="inlineStr">
        <x:is>
          <x:t xml:space="preserve">CSV source spreadsheet; feature-level representation</x:t>
        </x:is>
      </x:c>
      <x:c r="E128" s="234" t="n"/>
      <x:c r="F128" s="234" t="n"/>
      <x:c r="G128" s="234" t="inlineStr">
        <x:is>
          <x:t xml:space="preserve">right-side petal group</x:t>
        </x:is>
      </x:c>
      <x:c r="H128" s="234" t="inlineStr">
        <x:is>
          <x:t xml:space="preserve">Source CSV reports five fully black/filled petals on the right-side spiral/petal motif.</x:t>
        </x:is>
      </x:c>
      <x:c r="I128" s="234" t="n"/>
      <x:c r="J128" s="234" t="n"/>
      <x:c r="K128" s="234" t="n"/>
      <x:c r="L128" s="234" t="n"/>
      <x:c r="M128" s="234" t="n"/>
      <x:c r="N128" s="234" t="n"/>
      <x:c r="O128" s="234" t="n"/>
      <x:c r="P128" s="234" t="n"/>
      <x:c r="Q128" s="234" t="inlineStr">
        <x:is>
          <x:t xml:space="preserve">right side of page</x:t>
        </x:is>
      </x:c>
      <x:c r="R128" s="234" t="n"/>
      <x:c r="S128" s="234" t="n"/>
      <x:c r="T128" s="234" t="n"/>
      <x:c r="U128" s="234" t="n"/>
      <x:c r="V128" s="234" t="n"/>
      <x:c r="W128" s="234" t="n"/>
      <x:c r="X128" s="234" t="inlineStr">
        <x:is>
          <x:t xml:space="preserve">right spiral/petal decoration</x:t>
        </x:is>
      </x:c>
      <x:c r="Y128" s="234" t="n"/>
      <x:c r="Z128" s="234" t="inlineStr">
        <x:is>
          <x:t xml:space="preserve">medium</x:t>
        </x:is>
      </x:c>
      <x:c r="AA128" s="234" t="inlineStr">
        <x:is>
          <x:t xml:space="preserve">CSV_RECORDED_NOT_IMAGE_VERIFIED</x:t>
        </x:is>
      </x:c>
      <x:c r="AB128" s="234" t="inlineStr">
        <x:is>
          <x:t xml:space="preserve">https://github.com/mrroot01011001/Cicada-3301-/tree/main/liber-primus/pages</x:t>
        </x:is>
      </x:c>
      <x:c r="AC128" s="234" t="n"/>
      <x:c r="AD128" s="234" t="inlineStr">
        <x:is>
          <x:t xml:space="preserve">The zero unfilled petals is implied by the source's '5 full black petals' description; verify visually before treating this as a measured count.</x:t>
        </x:is>
      </x:c>
      <x:c r="AE128" s="234" t="n">
        <x:v>5</x:v>
      </x:c>
      <x:c r="AF128" s="234" t="n">
        <x:v>5</x:v>
      </x:c>
      <x:c r="AG128" s="234" t="n">
        <x:v>0</x:v>
      </x:c>
      <x:c r="AH128" s="234" t="inlineStr">
        <x:is>
          <x:t xml:space="preserve">single_page</x:t>
        </x:is>
      </x:c>
      <x:c r="AI128" s="234" t="inlineStr">
        <x:is>
          <x:t xml:space="preserve">64.JPG</x:t>
        </x:is>
      </x:c>
      <x:c r="AJ128" s="234" t="inlineStr">
        <x:is>
          <x:t xml:space="preserve">CSV-D032</x:t>
        </x:is>
      </x:c>
      <x:c r="AK128" s="234" t="n">
        <x:v>32</x:v>
      </x:c>
      <x:c r="AL128" s="234" t="inlineStr">
        <x:is>
          <x:t xml:space="preserve">SPIRALS AND PETALS</x:t>
        </x:is>
      </x:c>
      <x:c r="AM128" s="234" t="inlineStr">
        <x:is>
          <x:t xml:space="preserve">0</x:t>
        </x:is>
      </x:c>
      <x:c r="AN128" s="234" t="inlineStr">
        <x:is>
          <x:t xml:space="preserve">8</x:t>
        </x:is>
      </x:c>
      <x:c r="AO128" s="234" t="inlineStr">
        <x:is>
          <x:t xml:space="preserve">0</x:t>
        </x:is>
      </x:c>
      <x:c r="AP128" s="234" t="inlineStr">
        <x:is>
          <x:t xml:space="preserve">LEFT AND RIGHT OF THE PAGE</x:t>
        </x:is>
      </x:c>
      <x:c r="AQ128" s="234" t="inlineStr">
        <x:is>
          <x:t xml:space="preserve">0</x:t>
        </x:is>
      </x:c>
      <x:c r="AR128" s="234" t="inlineStr">
        <x:is>
          <x:t xml:space="preserve">SPIRAL AND PETS ON THE RIGHT SIDE HAVE 5 FULL BLACK PETALS BUT ON THE LEFT SIDE THERE ARE 2 WHITE AND 3 BLACK</x:t>
        </x:is>
      </x:c>
      <x:c r="AS128" s="234" t="n"/>
      <x:c r="AT128" s="234" t="inlineStr">
        <x:is>
          <x:t xml:space="preserve">POPULATED_SOURCE_RECORD</x:t>
        </x:is>
      </x:c>
      <x:c r="AU128" s="234" t="inlineStr">
        <x:is>
          <x:t xml:space="preserve">NO_ANNOTATED_IMAGE_IN_ANNOTATED_REPOSITORY</x:t>
        </x:is>
      </x:c>
    </x:row>
    <x:row r="129" s="232" customFormat="1" ht="32" customHeight="1">
      <x:c r="A129" s="234" t="n">
        <x:v>64</x:v>
      </x:c>
      <x:c r="B129" s="234" t="n"/>
      <x:c r="C129" s="234" t="inlineStr">
        <x:is>
          <x:t xml:space="preserve">LP064-F93</x:t>
        </x:is>
      </x:c>
      <x:c r="D129" s="234" t="inlineStr">
        <x:is>
          <x:t xml:space="preserve">CSV source spreadsheet; feature-level representation</x:t>
        </x:is>
      </x:c>
      <x:c r="E129" s="234" t="n"/>
      <x:c r="F129" s="234" t="n"/>
      <x:c r="G129" s="234" t="inlineStr">
        <x:is>
          <x:t xml:space="preserve">left-side plant/root/spiral ornament</x:t>
        </x:is>
      </x:c>
      <x:c r="H129" s="234" t="inlineStr">
        <x:is>
          <x:t xml:space="preserve">Source CSV lists paired spiral/petal artwork on both sides. This row records the left-side motif as a separate spatial feature; detailed branches, roots, and endpoints have not been measured.</x:t>
        </x:is>
      </x:c>
      <x:c r="I129" s="234" t="n"/>
      <x:c r="J129" s="234" t="n"/>
      <x:c r="K129" s="234" t="n"/>
      <x:c r="L129" s="234" t="n"/>
      <x:c r="M129" s="234" t="n"/>
      <x:c r="N129" s="234" t="n"/>
      <x:c r="O129" s="234" t="n"/>
      <x:c r="P129" s="234" t="n"/>
      <x:c r="Q129" s="234" t="inlineStr">
        <x:is>
          <x:t xml:space="preserve">left side of page</x:t>
        </x:is>
      </x:c>
      <x:c r="R129" s="234" t="n"/>
      <x:c r="S129" s="234" t="n"/>
      <x:c r="T129" s="234" t="n"/>
      <x:c r="U129" s="234" t="n"/>
      <x:c r="V129" s="234" t="n"/>
      <x:c r="W129" s="234" t="n"/>
      <x:c r="X129" s="234" t="inlineStr">
        <x:is>
          <x:t xml:space="preserve">left margin beside glyph block</x:t>
        </x:is>
      </x:c>
      <x:c r="Y129" s="234" t="n"/>
      <x:c r="Z129" s="234" t="inlineStr">
        <x:is>
          <x:t xml:space="preserve">medium</x:t>
        </x:is>
      </x:c>
      <x:c r="AA129" s="234" t="inlineStr">
        <x:is>
          <x:t xml:space="preserve">CSV_RECORDED_NOT_IMAGE_VERIFIED</x:t>
        </x:is>
      </x:c>
      <x:c r="AB129" s="234" t="inlineStr">
        <x:is>
          <x:t xml:space="preserve">https://github.com/mrroot01011001/Cicada-3301-/tree/main/liber-primus/pages</x:t>
        </x:is>
      </x:c>
      <x:c r="AC129" s="234" t="n"/>
      <x:c r="AD129" s="234" t="inlineStr">
        <x:is>
          <x:t xml:space="preserve">No corresponding annotated image is present in the annotated-pages repository; retain source observation without adding unverified geometry.</x:t>
        </x:is>
      </x:c>
      <x:c r="AE129" s="234" t="n"/>
      <x:c r="AF129" s="234" t="n"/>
      <x:c r="AG129" s="234" t="n"/>
      <x:c r="AH129" s="234" t="inlineStr">
        <x:is>
          <x:t xml:space="preserve">single_page</x:t>
        </x:is>
      </x:c>
      <x:c r="AI129" s="234" t="inlineStr">
        <x:is>
          <x:t xml:space="preserve">64.JPG</x:t>
        </x:is>
      </x:c>
      <x:c r="AJ129" s="234" t="inlineStr">
        <x:is>
          <x:t xml:space="preserve">CSV-D032</x:t>
        </x:is>
      </x:c>
      <x:c r="AK129" s="234" t="n">
        <x:v>32</x:v>
      </x:c>
      <x:c r="AL129" s="234" t="inlineStr">
        <x:is>
          <x:t xml:space="preserve">SPIRALS AND PETALS</x:t>
        </x:is>
      </x:c>
      <x:c r="AM129" s="234" t="inlineStr">
        <x:is>
          <x:t xml:space="preserve">0</x:t>
        </x:is>
      </x:c>
      <x:c r="AN129" s="234" t="inlineStr">
        <x:is>
          <x:t xml:space="preserve">8</x:t>
        </x:is>
      </x:c>
      <x:c r="AO129" s="234" t="inlineStr">
        <x:is>
          <x:t xml:space="preserve">0</x:t>
        </x:is>
      </x:c>
      <x:c r="AP129" s="234" t="inlineStr">
        <x:is>
          <x:t xml:space="preserve">LEFT AND RIGHT OF THE PAGE</x:t>
        </x:is>
      </x:c>
      <x:c r="AQ129" s="234" t="inlineStr">
        <x:is>
          <x:t xml:space="preserve">0</x:t>
        </x:is>
      </x:c>
      <x:c r="AR129" s="234" t="inlineStr">
        <x:is>
          <x:t xml:space="preserve">SPIRAL AND PETS ON THE RIGHT SIDE HAVE 5 FULL BLACK PETALS BUT ON THE LEFT SIDE THERE ARE 2 WHITE AND 3 BLACK</x:t>
        </x:is>
      </x:c>
      <x:c r="AS129" s="234" t="n"/>
      <x:c r="AT129" s="234" t="inlineStr">
        <x:is>
          <x:t xml:space="preserve">POPULATED_SOURCE_RECORD</x:t>
        </x:is>
      </x:c>
      <x:c r="AU129" s="234" t="inlineStr">
        <x:is>
          <x:t xml:space="preserve">NO_ANNOTATED_IMAGE_IN_ANNOTATED_REPOSITORY</x:t>
        </x:is>
      </x:c>
    </x:row>
    <x:row r="130" s="232" customFormat="1" ht="32" customHeight="1">
      <x:c r="A130" s="234" t="n">
        <x:v>64</x:v>
      </x:c>
      <x:c r="B130" s="234" t="n"/>
      <x:c r="C130" s="234" t="inlineStr">
        <x:is>
          <x:t xml:space="preserve">LP064-F94</x:t>
        </x:is>
      </x:c>
      <x:c r="D130" s="234" t="inlineStr">
        <x:is>
          <x:t xml:space="preserve">CSV source spreadsheet; feature-level representation</x:t>
        </x:is>
      </x:c>
      <x:c r="E130" s="234" t="n"/>
      <x:c r="F130" s="234" t="n"/>
      <x:c r="G130" s="234" t="inlineStr">
        <x:is>
          <x:t xml:space="preserve">right-side plant/root/spiral ornament</x:t>
        </x:is>
      </x:c>
      <x:c r="H130" s="234" t="inlineStr">
        <x:is>
          <x:t xml:space="preserve">Source CSV lists paired spiral/petal artwork on both sides. This row records the right-side motif as a separate spatial feature; detailed branches, roots, and endpoints have not been measured.</x:t>
        </x:is>
      </x:c>
      <x:c r="I130" s="234" t="n"/>
      <x:c r="J130" s="234" t="n"/>
      <x:c r="K130" s="234" t="n"/>
      <x:c r="L130" s="234" t="n"/>
      <x:c r="M130" s="234" t="n"/>
      <x:c r="N130" s="234" t="n"/>
      <x:c r="O130" s="234" t="n"/>
      <x:c r="P130" s="234" t="n"/>
      <x:c r="Q130" s="234" t="inlineStr">
        <x:is>
          <x:t xml:space="preserve">right side of page</x:t>
        </x:is>
      </x:c>
      <x:c r="R130" s="234" t="n"/>
      <x:c r="S130" s="234" t="n"/>
      <x:c r="T130" s="234" t="n"/>
      <x:c r="U130" s="234" t="n"/>
      <x:c r="V130" s="234" t="n"/>
      <x:c r="W130" s="234" t="n"/>
      <x:c r="X130" s="234" t="inlineStr">
        <x:is>
          <x:t xml:space="preserve">right margin beside glyph block</x:t>
        </x:is>
      </x:c>
      <x:c r="Y130" s="234" t="n"/>
      <x:c r="Z130" s="234" t="inlineStr">
        <x:is>
          <x:t xml:space="preserve">medium</x:t>
        </x:is>
      </x:c>
      <x:c r="AA130" s="234" t="inlineStr">
        <x:is>
          <x:t xml:space="preserve">CSV_RECORDED_NOT_IMAGE_VERIFIED</x:t>
        </x:is>
      </x:c>
      <x:c r="AB130" s="234" t="inlineStr">
        <x:is>
          <x:t xml:space="preserve">https://github.com/mrroot01011001/Cicada-3301-/tree/main/liber-primus/pages</x:t>
        </x:is>
      </x:c>
      <x:c r="AC130" s="234" t="n"/>
      <x:c r="AD130" s="234" t="inlineStr">
        <x:is>
          <x:t xml:space="preserve">No corresponding annotated image is present in the annotated-pages repository; retain source observation without adding unverified geometry.</x:t>
        </x:is>
      </x:c>
      <x:c r="AE130" s="234" t="n"/>
      <x:c r="AF130" s="234" t="n"/>
      <x:c r="AG130" s="234" t="n"/>
      <x:c r="AH130" s="234" t="inlineStr">
        <x:is>
          <x:t xml:space="preserve">single_page</x:t>
        </x:is>
      </x:c>
      <x:c r="AI130" s="234" t="inlineStr">
        <x:is>
          <x:t xml:space="preserve">64.JPG</x:t>
        </x:is>
      </x:c>
      <x:c r="AJ130" s="234" t="inlineStr">
        <x:is>
          <x:t xml:space="preserve">CSV-D032</x:t>
        </x:is>
      </x:c>
      <x:c r="AK130" s="234" t="n">
        <x:v>32</x:v>
      </x:c>
      <x:c r="AL130" s="234" t="inlineStr">
        <x:is>
          <x:t xml:space="preserve">SPIRALS AND PETALS</x:t>
        </x:is>
      </x:c>
      <x:c r="AM130" s="234" t="inlineStr">
        <x:is>
          <x:t xml:space="preserve">0</x:t>
        </x:is>
      </x:c>
      <x:c r="AN130" s="234" t="inlineStr">
        <x:is>
          <x:t xml:space="preserve">8</x:t>
        </x:is>
      </x:c>
      <x:c r="AO130" s="234" t="inlineStr">
        <x:is>
          <x:t xml:space="preserve">0</x:t>
        </x:is>
      </x:c>
      <x:c r="AP130" s="234" t="inlineStr">
        <x:is>
          <x:t xml:space="preserve">LEFT AND RIGHT OF THE PAGE</x:t>
        </x:is>
      </x:c>
      <x:c r="AQ130" s="234" t="inlineStr">
        <x:is>
          <x:t xml:space="preserve">0</x:t>
        </x:is>
      </x:c>
      <x:c r="AR130" s="234" t="inlineStr">
        <x:is>
          <x:t xml:space="preserve">SPIRAL AND PETS ON THE RIGHT SIDE HAVE 5 FULL BLACK PETALS BUT ON THE LEFT SIDE THERE ARE 2 WHITE AND 3 BLACK</x:t>
        </x:is>
      </x:c>
      <x:c r="AS130" s="234" t="n"/>
      <x:c r="AT130" s="234" t="inlineStr">
        <x:is>
          <x:t xml:space="preserve">POPULATED_SOURCE_RECORD</x:t>
        </x:is>
      </x:c>
      <x:c r="AU130" s="234" t="inlineStr">
        <x:is>
          <x:t xml:space="preserve">NO_ANNOTATED_IMAGE_IN_ANNOTATED_REPOSITORY</x:t>
        </x:is>
      </x:c>
    </x:row>
    <x:row r="131" s="232" customFormat="1" ht="32" customHeight="1">
      <x:c r="A131" s="234" t="n">
        <x:v>64</x:v>
      </x:c>
      <x:c r="B131" s="234" t="n"/>
      <x:c r="C131" s="234" t="inlineStr">
        <x:is>
          <x:t xml:space="preserve">LP064-F95</x:t>
        </x:is>
      </x:c>
      <x:c r="D131" s="234" t="inlineStr">
        <x:is>
          <x:t xml:space="preserve">CSV source spreadsheet; feature-level representation</x:t>
        </x:is>
      </x:c>
      <x:c r="E131" s="234" t="n"/>
      <x:c r="F131" s="234" t="n"/>
      <x:c r="G131" s="234" t="inlineStr">
        <x:is>
          <x:t xml:space="preserve">external dot count (page aggregate; cluster positions unknown)</x:t>
        </x:is>
      </x:c>
      <x:c r="H131" s="234" t="inlineStr">
        <x:is>
          <x:t xml:space="preserve">Source CSV records eight external dots for this page's paired spiral/petal decoration; individual cluster positions are not separately recorded in the source row.</x:t>
        </x:is>
      </x:c>
      <x:c r="I131" s="234" t="n">
        <x:v>8</x:v>
      </x:c>
      <x:c r="J131" s="234" t="n"/>
      <x:c r="K131" s="234" t="n">
        <x:v>8</x:v>
      </x:c>
      <x:c r="L131" s="234" t="n"/>
      <x:c r="M131" s="234" t="n"/>
      <x:c r="N131" s="234" t="n"/>
      <x:c r="O131" s="234" t="n"/>
      <x:c r="P131" s="234" t="n"/>
      <x:c r="Q131" s="234" t="inlineStr">
        <x:is>
          <x:t xml:space="preserve">left and right of page</x:t>
        </x:is>
      </x:c>
      <x:c r="R131" s="234" t="n"/>
      <x:c r="S131" s="234" t="n"/>
      <x:c r="T131" s="234" t="n"/>
      <x:c r="U131" s="234" t="n"/>
      <x:c r="V131" s="234" t="n"/>
      <x:c r="W131" s="234" t="n"/>
      <x:c r="X131" s="234" t="inlineStr">
        <x:is>
          <x:t xml:space="preserve">Paired spiral/petal decoration; cluster allocation unknown</x:t>
        </x:is>
      </x:c>
      <x:c r="Y131" s="234" t="n"/>
      <x:c r="Z131" s="234" t="inlineStr">
        <x:is>
          <x:t xml:space="preserve">medium</x:t>
        </x:is>
      </x:c>
      <x:c r="AA131" s="234" t="inlineStr">
        <x:is>
          <x:t xml:space="preserve">CSV_RECORDED_NOT_IMAGE_VERIFIED</x:t>
        </x:is>
      </x:c>
      <x:c r="AB131" s="234" t="inlineStr">
        <x:is>
          <x:t xml:space="preserve">https://github.com/mrroot01011001/Cicada-3301-/tree/main/liber-primus/pages</x:t>
        </x:is>
      </x:c>
      <x:c r="AC131" s="234" t="n"/>
      <x:c r="AD131" s="234" t="inlineStr">
        <x:is>
          <x:t xml:space="preserve">Do not infer an exact left/right split from this aggregate; pages 57 and 68 have separate annotated dot-cluster records.</x:t>
        </x:is>
      </x:c>
      <x:c r="AE131" s="234" t="n"/>
      <x:c r="AF131" s="234" t="n"/>
      <x:c r="AG131" s="234" t="n"/>
      <x:c r="AH131" s="234" t="inlineStr">
        <x:is>
          <x:t xml:space="preserve">single_page</x:t>
        </x:is>
      </x:c>
      <x:c r="AI131" s="234" t="inlineStr">
        <x:is>
          <x:t xml:space="preserve">64.JPG</x:t>
        </x:is>
      </x:c>
      <x:c r="AJ131" s="234" t="inlineStr">
        <x:is>
          <x:t xml:space="preserve">CSV-D032</x:t>
        </x:is>
      </x:c>
      <x:c r="AK131" s="234" t="n">
        <x:v>32</x:v>
      </x:c>
      <x:c r="AL131" s="234" t="inlineStr">
        <x:is>
          <x:t xml:space="preserve">SPIRALS AND PETALS</x:t>
        </x:is>
      </x:c>
      <x:c r="AM131" s="234" t="inlineStr">
        <x:is>
          <x:t xml:space="preserve">0</x:t>
        </x:is>
      </x:c>
      <x:c r="AN131" s="234" t="inlineStr">
        <x:is>
          <x:t xml:space="preserve">8</x:t>
        </x:is>
      </x:c>
      <x:c r="AO131" s="234" t="inlineStr">
        <x:is>
          <x:t xml:space="preserve">0</x:t>
        </x:is>
      </x:c>
      <x:c r="AP131" s="234" t="inlineStr">
        <x:is>
          <x:t xml:space="preserve">LEFT AND RIGHT OF THE PAGE</x:t>
        </x:is>
      </x:c>
      <x:c r="AQ131" s="234" t="inlineStr">
        <x:is>
          <x:t xml:space="preserve">0</x:t>
        </x:is>
      </x:c>
      <x:c r="AR131" s="234" t="inlineStr">
        <x:is>
          <x:t xml:space="preserve">SPIRAL AND PETS ON THE RIGHT SIDE HAVE 5 FULL BLACK PETALS BUT ON THE LEFT SIDE THERE ARE 2 WHITE AND 3 BLACK</x:t>
        </x:is>
      </x:c>
      <x:c r="AS131" s="234" t="n"/>
      <x:c r="AT131" s="234" t="inlineStr">
        <x:is>
          <x:t xml:space="preserve">POPULATED_SOURCE_RECORD</x:t>
        </x:is>
      </x:c>
      <x:c r="AU131" s="234" t="inlineStr">
        <x:is>
          <x:t xml:space="preserve">NO_ANNOTATED_IMAGE_IN_ANNOTATED_REPOSITORY</x:t>
        </x:is>
      </x:c>
    </x:row>
    <x:row r="132" s="232" customFormat="1" ht="32" customHeight="1">
      <x:c r="A132" s="234" t="n">
        <x:v>65</x:v>
      </x:c>
      <x:c r="B132" s="234" t="n"/>
      <x:c r="C132" s="234" t="inlineStr">
        <x:is>
          <x:t xml:space="preserve">LP065-F90</x:t>
        </x:is>
      </x:c>
      <x:c r="D132" s="234" t="inlineStr">
        <x:is>
          <x:t xml:space="preserve">CSV source spreadsheet; feature-level representation</x:t>
        </x:is>
      </x:c>
      <x:c r="E132" s="234" t="n"/>
      <x:c r="F132" s="234" t="n"/>
      <x:c r="G132" s="234" t="inlineStr">
        <x:is>
          <x:t xml:space="preserve">paired spiral/petal motif (page-level)</x:t>
        </x:is>
      </x:c>
      <x:c r="H132" s="234" t="inlineStr">
        <x:is>
          <x:t xml:space="preserve">Source CSV visual-object label: SPIRALS AND PETALS. Source note: SPIRAL AND PETS ON THE RIGHT SIDE HAVE 5 FULL BLACK PETALS BUT ON THE LEFT SIDE THERE ARE 2 WHITE AND 3 BLACK</x:t>
        </x:is>
      </x:c>
      <x:c r="I132" s="234" t="n"/>
      <x:c r="J132" s="234" t="n"/>
      <x:c r="K132" s="234" t="n"/>
      <x:c r="L132" s="234" t="n"/>
      <x:c r="M132" s="234" t="n"/>
      <x:c r="N132" s="234" t="n"/>
      <x:c r="O132" s="234" t="n"/>
      <x:c r="P132" s="234" t="n"/>
      <x:c r="Q132" s="234" t="inlineStr">
        <x:is>
          <x:t xml:space="preserve">left and right of page</x:t>
        </x:is>
      </x:c>
      <x:c r="R132" s="234" t="n"/>
      <x:c r="S132" s="234" t="n"/>
      <x:c r="T132" s="234" t="n"/>
      <x:c r="U132" s="234" t="n"/>
      <x:c r="V132" s="234" t="n"/>
      <x:c r="W132" s="234" t="n"/>
      <x:c r="X132" s="234" t="inlineStr">
        <x:is>
          <x:t xml:space="preserve">Both margins beside central text; page-level motif summary</x:t>
        </x:is>
      </x:c>
      <x:c r="Y132" s="234" t="n"/>
      <x:c r="Z132" s="234" t="inlineStr">
        <x:is>
          <x:t xml:space="preserve">medium</x:t>
        </x:is>
      </x:c>
      <x:c r="AA132" s="234" t="inlineStr">
        <x:is>
          <x:t xml:space="preserve">CSV_RECORDED_NOT_IMAGE_VERIFIED</x:t>
        </x:is>
      </x:c>
      <x:c r="AB132" s="234" t="inlineStr">
        <x:is>
          <x:t xml:space="preserve">https://github.com/mrroot01011001/Cicada-3301-/tree/main/liber-primus/pages</x:t>
        </x:is>
      </x:c>
      <x:c r="AC132" s="234" t="n"/>
      <x:c r="AD132" s="234" t="inlineStr">
        <x:is>
          <x:t xml:space="preserve">Composite motif row retained alongside left/right component rows. Page-level counts in source fields are context, not counts to sum across every feature row.</x:t>
        </x:is>
      </x:c>
      <x:c r="AE132" s="234" t="n"/>
      <x:c r="AF132" s="234" t="n"/>
      <x:c r="AG132" s="234" t="n"/>
      <x:c r="AH132" s="234" t="inlineStr">
        <x:is>
          <x:t xml:space="preserve">single_page</x:t>
        </x:is>
      </x:c>
      <x:c r="AI132" s="234" t="inlineStr">
        <x:is>
          <x:t xml:space="preserve">65.JPG</x:t>
        </x:is>
      </x:c>
      <x:c r="AJ132" s="234" t="inlineStr">
        <x:is>
          <x:t xml:space="preserve">CSV-D033</x:t>
        </x:is>
      </x:c>
      <x:c r="AK132" s="234" t="n">
        <x:v>33</x:v>
      </x:c>
      <x:c r="AL132" s="234" t="inlineStr">
        <x:is>
          <x:t xml:space="preserve">SPIRALS AND PETALS</x:t>
        </x:is>
      </x:c>
      <x:c r="AM132" s="234" t="inlineStr">
        <x:is>
          <x:t xml:space="preserve">0</x:t>
        </x:is>
      </x:c>
      <x:c r="AN132" s="234" t="inlineStr">
        <x:is>
          <x:t xml:space="preserve">8</x:t>
        </x:is>
      </x:c>
      <x:c r="AO132" s="234" t="inlineStr">
        <x:is>
          <x:t xml:space="preserve">0</x:t>
        </x:is>
      </x:c>
      <x:c r="AP132" s="234" t="inlineStr">
        <x:is>
          <x:t xml:space="preserve">LEFT AND RIGHT OF THE PAGE</x:t>
        </x:is>
      </x:c>
      <x:c r="AQ132" s="234" t="inlineStr">
        <x:is>
          <x:t xml:space="preserve">0</x:t>
        </x:is>
      </x:c>
      <x:c r="AR132" s="234" t="inlineStr">
        <x:is>
          <x:t xml:space="preserve">SPIRAL AND PETS ON THE RIGHT SIDE HAVE 5 FULL BLACK PETALS BUT ON THE LEFT SIDE THERE ARE 2 WHITE AND 3 BLACK</x:t>
        </x:is>
      </x:c>
      <x:c r="AS132" s="234" t="n"/>
      <x:c r="AT132" s="234" t="inlineStr">
        <x:is>
          <x:t xml:space="preserve">POPULATED_SOURCE_RECORD</x:t>
        </x:is>
      </x:c>
      <x:c r="AU132" s="234" t="inlineStr">
        <x:is>
          <x:t xml:space="preserve">NO_ANNOTATED_IMAGE_IN_ANNOTATED_REPOSITORY</x:t>
        </x:is>
      </x:c>
    </x:row>
    <x:row r="133" s="232" customFormat="1" ht="32" customHeight="1">
      <x:c r="A133" s="234" t="n">
        <x:v>65</x:v>
      </x:c>
      <x:c r="B133" s="234" t="n"/>
      <x:c r="C133" s="234" t="inlineStr">
        <x:is>
          <x:t xml:space="preserve">LP065-F91</x:t>
        </x:is>
      </x:c>
      <x:c r="D133" s="234" t="inlineStr">
        <x:is>
          <x:t xml:space="preserve">CSV source spreadsheet; feature-level representation</x:t>
        </x:is>
      </x:c>
      <x:c r="E133" s="234" t="n"/>
      <x:c r="F133" s="234" t="n"/>
      <x:c r="G133" s="234" t="inlineStr">
        <x:is>
          <x:t xml:space="preserve">left-side petal group</x:t>
        </x:is>
      </x:c>
      <x:c r="H133" s="234" t="inlineStr">
        <x:is>
          <x:t xml:space="preserve">Source CSV reports two white/unfilled petals and three black/filled petals on the left-side spiral/petal motif.</x:t>
        </x:is>
      </x:c>
      <x:c r="I133" s="234" t="n"/>
      <x:c r="J133" s="234" t="n"/>
      <x:c r="K133" s="234" t="n"/>
      <x:c r="L133" s="234" t="n"/>
      <x:c r="M133" s="234" t="n"/>
      <x:c r="N133" s="234" t="n"/>
      <x:c r="O133" s="234" t="n"/>
      <x:c r="P133" s="234" t="n"/>
      <x:c r="Q133" s="234" t="inlineStr">
        <x:is>
          <x:t xml:space="preserve">left side of page</x:t>
        </x:is>
      </x:c>
      <x:c r="R133" s="234" t="n"/>
      <x:c r="S133" s="234" t="n"/>
      <x:c r="T133" s="234" t="n"/>
      <x:c r="U133" s="234" t="n"/>
      <x:c r="V133" s="234" t="n"/>
      <x:c r="W133" s="234" t="n"/>
      <x:c r="X133" s="234" t="inlineStr">
        <x:is>
          <x:t xml:space="preserve">left spiral/petal decoration</x:t>
        </x:is>
      </x:c>
      <x:c r="Y133" s="234" t="n"/>
      <x:c r="Z133" s="234" t="inlineStr">
        <x:is>
          <x:t xml:space="preserve">medium</x:t>
        </x:is>
      </x:c>
      <x:c r="AA133" s="234" t="inlineStr">
        <x:is>
          <x:t xml:space="preserve">CSV_RECORDED_NOT_IMAGE_VERIFIED</x:t>
        </x:is>
      </x:c>
      <x:c r="AB133" s="234" t="inlineStr">
        <x:is>
          <x:t xml:space="preserve">https://github.com/mrroot01011001/Cicada-3301-/tree/main/liber-primus/pages</x:t>
        </x:is>
      </x:c>
      <x:c r="AC133" s="234" t="n"/>
      <x:c r="AD133" s="234" t="inlineStr">
        <x:is>
          <x:t xml:space="preserve">Petal counts and filled/unfilled distinctions are preserved from the source notes, not independently counted from image coordinates.</x:t>
        </x:is>
      </x:c>
      <x:c r="AE133" s="234" t="n">
        <x:v>5</x:v>
      </x:c>
      <x:c r="AF133" s="234" t="n">
        <x:v>3</x:v>
      </x:c>
      <x:c r="AG133" s="234" t="n">
        <x:v>2</x:v>
      </x:c>
      <x:c r="AH133" s="234" t="inlineStr">
        <x:is>
          <x:t xml:space="preserve">single_page</x:t>
        </x:is>
      </x:c>
      <x:c r="AI133" s="234" t="inlineStr">
        <x:is>
          <x:t xml:space="preserve">65.JPG</x:t>
        </x:is>
      </x:c>
      <x:c r="AJ133" s="234" t="inlineStr">
        <x:is>
          <x:t xml:space="preserve">CSV-D033</x:t>
        </x:is>
      </x:c>
      <x:c r="AK133" s="234" t="n">
        <x:v>33</x:v>
      </x:c>
      <x:c r="AL133" s="234" t="inlineStr">
        <x:is>
          <x:t xml:space="preserve">SPIRALS AND PETALS</x:t>
        </x:is>
      </x:c>
      <x:c r="AM133" s="234" t="inlineStr">
        <x:is>
          <x:t xml:space="preserve">0</x:t>
        </x:is>
      </x:c>
      <x:c r="AN133" s="234" t="inlineStr">
        <x:is>
          <x:t xml:space="preserve">8</x:t>
        </x:is>
      </x:c>
      <x:c r="AO133" s="234" t="inlineStr">
        <x:is>
          <x:t xml:space="preserve">0</x:t>
        </x:is>
      </x:c>
      <x:c r="AP133" s="234" t="inlineStr">
        <x:is>
          <x:t xml:space="preserve">LEFT AND RIGHT OF THE PAGE</x:t>
        </x:is>
      </x:c>
      <x:c r="AQ133" s="234" t="inlineStr">
        <x:is>
          <x:t xml:space="preserve">0</x:t>
        </x:is>
      </x:c>
      <x:c r="AR133" s="234" t="inlineStr">
        <x:is>
          <x:t xml:space="preserve">SPIRAL AND PETS ON THE RIGHT SIDE HAVE 5 FULL BLACK PETALS BUT ON THE LEFT SIDE THERE ARE 2 WHITE AND 3 BLACK</x:t>
        </x:is>
      </x:c>
      <x:c r="AS133" s="234" t="n"/>
      <x:c r="AT133" s="234" t="inlineStr">
        <x:is>
          <x:t xml:space="preserve">POPULATED_SOURCE_RECORD</x:t>
        </x:is>
      </x:c>
      <x:c r="AU133" s="234" t="inlineStr">
        <x:is>
          <x:t xml:space="preserve">NO_ANNOTATED_IMAGE_IN_ANNOTATED_REPOSITORY</x:t>
        </x:is>
      </x:c>
    </x:row>
    <x:row r="134" s="232" customFormat="1" ht="32" customHeight="1">
      <x:c r="A134" s="234" t="n">
        <x:v>65</x:v>
      </x:c>
      <x:c r="B134" s="234" t="n"/>
      <x:c r="C134" s="234" t="inlineStr">
        <x:is>
          <x:t xml:space="preserve">LP065-F92</x:t>
        </x:is>
      </x:c>
      <x:c r="D134" s="234" t="inlineStr">
        <x:is>
          <x:t xml:space="preserve">CSV source spreadsheet; feature-level representation</x:t>
        </x:is>
      </x:c>
      <x:c r="E134" s="234" t="n"/>
      <x:c r="F134" s="234" t="n"/>
      <x:c r="G134" s="234" t="inlineStr">
        <x:is>
          <x:t xml:space="preserve">right-side petal group</x:t>
        </x:is>
      </x:c>
      <x:c r="H134" s="234" t="inlineStr">
        <x:is>
          <x:t xml:space="preserve">Source CSV reports five fully black/filled petals on the right-side spiral/petal motif.</x:t>
        </x:is>
      </x:c>
      <x:c r="I134" s="234" t="n"/>
      <x:c r="J134" s="234" t="n"/>
      <x:c r="K134" s="234" t="n"/>
      <x:c r="L134" s="234" t="n"/>
      <x:c r="M134" s="234" t="n"/>
      <x:c r="N134" s="234" t="n"/>
      <x:c r="O134" s="234" t="n"/>
      <x:c r="P134" s="234" t="n"/>
      <x:c r="Q134" s="234" t="inlineStr">
        <x:is>
          <x:t xml:space="preserve">right side of page</x:t>
        </x:is>
      </x:c>
      <x:c r="R134" s="234" t="n"/>
      <x:c r="S134" s="234" t="n"/>
      <x:c r="T134" s="234" t="n"/>
      <x:c r="U134" s="234" t="n"/>
      <x:c r="V134" s="234" t="n"/>
      <x:c r="W134" s="234" t="n"/>
      <x:c r="X134" s="234" t="inlineStr">
        <x:is>
          <x:t xml:space="preserve">right spiral/petal decoration</x:t>
        </x:is>
      </x:c>
      <x:c r="Y134" s="234" t="n"/>
      <x:c r="Z134" s="234" t="inlineStr">
        <x:is>
          <x:t xml:space="preserve">medium</x:t>
        </x:is>
      </x:c>
      <x:c r="AA134" s="234" t="inlineStr">
        <x:is>
          <x:t xml:space="preserve">CSV_RECORDED_NOT_IMAGE_VERIFIED</x:t>
        </x:is>
      </x:c>
      <x:c r="AB134" s="234" t="inlineStr">
        <x:is>
          <x:t xml:space="preserve">https://github.com/mrroot01011001/Cicada-3301-/tree/main/liber-primus/pages</x:t>
        </x:is>
      </x:c>
      <x:c r="AC134" s="234" t="n"/>
      <x:c r="AD134" s="234" t="inlineStr">
        <x:is>
          <x:t xml:space="preserve">The zero unfilled petals is implied by the source's '5 full black petals' description; verify visually before treating this as a measured count.</x:t>
        </x:is>
      </x:c>
      <x:c r="AE134" s="234" t="n">
        <x:v>5</x:v>
      </x:c>
      <x:c r="AF134" s="234" t="n">
        <x:v>5</x:v>
      </x:c>
      <x:c r="AG134" s="234" t="n">
        <x:v>0</x:v>
      </x:c>
      <x:c r="AH134" s="234" t="inlineStr">
        <x:is>
          <x:t xml:space="preserve">single_page</x:t>
        </x:is>
      </x:c>
      <x:c r="AI134" s="234" t="inlineStr">
        <x:is>
          <x:t xml:space="preserve">65.JPG</x:t>
        </x:is>
      </x:c>
      <x:c r="AJ134" s="234" t="inlineStr">
        <x:is>
          <x:t xml:space="preserve">CSV-D033</x:t>
        </x:is>
      </x:c>
      <x:c r="AK134" s="234" t="n">
        <x:v>33</x:v>
      </x:c>
      <x:c r="AL134" s="234" t="inlineStr">
        <x:is>
          <x:t xml:space="preserve">SPIRALS AND PETALS</x:t>
        </x:is>
      </x:c>
      <x:c r="AM134" s="234" t="inlineStr">
        <x:is>
          <x:t xml:space="preserve">0</x:t>
        </x:is>
      </x:c>
      <x:c r="AN134" s="234" t="inlineStr">
        <x:is>
          <x:t xml:space="preserve">8</x:t>
        </x:is>
      </x:c>
      <x:c r="AO134" s="234" t="inlineStr">
        <x:is>
          <x:t xml:space="preserve">0</x:t>
        </x:is>
      </x:c>
      <x:c r="AP134" s="234" t="inlineStr">
        <x:is>
          <x:t xml:space="preserve">LEFT AND RIGHT OF THE PAGE</x:t>
        </x:is>
      </x:c>
      <x:c r="AQ134" s="234" t="inlineStr">
        <x:is>
          <x:t xml:space="preserve">0</x:t>
        </x:is>
      </x:c>
      <x:c r="AR134" s="234" t="inlineStr">
        <x:is>
          <x:t xml:space="preserve">SPIRAL AND PETS ON THE RIGHT SIDE HAVE 5 FULL BLACK PETALS BUT ON THE LEFT SIDE THERE ARE 2 WHITE AND 3 BLACK</x:t>
        </x:is>
      </x:c>
      <x:c r="AS134" s="234" t="n"/>
      <x:c r="AT134" s="234" t="inlineStr">
        <x:is>
          <x:t xml:space="preserve">POPULATED_SOURCE_RECORD</x:t>
        </x:is>
      </x:c>
      <x:c r="AU134" s="234" t="inlineStr">
        <x:is>
          <x:t xml:space="preserve">NO_ANNOTATED_IMAGE_IN_ANNOTATED_REPOSITORY</x:t>
        </x:is>
      </x:c>
    </x:row>
    <x:row r="135" s="232" customFormat="1" ht="32" customHeight="1">
      <x:c r="A135" s="234" t="n">
        <x:v>65</x:v>
      </x:c>
      <x:c r="B135" s="234" t="n"/>
      <x:c r="C135" s="234" t="inlineStr">
        <x:is>
          <x:t xml:space="preserve">LP065-F93</x:t>
        </x:is>
      </x:c>
      <x:c r="D135" s="234" t="inlineStr">
        <x:is>
          <x:t xml:space="preserve">CSV source spreadsheet; feature-level representation</x:t>
        </x:is>
      </x:c>
      <x:c r="E135" s="234" t="n"/>
      <x:c r="F135" s="234" t="n"/>
      <x:c r="G135" s="234" t="inlineStr">
        <x:is>
          <x:t xml:space="preserve">left-side plant/root/spiral ornament</x:t>
        </x:is>
      </x:c>
      <x:c r="H135" s="234" t="inlineStr">
        <x:is>
          <x:t xml:space="preserve">Source CSV lists paired spiral/petal artwork on both sides. This row records the left-side motif as a separate spatial feature; detailed branches, roots, and endpoints have not been measured.</x:t>
        </x:is>
      </x:c>
      <x:c r="I135" s="234" t="n"/>
      <x:c r="J135" s="234" t="n"/>
      <x:c r="K135" s="234" t="n"/>
      <x:c r="L135" s="234" t="n"/>
      <x:c r="M135" s="234" t="n"/>
      <x:c r="N135" s="234" t="n"/>
      <x:c r="O135" s="234" t="n"/>
      <x:c r="P135" s="234" t="n"/>
      <x:c r="Q135" s="234" t="inlineStr">
        <x:is>
          <x:t xml:space="preserve">left side of page</x:t>
        </x:is>
      </x:c>
      <x:c r="R135" s="234" t="n"/>
      <x:c r="S135" s="234" t="n"/>
      <x:c r="T135" s="234" t="n"/>
      <x:c r="U135" s="234" t="n"/>
      <x:c r="V135" s="234" t="n"/>
      <x:c r="W135" s="234" t="n"/>
      <x:c r="X135" s="234" t="inlineStr">
        <x:is>
          <x:t xml:space="preserve">left margin beside glyph block</x:t>
        </x:is>
      </x:c>
      <x:c r="Y135" s="234" t="n"/>
      <x:c r="Z135" s="234" t="inlineStr">
        <x:is>
          <x:t xml:space="preserve">medium</x:t>
        </x:is>
      </x:c>
      <x:c r="AA135" s="234" t="inlineStr">
        <x:is>
          <x:t xml:space="preserve">CSV_RECORDED_NOT_IMAGE_VERIFIED</x:t>
        </x:is>
      </x:c>
      <x:c r="AB135" s="234" t="inlineStr">
        <x:is>
          <x:t xml:space="preserve">https://github.com/mrroot01011001/Cicada-3301-/tree/main/liber-primus/pages</x:t>
        </x:is>
      </x:c>
      <x:c r="AC135" s="234" t="n"/>
      <x:c r="AD135" s="234" t="inlineStr">
        <x:is>
          <x:t xml:space="preserve">No corresponding annotated image is present in the annotated-pages repository; retain source observation without adding unverified geometry.</x:t>
        </x:is>
      </x:c>
      <x:c r="AE135" s="234" t="n"/>
      <x:c r="AF135" s="234" t="n"/>
      <x:c r="AG135" s="234" t="n"/>
      <x:c r="AH135" s="234" t="inlineStr">
        <x:is>
          <x:t xml:space="preserve">single_page</x:t>
        </x:is>
      </x:c>
      <x:c r="AI135" s="234" t="inlineStr">
        <x:is>
          <x:t xml:space="preserve">65.JPG</x:t>
        </x:is>
      </x:c>
      <x:c r="AJ135" s="234" t="inlineStr">
        <x:is>
          <x:t xml:space="preserve">CSV-D033</x:t>
        </x:is>
      </x:c>
      <x:c r="AK135" s="234" t="n">
        <x:v>33</x:v>
      </x:c>
      <x:c r="AL135" s="234" t="inlineStr">
        <x:is>
          <x:t xml:space="preserve">SPIRALS AND PETALS</x:t>
        </x:is>
      </x:c>
      <x:c r="AM135" s="234" t="inlineStr">
        <x:is>
          <x:t xml:space="preserve">0</x:t>
        </x:is>
      </x:c>
      <x:c r="AN135" s="234" t="inlineStr">
        <x:is>
          <x:t xml:space="preserve">8</x:t>
        </x:is>
      </x:c>
      <x:c r="AO135" s="234" t="inlineStr">
        <x:is>
          <x:t xml:space="preserve">0</x:t>
        </x:is>
      </x:c>
      <x:c r="AP135" s="234" t="inlineStr">
        <x:is>
          <x:t xml:space="preserve">LEFT AND RIGHT OF THE PAGE</x:t>
        </x:is>
      </x:c>
      <x:c r="AQ135" s="234" t="inlineStr">
        <x:is>
          <x:t xml:space="preserve">0</x:t>
        </x:is>
      </x:c>
      <x:c r="AR135" s="234" t="inlineStr">
        <x:is>
          <x:t xml:space="preserve">SPIRAL AND PETS ON THE RIGHT SIDE HAVE 5 FULL BLACK PETALS BUT ON THE LEFT SIDE THERE ARE 2 WHITE AND 3 BLACK</x:t>
        </x:is>
      </x:c>
      <x:c r="AS135" s="234" t="n"/>
      <x:c r="AT135" s="234" t="inlineStr">
        <x:is>
          <x:t xml:space="preserve">POPULATED_SOURCE_RECORD</x:t>
        </x:is>
      </x:c>
      <x:c r="AU135" s="234" t="inlineStr">
        <x:is>
          <x:t xml:space="preserve">NO_ANNOTATED_IMAGE_IN_ANNOTATED_REPOSITORY</x:t>
        </x:is>
      </x:c>
    </x:row>
    <x:row r="136" s="232" customFormat="1" ht="32" customHeight="1">
      <x:c r="A136" s="234" t="n">
        <x:v>65</x:v>
      </x:c>
      <x:c r="B136" s="234" t="n"/>
      <x:c r="C136" s="234" t="inlineStr">
        <x:is>
          <x:t xml:space="preserve">LP065-F94</x:t>
        </x:is>
      </x:c>
      <x:c r="D136" s="234" t="inlineStr">
        <x:is>
          <x:t xml:space="preserve">CSV source spreadsheet; feature-level representation</x:t>
        </x:is>
      </x:c>
      <x:c r="E136" s="234" t="n"/>
      <x:c r="F136" s="234" t="n"/>
      <x:c r="G136" s="234" t="inlineStr">
        <x:is>
          <x:t xml:space="preserve">right-side plant/root/spiral ornament</x:t>
        </x:is>
      </x:c>
      <x:c r="H136" s="234" t="inlineStr">
        <x:is>
          <x:t xml:space="preserve">Source CSV lists paired spiral/petal artwork on both sides. This row records the right-side motif as a separate spatial feature; detailed branches, roots, and endpoints have not been measured.</x:t>
        </x:is>
      </x:c>
      <x:c r="I136" s="234" t="n"/>
      <x:c r="J136" s="234" t="n"/>
      <x:c r="K136" s="234" t="n"/>
      <x:c r="L136" s="234" t="n"/>
      <x:c r="M136" s="234" t="n"/>
      <x:c r="N136" s="234" t="n"/>
      <x:c r="O136" s="234" t="n"/>
      <x:c r="P136" s="234" t="n"/>
      <x:c r="Q136" s="234" t="inlineStr">
        <x:is>
          <x:t xml:space="preserve">right side of page</x:t>
        </x:is>
      </x:c>
      <x:c r="R136" s="234" t="n"/>
      <x:c r="S136" s="234" t="n"/>
      <x:c r="T136" s="234" t="n"/>
      <x:c r="U136" s="234" t="n"/>
      <x:c r="V136" s="234" t="n"/>
      <x:c r="W136" s="234" t="n"/>
      <x:c r="X136" s="234" t="inlineStr">
        <x:is>
          <x:t xml:space="preserve">right margin beside glyph block</x:t>
        </x:is>
      </x:c>
      <x:c r="Y136" s="234" t="n"/>
      <x:c r="Z136" s="234" t="inlineStr">
        <x:is>
          <x:t xml:space="preserve">medium</x:t>
        </x:is>
      </x:c>
      <x:c r="AA136" s="234" t="inlineStr">
        <x:is>
          <x:t xml:space="preserve">CSV_RECORDED_NOT_IMAGE_VERIFIED</x:t>
        </x:is>
      </x:c>
      <x:c r="AB136" s="234" t="inlineStr">
        <x:is>
          <x:t xml:space="preserve">https://github.com/mrroot01011001/Cicada-3301-/tree/main/liber-primus/pages</x:t>
        </x:is>
      </x:c>
      <x:c r="AC136" s="234" t="n"/>
      <x:c r="AD136" s="234" t="inlineStr">
        <x:is>
          <x:t xml:space="preserve">No corresponding annotated image is present in the annotated-pages repository; retain source observation without adding unverified geometry.</x:t>
        </x:is>
      </x:c>
      <x:c r="AE136" s="234" t="n"/>
      <x:c r="AF136" s="234" t="n"/>
      <x:c r="AG136" s="234" t="n"/>
      <x:c r="AH136" s="234" t="inlineStr">
        <x:is>
          <x:t xml:space="preserve">single_page</x:t>
        </x:is>
      </x:c>
      <x:c r="AI136" s="234" t="inlineStr">
        <x:is>
          <x:t xml:space="preserve">65.JPG</x:t>
        </x:is>
      </x:c>
      <x:c r="AJ136" s="234" t="inlineStr">
        <x:is>
          <x:t xml:space="preserve">CSV-D033</x:t>
        </x:is>
      </x:c>
      <x:c r="AK136" s="234" t="n">
        <x:v>33</x:v>
      </x:c>
      <x:c r="AL136" s="234" t="inlineStr">
        <x:is>
          <x:t xml:space="preserve">SPIRALS AND PETALS</x:t>
        </x:is>
      </x:c>
      <x:c r="AM136" s="234" t="inlineStr">
        <x:is>
          <x:t xml:space="preserve">0</x:t>
        </x:is>
      </x:c>
      <x:c r="AN136" s="234" t="inlineStr">
        <x:is>
          <x:t xml:space="preserve">8</x:t>
        </x:is>
      </x:c>
      <x:c r="AO136" s="234" t="inlineStr">
        <x:is>
          <x:t xml:space="preserve">0</x:t>
        </x:is>
      </x:c>
      <x:c r="AP136" s="234" t="inlineStr">
        <x:is>
          <x:t xml:space="preserve">LEFT AND RIGHT OF THE PAGE</x:t>
        </x:is>
      </x:c>
      <x:c r="AQ136" s="234" t="inlineStr">
        <x:is>
          <x:t xml:space="preserve">0</x:t>
        </x:is>
      </x:c>
      <x:c r="AR136" s="234" t="inlineStr">
        <x:is>
          <x:t xml:space="preserve">SPIRAL AND PETS ON THE RIGHT SIDE HAVE 5 FULL BLACK PETALS BUT ON THE LEFT SIDE THERE ARE 2 WHITE AND 3 BLACK</x:t>
        </x:is>
      </x:c>
      <x:c r="AS136" s="234" t="n"/>
      <x:c r="AT136" s="234" t="inlineStr">
        <x:is>
          <x:t xml:space="preserve">POPULATED_SOURCE_RECORD</x:t>
        </x:is>
      </x:c>
      <x:c r="AU136" s="234" t="inlineStr">
        <x:is>
          <x:t xml:space="preserve">NO_ANNOTATED_IMAGE_IN_ANNOTATED_REPOSITORY</x:t>
        </x:is>
      </x:c>
    </x:row>
    <x:row r="137" s="232" customFormat="1" ht="32" customHeight="1">
      <x:c r="A137" s="234" t="n">
        <x:v>65</x:v>
      </x:c>
      <x:c r="B137" s="234" t="n"/>
      <x:c r="C137" s="234" t="inlineStr">
        <x:is>
          <x:t xml:space="preserve">LP065-F95</x:t>
        </x:is>
      </x:c>
      <x:c r="D137" s="234" t="inlineStr">
        <x:is>
          <x:t xml:space="preserve">CSV source spreadsheet; feature-level representation</x:t>
        </x:is>
      </x:c>
      <x:c r="E137" s="234" t="n"/>
      <x:c r="F137" s="234" t="n"/>
      <x:c r="G137" s="234" t="inlineStr">
        <x:is>
          <x:t xml:space="preserve">external dot count (page aggregate; cluster positions unknown)</x:t>
        </x:is>
      </x:c>
      <x:c r="H137" s="234" t="inlineStr">
        <x:is>
          <x:t xml:space="preserve">Source CSV records eight external dots for this page's paired spiral/petal decoration; individual cluster positions are not separately recorded in the source row.</x:t>
        </x:is>
      </x:c>
      <x:c r="I137" s="234" t="n">
        <x:v>8</x:v>
      </x:c>
      <x:c r="J137" s="234" t="n"/>
      <x:c r="K137" s="234" t="n">
        <x:v>8</x:v>
      </x:c>
      <x:c r="L137" s="234" t="n"/>
      <x:c r="M137" s="234" t="n"/>
      <x:c r="N137" s="234" t="n"/>
      <x:c r="O137" s="234" t="n"/>
      <x:c r="P137" s="234" t="n"/>
      <x:c r="Q137" s="234" t="inlineStr">
        <x:is>
          <x:t xml:space="preserve">left and right of page</x:t>
        </x:is>
      </x:c>
      <x:c r="R137" s="234" t="n"/>
      <x:c r="S137" s="234" t="n"/>
      <x:c r="T137" s="234" t="n"/>
      <x:c r="U137" s="234" t="n"/>
      <x:c r="V137" s="234" t="n"/>
      <x:c r="W137" s="234" t="n"/>
      <x:c r="X137" s="234" t="inlineStr">
        <x:is>
          <x:t xml:space="preserve">Paired spiral/petal decoration; cluster allocation unknown</x:t>
        </x:is>
      </x:c>
      <x:c r="Y137" s="234" t="n"/>
      <x:c r="Z137" s="234" t="inlineStr">
        <x:is>
          <x:t xml:space="preserve">medium</x:t>
        </x:is>
      </x:c>
      <x:c r="AA137" s="234" t="inlineStr">
        <x:is>
          <x:t xml:space="preserve">CSV_RECORDED_NOT_IMAGE_VERIFIED</x:t>
        </x:is>
      </x:c>
      <x:c r="AB137" s="234" t="inlineStr">
        <x:is>
          <x:t xml:space="preserve">https://github.com/mrroot01011001/Cicada-3301-/tree/main/liber-primus/pages</x:t>
        </x:is>
      </x:c>
      <x:c r="AC137" s="234" t="n"/>
      <x:c r="AD137" s="234" t="inlineStr">
        <x:is>
          <x:t xml:space="preserve">Do not infer an exact left/right split from this aggregate; pages 57 and 68 have separate annotated dot-cluster records.</x:t>
        </x:is>
      </x:c>
      <x:c r="AE137" s="234" t="n"/>
      <x:c r="AF137" s="234" t="n"/>
      <x:c r="AG137" s="234" t="n"/>
      <x:c r="AH137" s="234" t="inlineStr">
        <x:is>
          <x:t xml:space="preserve">single_page</x:t>
        </x:is>
      </x:c>
      <x:c r="AI137" s="234" t="inlineStr">
        <x:is>
          <x:t xml:space="preserve">65.JPG</x:t>
        </x:is>
      </x:c>
      <x:c r="AJ137" s="234" t="inlineStr">
        <x:is>
          <x:t xml:space="preserve">CSV-D033</x:t>
        </x:is>
      </x:c>
      <x:c r="AK137" s="234" t="n">
        <x:v>33</x:v>
      </x:c>
      <x:c r="AL137" s="234" t="inlineStr">
        <x:is>
          <x:t xml:space="preserve">SPIRALS AND PETALS</x:t>
        </x:is>
      </x:c>
      <x:c r="AM137" s="234" t="inlineStr">
        <x:is>
          <x:t xml:space="preserve">0</x:t>
        </x:is>
      </x:c>
      <x:c r="AN137" s="234" t="inlineStr">
        <x:is>
          <x:t xml:space="preserve">8</x:t>
        </x:is>
      </x:c>
      <x:c r="AO137" s="234" t="inlineStr">
        <x:is>
          <x:t xml:space="preserve">0</x:t>
        </x:is>
      </x:c>
      <x:c r="AP137" s="234" t="inlineStr">
        <x:is>
          <x:t xml:space="preserve">LEFT AND RIGHT OF THE PAGE</x:t>
        </x:is>
      </x:c>
      <x:c r="AQ137" s="234" t="inlineStr">
        <x:is>
          <x:t xml:space="preserve">0</x:t>
        </x:is>
      </x:c>
      <x:c r="AR137" s="234" t="inlineStr">
        <x:is>
          <x:t xml:space="preserve">SPIRAL AND PETS ON THE RIGHT SIDE HAVE 5 FULL BLACK PETALS BUT ON THE LEFT SIDE THERE ARE 2 WHITE AND 3 BLACK</x:t>
        </x:is>
      </x:c>
      <x:c r="AS137" s="234" t="n"/>
      <x:c r="AT137" s="234" t="inlineStr">
        <x:is>
          <x:t xml:space="preserve">POPULATED_SOURCE_RECORD</x:t>
        </x:is>
      </x:c>
      <x:c r="AU137" s="234" t="inlineStr">
        <x:is>
          <x:t xml:space="preserve">NO_ANNOTATED_IMAGE_IN_ANNOTATED_REPOSITORY</x:t>
        </x:is>
      </x:c>
    </x:row>
    <x:row r="138" s="232" customFormat="1" ht="32" customHeight="1">
      <x:c r="A138" s="234" t="n">
        <x:v>66</x:v>
      </x:c>
      <x:c r="B138" s="234" t="n"/>
      <x:c r="C138" s="234" t="inlineStr">
        <x:is>
          <x:t xml:space="preserve">LP066-F90</x:t>
        </x:is>
      </x:c>
      <x:c r="D138" s="234" t="inlineStr">
        <x:is>
          <x:t xml:space="preserve">CSV source spreadsheet; feature-level representation</x:t>
        </x:is>
      </x:c>
      <x:c r="E138" s="234" t="n"/>
      <x:c r="F138" s="234" t="n"/>
      <x:c r="G138" s="234" t="inlineStr">
        <x:is>
          <x:t xml:space="preserve">paired spiral/petal motif (page-level)</x:t>
        </x:is>
      </x:c>
      <x:c r="H138" s="234" t="inlineStr">
        <x:is>
          <x:t xml:space="preserve">Source CSV visual-object label: SPIRALS AND PETALS. Source note: SPIRAL AND PETS ON THE RIGHT SIDE HAVE 5 FULL BLACK PETALS BUT ON THE LEFT SIDE THERE ARE 2 WHITE AND 3 BLACK</x:t>
        </x:is>
      </x:c>
      <x:c r="I138" s="234" t="n"/>
      <x:c r="J138" s="234" t="n"/>
      <x:c r="K138" s="234" t="n"/>
      <x:c r="L138" s="234" t="n"/>
      <x:c r="M138" s="234" t="n"/>
      <x:c r="N138" s="234" t="n"/>
      <x:c r="O138" s="234" t="n"/>
      <x:c r="P138" s="234" t="n"/>
      <x:c r="Q138" s="234" t="inlineStr">
        <x:is>
          <x:t xml:space="preserve">left and right of page</x:t>
        </x:is>
      </x:c>
      <x:c r="R138" s="234" t="n"/>
      <x:c r="S138" s="234" t="n"/>
      <x:c r="T138" s="234" t="n"/>
      <x:c r="U138" s="234" t="n"/>
      <x:c r="V138" s="234" t="n"/>
      <x:c r="W138" s="234" t="n"/>
      <x:c r="X138" s="234" t="inlineStr">
        <x:is>
          <x:t xml:space="preserve">Both margins beside central text; page-level motif summary</x:t>
        </x:is>
      </x:c>
      <x:c r="Y138" s="234" t="n"/>
      <x:c r="Z138" s="234" t="inlineStr">
        <x:is>
          <x:t xml:space="preserve">medium</x:t>
        </x:is>
      </x:c>
      <x:c r="AA138" s="234" t="inlineStr">
        <x:is>
          <x:t xml:space="preserve">CSV_RECORDED_NOT_IMAGE_VERIFIED</x:t>
        </x:is>
      </x:c>
      <x:c r="AB138" s="234" t="inlineStr">
        <x:is>
          <x:t xml:space="preserve">https://github.com/mrroot01011001/Cicada-3301-/tree/main/liber-primus/pages</x:t>
        </x:is>
      </x:c>
      <x:c r="AC138" s="234" t="n"/>
      <x:c r="AD138" s="234" t="inlineStr">
        <x:is>
          <x:t xml:space="preserve">Composite motif row retained alongside left/right component rows. Page-level counts in source fields are context, not counts to sum across every feature row.</x:t>
        </x:is>
      </x:c>
      <x:c r="AE138" s="234" t="n"/>
      <x:c r="AF138" s="234" t="n"/>
      <x:c r="AG138" s="234" t="n"/>
      <x:c r="AH138" s="234" t="inlineStr">
        <x:is>
          <x:t xml:space="preserve">single_page</x:t>
        </x:is>
      </x:c>
      <x:c r="AI138" s="234" t="inlineStr">
        <x:is>
          <x:t xml:space="preserve">66.JPG</x:t>
        </x:is>
      </x:c>
      <x:c r="AJ138" s="234" t="inlineStr">
        <x:is>
          <x:t xml:space="preserve">CSV-D034</x:t>
        </x:is>
      </x:c>
      <x:c r="AK138" s="234" t="n">
        <x:v>34</x:v>
      </x:c>
      <x:c r="AL138" s="234" t="inlineStr">
        <x:is>
          <x:t xml:space="preserve">SPIRALS AND PETALS</x:t>
        </x:is>
      </x:c>
      <x:c r="AM138" s="234" t="inlineStr">
        <x:is>
          <x:t xml:space="preserve">0</x:t>
        </x:is>
      </x:c>
      <x:c r="AN138" s="234" t="inlineStr">
        <x:is>
          <x:t xml:space="preserve">8</x:t>
        </x:is>
      </x:c>
      <x:c r="AO138" s="234" t="inlineStr">
        <x:is>
          <x:t xml:space="preserve">0</x:t>
        </x:is>
      </x:c>
      <x:c r="AP138" s="234" t="inlineStr">
        <x:is>
          <x:t xml:space="preserve">LEFT AND RIGHT OF THE PAGE</x:t>
        </x:is>
      </x:c>
      <x:c r="AQ138" s="234" t="inlineStr">
        <x:is>
          <x:t xml:space="preserve">0</x:t>
        </x:is>
      </x:c>
      <x:c r="AR138" s="234" t="inlineStr">
        <x:is>
          <x:t xml:space="preserve">SPIRAL AND PETS ON THE RIGHT SIDE HAVE 5 FULL BLACK PETALS BUT ON THE LEFT SIDE THERE ARE 2 WHITE AND 3 BLACK</x:t>
        </x:is>
      </x:c>
      <x:c r="AS138" s="234" t="n"/>
      <x:c r="AT138" s="234" t="inlineStr">
        <x:is>
          <x:t xml:space="preserve">POPULATED_SOURCE_RECORD</x:t>
        </x:is>
      </x:c>
      <x:c r="AU138" s="234" t="inlineStr">
        <x:is>
          <x:t xml:space="preserve">NO_ANNOTATED_IMAGE_IN_ANNOTATED_REPOSITORY</x:t>
        </x:is>
      </x:c>
    </x:row>
    <x:row r="139" s="232" customFormat="1" ht="32" customHeight="1">
      <x:c r="A139" s="234" t="n">
        <x:v>66</x:v>
      </x:c>
      <x:c r="B139" s="234" t="n"/>
      <x:c r="C139" s="234" t="inlineStr">
        <x:is>
          <x:t xml:space="preserve">LP066-F91</x:t>
        </x:is>
      </x:c>
      <x:c r="D139" s="234" t="inlineStr">
        <x:is>
          <x:t xml:space="preserve">CSV source spreadsheet; feature-level representation</x:t>
        </x:is>
      </x:c>
      <x:c r="E139" s="234" t="n"/>
      <x:c r="F139" s="234" t="n"/>
      <x:c r="G139" s="234" t="inlineStr">
        <x:is>
          <x:t xml:space="preserve">left-side petal group</x:t>
        </x:is>
      </x:c>
      <x:c r="H139" s="234" t="inlineStr">
        <x:is>
          <x:t xml:space="preserve">Source CSV reports two white/unfilled petals and three black/filled petals on the left-side spiral/petal motif.</x:t>
        </x:is>
      </x:c>
      <x:c r="I139" s="234" t="n"/>
      <x:c r="J139" s="234" t="n"/>
      <x:c r="K139" s="234" t="n"/>
      <x:c r="L139" s="234" t="n"/>
      <x:c r="M139" s="234" t="n"/>
      <x:c r="N139" s="234" t="n"/>
      <x:c r="O139" s="234" t="n"/>
      <x:c r="P139" s="234" t="n"/>
      <x:c r="Q139" s="234" t="inlineStr">
        <x:is>
          <x:t xml:space="preserve">left side of page</x:t>
        </x:is>
      </x:c>
      <x:c r="R139" s="234" t="n"/>
      <x:c r="S139" s="234" t="n"/>
      <x:c r="T139" s="234" t="n"/>
      <x:c r="U139" s="234" t="n"/>
      <x:c r="V139" s="234" t="n"/>
      <x:c r="W139" s="234" t="n"/>
      <x:c r="X139" s="234" t="inlineStr">
        <x:is>
          <x:t xml:space="preserve">left spiral/petal decoration</x:t>
        </x:is>
      </x:c>
      <x:c r="Y139" s="234" t="n"/>
      <x:c r="Z139" s="234" t="inlineStr">
        <x:is>
          <x:t xml:space="preserve">medium</x:t>
        </x:is>
      </x:c>
      <x:c r="AA139" s="234" t="inlineStr">
        <x:is>
          <x:t xml:space="preserve">CSV_RECORDED_NOT_IMAGE_VERIFIED</x:t>
        </x:is>
      </x:c>
      <x:c r="AB139" s="234" t="inlineStr">
        <x:is>
          <x:t xml:space="preserve">https://github.com/mrroot01011001/Cicada-3301-/tree/main/liber-primus/pages</x:t>
        </x:is>
      </x:c>
      <x:c r="AC139" s="234" t="n"/>
      <x:c r="AD139" s="234" t="inlineStr">
        <x:is>
          <x:t xml:space="preserve">Petal counts and filled/unfilled distinctions are preserved from the source notes, not independently counted from image coordinates.</x:t>
        </x:is>
      </x:c>
      <x:c r="AE139" s="234" t="n">
        <x:v>5</x:v>
      </x:c>
      <x:c r="AF139" s="234" t="n">
        <x:v>3</x:v>
      </x:c>
      <x:c r="AG139" s="234" t="n">
        <x:v>2</x:v>
      </x:c>
      <x:c r="AH139" s="234" t="inlineStr">
        <x:is>
          <x:t xml:space="preserve">single_page</x:t>
        </x:is>
      </x:c>
      <x:c r="AI139" s="234" t="inlineStr">
        <x:is>
          <x:t xml:space="preserve">66.JPG</x:t>
        </x:is>
      </x:c>
      <x:c r="AJ139" s="234" t="inlineStr">
        <x:is>
          <x:t xml:space="preserve">CSV-D034</x:t>
        </x:is>
      </x:c>
      <x:c r="AK139" s="234" t="n">
        <x:v>34</x:v>
      </x:c>
      <x:c r="AL139" s="234" t="inlineStr">
        <x:is>
          <x:t xml:space="preserve">SPIRALS AND PETALS</x:t>
        </x:is>
      </x:c>
      <x:c r="AM139" s="234" t="inlineStr">
        <x:is>
          <x:t xml:space="preserve">0</x:t>
        </x:is>
      </x:c>
      <x:c r="AN139" s="234" t="inlineStr">
        <x:is>
          <x:t xml:space="preserve">8</x:t>
        </x:is>
      </x:c>
      <x:c r="AO139" s="234" t="inlineStr">
        <x:is>
          <x:t xml:space="preserve">0</x:t>
        </x:is>
      </x:c>
      <x:c r="AP139" s="234" t="inlineStr">
        <x:is>
          <x:t xml:space="preserve">LEFT AND RIGHT OF THE PAGE</x:t>
        </x:is>
      </x:c>
      <x:c r="AQ139" s="234" t="inlineStr">
        <x:is>
          <x:t xml:space="preserve">0</x:t>
        </x:is>
      </x:c>
      <x:c r="AR139" s="234" t="inlineStr">
        <x:is>
          <x:t xml:space="preserve">SPIRAL AND PETS ON THE RIGHT SIDE HAVE 5 FULL BLACK PETALS BUT ON THE LEFT SIDE THERE ARE 2 WHITE AND 3 BLACK</x:t>
        </x:is>
      </x:c>
      <x:c r="AS139" s="234" t="n"/>
      <x:c r="AT139" s="234" t="inlineStr">
        <x:is>
          <x:t xml:space="preserve">POPULATED_SOURCE_RECORD</x:t>
        </x:is>
      </x:c>
      <x:c r="AU139" s="234" t="inlineStr">
        <x:is>
          <x:t xml:space="preserve">NO_ANNOTATED_IMAGE_IN_ANNOTATED_REPOSITORY</x:t>
        </x:is>
      </x:c>
    </x:row>
    <x:row r="140" s="232" customFormat="1" ht="32" customHeight="1">
      <x:c r="A140" s="234" t="n">
        <x:v>66</x:v>
      </x:c>
      <x:c r="B140" s="234" t="n"/>
      <x:c r="C140" s="234" t="inlineStr">
        <x:is>
          <x:t xml:space="preserve">LP066-F92</x:t>
        </x:is>
      </x:c>
      <x:c r="D140" s="234" t="inlineStr">
        <x:is>
          <x:t xml:space="preserve">CSV source spreadsheet; feature-level representation</x:t>
        </x:is>
      </x:c>
      <x:c r="E140" s="234" t="n"/>
      <x:c r="F140" s="234" t="n"/>
      <x:c r="G140" s="234" t="inlineStr">
        <x:is>
          <x:t xml:space="preserve">right-side petal group</x:t>
        </x:is>
      </x:c>
      <x:c r="H140" s="234" t="inlineStr">
        <x:is>
          <x:t xml:space="preserve">Source CSV reports five fully black/filled petals on the right-side spiral/petal motif.</x:t>
        </x:is>
      </x:c>
      <x:c r="I140" s="234" t="n"/>
      <x:c r="J140" s="234" t="n"/>
      <x:c r="K140" s="234" t="n"/>
      <x:c r="L140" s="234" t="n"/>
      <x:c r="M140" s="234" t="n"/>
      <x:c r="N140" s="234" t="n"/>
      <x:c r="O140" s="234" t="n"/>
      <x:c r="P140" s="234" t="n"/>
      <x:c r="Q140" s="234" t="inlineStr">
        <x:is>
          <x:t xml:space="preserve">right side of page</x:t>
        </x:is>
      </x:c>
      <x:c r="R140" s="234" t="n"/>
      <x:c r="S140" s="234" t="n"/>
      <x:c r="T140" s="234" t="n"/>
      <x:c r="U140" s="234" t="n"/>
      <x:c r="V140" s="234" t="n"/>
      <x:c r="W140" s="234" t="n"/>
      <x:c r="X140" s="234" t="inlineStr">
        <x:is>
          <x:t xml:space="preserve">right spiral/petal decoration</x:t>
        </x:is>
      </x:c>
      <x:c r="Y140" s="234" t="n"/>
      <x:c r="Z140" s="234" t="inlineStr">
        <x:is>
          <x:t xml:space="preserve">medium</x:t>
        </x:is>
      </x:c>
      <x:c r="AA140" s="234" t="inlineStr">
        <x:is>
          <x:t xml:space="preserve">CSV_RECORDED_NOT_IMAGE_VERIFIED</x:t>
        </x:is>
      </x:c>
      <x:c r="AB140" s="234" t="inlineStr">
        <x:is>
          <x:t xml:space="preserve">https://github.com/mrroot01011001/Cicada-3301-/tree/main/liber-primus/pages</x:t>
        </x:is>
      </x:c>
      <x:c r="AC140" s="234" t="n"/>
      <x:c r="AD140" s="234" t="inlineStr">
        <x:is>
          <x:t xml:space="preserve">The zero unfilled petals is implied by the source's '5 full black petals' description; verify visually before treating this as a measured count.</x:t>
        </x:is>
      </x:c>
      <x:c r="AE140" s="234" t="n">
        <x:v>5</x:v>
      </x:c>
      <x:c r="AF140" s="234" t="n">
        <x:v>5</x:v>
      </x:c>
      <x:c r="AG140" s="234" t="n">
        <x:v>0</x:v>
      </x:c>
      <x:c r="AH140" s="234" t="inlineStr">
        <x:is>
          <x:t xml:space="preserve">single_page</x:t>
        </x:is>
      </x:c>
      <x:c r="AI140" s="234" t="inlineStr">
        <x:is>
          <x:t xml:space="preserve">66.JPG</x:t>
        </x:is>
      </x:c>
      <x:c r="AJ140" s="234" t="inlineStr">
        <x:is>
          <x:t xml:space="preserve">CSV-D034</x:t>
        </x:is>
      </x:c>
      <x:c r="AK140" s="234" t="n">
        <x:v>34</x:v>
      </x:c>
      <x:c r="AL140" s="234" t="inlineStr">
        <x:is>
          <x:t xml:space="preserve">SPIRALS AND PETALS</x:t>
        </x:is>
      </x:c>
      <x:c r="AM140" s="234" t="inlineStr">
        <x:is>
          <x:t xml:space="preserve">0</x:t>
        </x:is>
      </x:c>
      <x:c r="AN140" s="234" t="inlineStr">
        <x:is>
          <x:t xml:space="preserve">8</x:t>
        </x:is>
      </x:c>
      <x:c r="AO140" s="234" t="inlineStr">
        <x:is>
          <x:t xml:space="preserve">0</x:t>
        </x:is>
      </x:c>
      <x:c r="AP140" s="234" t="inlineStr">
        <x:is>
          <x:t xml:space="preserve">LEFT AND RIGHT OF THE PAGE</x:t>
        </x:is>
      </x:c>
      <x:c r="AQ140" s="234" t="inlineStr">
        <x:is>
          <x:t xml:space="preserve">0</x:t>
        </x:is>
      </x:c>
      <x:c r="AR140" s="234" t="inlineStr">
        <x:is>
          <x:t xml:space="preserve">SPIRAL AND PETS ON THE RIGHT SIDE HAVE 5 FULL BLACK PETALS BUT ON THE LEFT SIDE THERE ARE 2 WHITE AND 3 BLACK</x:t>
        </x:is>
      </x:c>
      <x:c r="AS140" s="234" t="n"/>
      <x:c r="AT140" s="234" t="inlineStr">
        <x:is>
          <x:t xml:space="preserve">POPULATED_SOURCE_RECORD</x:t>
        </x:is>
      </x:c>
      <x:c r="AU140" s="234" t="inlineStr">
        <x:is>
          <x:t xml:space="preserve">NO_ANNOTATED_IMAGE_IN_ANNOTATED_REPOSITORY</x:t>
        </x:is>
      </x:c>
    </x:row>
    <x:row r="141" s="232" customFormat="1" ht="32" customHeight="1">
      <x:c r="A141" s="234" t="n">
        <x:v>66</x:v>
      </x:c>
      <x:c r="B141" s="234" t="n"/>
      <x:c r="C141" s="234" t="inlineStr">
        <x:is>
          <x:t xml:space="preserve">LP066-F93</x:t>
        </x:is>
      </x:c>
      <x:c r="D141" s="234" t="inlineStr">
        <x:is>
          <x:t xml:space="preserve">CSV source spreadsheet; feature-level representation</x:t>
        </x:is>
      </x:c>
      <x:c r="E141" s="234" t="n"/>
      <x:c r="F141" s="234" t="n"/>
      <x:c r="G141" s="234" t="inlineStr">
        <x:is>
          <x:t xml:space="preserve">left-side plant/root/spiral ornament</x:t>
        </x:is>
      </x:c>
      <x:c r="H141" s="234" t="inlineStr">
        <x:is>
          <x:t xml:space="preserve">Source CSV lists paired spiral/petal artwork on both sides. This row records the left-side motif as a separate spatial feature; detailed branches, roots, and endpoints have not been measured.</x:t>
        </x:is>
      </x:c>
      <x:c r="I141" s="234" t="n"/>
      <x:c r="J141" s="234" t="n"/>
      <x:c r="K141" s="234" t="n"/>
      <x:c r="L141" s="234" t="n"/>
      <x:c r="M141" s="234" t="n"/>
      <x:c r="N141" s="234" t="n"/>
      <x:c r="O141" s="234" t="n"/>
      <x:c r="P141" s="234" t="n"/>
      <x:c r="Q141" s="234" t="inlineStr">
        <x:is>
          <x:t xml:space="preserve">left side of page</x:t>
        </x:is>
      </x:c>
      <x:c r="R141" s="234" t="n"/>
      <x:c r="S141" s="234" t="n"/>
      <x:c r="T141" s="234" t="n"/>
      <x:c r="U141" s="234" t="n"/>
      <x:c r="V141" s="234" t="n"/>
      <x:c r="W141" s="234" t="n"/>
      <x:c r="X141" s="234" t="inlineStr">
        <x:is>
          <x:t xml:space="preserve">left margin beside glyph block</x:t>
        </x:is>
      </x:c>
      <x:c r="Y141" s="234" t="n"/>
      <x:c r="Z141" s="234" t="inlineStr">
        <x:is>
          <x:t xml:space="preserve">medium</x:t>
        </x:is>
      </x:c>
      <x:c r="AA141" s="234" t="inlineStr">
        <x:is>
          <x:t xml:space="preserve">CSV_RECORDED_NOT_IMAGE_VERIFIED</x:t>
        </x:is>
      </x:c>
      <x:c r="AB141" s="234" t="inlineStr">
        <x:is>
          <x:t xml:space="preserve">https://github.com/mrroot01011001/Cicada-3301-/tree/main/liber-primus/pages</x:t>
        </x:is>
      </x:c>
      <x:c r="AC141" s="234" t="n"/>
      <x:c r="AD141" s="234" t="inlineStr">
        <x:is>
          <x:t xml:space="preserve">No corresponding annotated image is present in the annotated-pages repository; retain source observation without adding unverified geometry.</x:t>
        </x:is>
      </x:c>
      <x:c r="AE141" s="234" t="n"/>
      <x:c r="AF141" s="234" t="n"/>
      <x:c r="AG141" s="234" t="n"/>
      <x:c r="AH141" s="234" t="inlineStr">
        <x:is>
          <x:t xml:space="preserve">single_page</x:t>
        </x:is>
      </x:c>
      <x:c r="AI141" s="234" t="inlineStr">
        <x:is>
          <x:t xml:space="preserve">66.JPG</x:t>
        </x:is>
      </x:c>
      <x:c r="AJ141" s="234" t="inlineStr">
        <x:is>
          <x:t xml:space="preserve">CSV-D034</x:t>
        </x:is>
      </x:c>
      <x:c r="AK141" s="234" t="n">
        <x:v>34</x:v>
      </x:c>
      <x:c r="AL141" s="234" t="inlineStr">
        <x:is>
          <x:t xml:space="preserve">SPIRALS AND PETALS</x:t>
        </x:is>
      </x:c>
      <x:c r="AM141" s="234" t="inlineStr">
        <x:is>
          <x:t xml:space="preserve">0</x:t>
        </x:is>
      </x:c>
      <x:c r="AN141" s="234" t="inlineStr">
        <x:is>
          <x:t xml:space="preserve">8</x:t>
        </x:is>
      </x:c>
      <x:c r="AO141" s="234" t="inlineStr">
        <x:is>
          <x:t xml:space="preserve">0</x:t>
        </x:is>
      </x:c>
      <x:c r="AP141" s="234" t="inlineStr">
        <x:is>
          <x:t xml:space="preserve">LEFT AND RIGHT OF THE PAGE</x:t>
        </x:is>
      </x:c>
      <x:c r="AQ141" s="234" t="inlineStr">
        <x:is>
          <x:t xml:space="preserve">0</x:t>
        </x:is>
      </x:c>
      <x:c r="AR141" s="234" t="inlineStr">
        <x:is>
          <x:t xml:space="preserve">SPIRAL AND PETS ON THE RIGHT SIDE HAVE 5 FULL BLACK PETALS BUT ON THE LEFT SIDE THERE ARE 2 WHITE AND 3 BLACK</x:t>
        </x:is>
      </x:c>
      <x:c r="AS141" s="234" t="n"/>
      <x:c r="AT141" s="234" t="inlineStr">
        <x:is>
          <x:t xml:space="preserve">POPULATED_SOURCE_RECORD</x:t>
        </x:is>
      </x:c>
      <x:c r="AU141" s="234" t="inlineStr">
        <x:is>
          <x:t xml:space="preserve">NO_ANNOTATED_IMAGE_IN_ANNOTATED_REPOSITORY</x:t>
        </x:is>
      </x:c>
    </x:row>
    <x:row r="142" s="232" customFormat="1" ht="32" customHeight="1">
      <x:c r="A142" s="234" t="n">
        <x:v>66</x:v>
      </x:c>
      <x:c r="B142" s="234" t="n"/>
      <x:c r="C142" s="234" t="inlineStr">
        <x:is>
          <x:t xml:space="preserve">LP066-F94</x:t>
        </x:is>
      </x:c>
      <x:c r="D142" s="234" t="inlineStr">
        <x:is>
          <x:t xml:space="preserve">CSV source spreadsheet; feature-level representation</x:t>
        </x:is>
      </x:c>
      <x:c r="E142" s="234" t="n"/>
      <x:c r="F142" s="234" t="n"/>
      <x:c r="G142" s="234" t="inlineStr">
        <x:is>
          <x:t xml:space="preserve">right-side plant/root/spiral ornament</x:t>
        </x:is>
      </x:c>
      <x:c r="H142" s="234" t="inlineStr">
        <x:is>
          <x:t xml:space="preserve">Source CSV lists paired spiral/petal artwork on both sides. This row records the right-side motif as a separate spatial feature; detailed branches, roots, and endpoints have not been measured.</x:t>
        </x:is>
      </x:c>
      <x:c r="I142" s="234" t="n"/>
      <x:c r="J142" s="234" t="n"/>
      <x:c r="K142" s="234" t="n"/>
      <x:c r="L142" s="234" t="n"/>
      <x:c r="M142" s="234" t="n"/>
      <x:c r="N142" s="234" t="n"/>
      <x:c r="O142" s="234" t="n"/>
      <x:c r="P142" s="234" t="n"/>
      <x:c r="Q142" s="234" t="inlineStr">
        <x:is>
          <x:t xml:space="preserve">right side of page</x:t>
        </x:is>
      </x:c>
      <x:c r="R142" s="234" t="n"/>
      <x:c r="S142" s="234" t="n"/>
      <x:c r="T142" s="234" t="n"/>
      <x:c r="U142" s="234" t="n"/>
      <x:c r="V142" s="234" t="n"/>
      <x:c r="W142" s="234" t="n"/>
      <x:c r="X142" s="234" t="inlineStr">
        <x:is>
          <x:t xml:space="preserve">right margin beside glyph block</x:t>
        </x:is>
      </x:c>
      <x:c r="Y142" s="234" t="n"/>
      <x:c r="Z142" s="234" t="inlineStr">
        <x:is>
          <x:t xml:space="preserve">medium</x:t>
        </x:is>
      </x:c>
      <x:c r="AA142" s="234" t="inlineStr">
        <x:is>
          <x:t xml:space="preserve">CSV_RECORDED_NOT_IMAGE_VERIFIED</x:t>
        </x:is>
      </x:c>
      <x:c r="AB142" s="234" t="inlineStr">
        <x:is>
          <x:t xml:space="preserve">https://github.com/mrroot01011001/Cicada-3301-/tree/main/liber-primus/pages</x:t>
        </x:is>
      </x:c>
      <x:c r="AC142" s="234" t="n"/>
      <x:c r="AD142" s="234" t="inlineStr">
        <x:is>
          <x:t xml:space="preserve">No corresponding annotated image is present in the annotated-pages repository; retain source observation without adding unverified geometry.</x:t>
        </x:is>
      </x:c>
      <x:c r="AE142" s="234" t="n"/>
      <x:c r="AF142" s="234" t="n"/>
      <x:c r="AG142" s="234" t="n"/>
      <x:c r="AH142" s="234" t="inlineStr">
        <x:is>
          <x:t xml:space="preserve">single_page</x:t>
        </x:is>
      </x:c>
      <x:c r="AI142" s="234" t="inlineStr">
        <x:is>
          <x:t xml:space="preserve">66.JPG</x:t>
        </x:is>
      </x:c>
      <x:c r="AJ142" s="234" t="inlineStr">
        <x:is>
          <x:t xml:space="preserve">CSV-D034</x:t>
        </x:is>
      </x:c>
      <x:c r="AK142" s="234" t="n">
        <x:v>34</x:v>
      </x:c>
      <x:c r="AL142" s="234" t="inlineStr">
        <x:is>
          <x:t xml:space="preserve">SPIRALS AND PETALS</x:t>
        </x:is>
      </x:c>
      <x:c r="AM142" s="234" t="inlineStr">
        <x:is>
          <x:t xml:space="preserve">0</x:t>
        </x:is>
      </x:c>
      <x:c r="AN142" s="234" t="inlineStr">
        <x:is>
          <x:t xml:space="preserve">8</x:t>
        </x:is>
      </x:c>
      <x:c r="AO142" s="234" t="inlineStr">
        <x:is>
          <x:t xml:space="preserve">0</x:t>
        </x:is>
      </x:c>
      <x:c r="AP142" s="234" t="inlineStr">
        <x:is>
          <x:t xml:space="preserve">LEFT AND RIGHT OF THE PAGE</x:t>
        </x:is>
      </x:c>
      <x:c r="AQ142" s="234" t="inlineStr">
        <x:is>
          <x:t xml:space="preserve">0</x:t>
        </x:is>
      </x:c>
      <x:c r="AR142" s="234" t="inlineStr">
        <x:is>
          <x:t xml:space="preserve">SPIRAL AND PETS ON THE RIGHT SIDE HAVE 5 FULL BLACK PETALS BUT ON THE LEFT SIDE THERE ARE 2 WHITE AND 3 BLACK</x:t>
        </x:is>
      </x:c>
      <x:c r="AS142" s="234" t="n"/>
      <x:c r="AT142" s="234" t="inlineStr">
        <x:is>
          <x:t xml:space="preserve">POPULATED_SOURCE_RECORD</x:t>
        </x:is>
      </x:c>
      <x:c r="AU142" s="234" t="inlineStr">
        <x:is>
          <x:t xml:space="preserve">NO_ANNOTATED_IMAGE_IN_ANNOTATED_REPOSITORY</x:t>
        </x:is>
      </x:c>
    </x:row>
    <x:row r="143" s="232" customFormat="1" ht="32" customHeight="1">
      <x:c r="A143" s="234" t="n">
        <x:v>66</x:v>
      </x:c>
      <x:c r="B143" s="234" t="n"/>
      <x:c r="C143" s="234" t="inlineStr">
        <x:is>
          <x:t xml:space="preserve">LP066-F95</x:t>
        </x:is>
      </x:c>
      <x:c r="D143" s="234" t="inlineStr">
        <x:is>
          <x:t xml:space="preserve">CSV source spreadsheet; feature-level representation</x:t>
        </x:is>
      </x:c>
      <x:c r="E143" s="234" t="n"/>
      <x:c r="F143" s="234" t="n"/>
      <x:c r="G143" s="234" t="inlineStr">
        <x:is>
          <x:t xml:space="preserve">external dot count (page aggregate; cluster positions unknown)</x:t>
        </x:is>
      </x:c>
      <x:c r="H143" s="234" t="inlineStr">
        <x:is>
          <x:t xml:space="preserve">Source CSV records eight external dots for this page's paired spiral/petal decoration; individual cluster positions are not separately recorded in the source row.</x:t>
        </x:is>
      </x:c>
      <x:c r="I143" s="234" t="n">
        <x:v>8</x:v>
      </x:c>
      <x:c r="J143" s="234" t="n"/>
      <x:c r="K143" s="234" t="n">
        <x:v>8</x:v>
      </x:c>
      <x:c r="L143" s="234" t="n"/>
      <x:c r="M143" s="234" t="n"/>
      <x:c r="N143" s="234" t="n"/>
      <x:c r="O143" s="234" t="n"/>
      <x:c r="P143" s="234" t="n"/>
      <x:c r="Q143" s="234" t="inlineStr">
        <x:is>
          <x:t xml:space="preserve">left and right of page</x:t>
        </x:is>
      </x:c>
      <x:c r="R143" s="234" t="n"/>
      <x:c r="S143" s="234" t="n"/>
      <x:c r="T143" s="234" t="n"/>
      <x:c r="U143" s="234" t="n"/>
      <x:c r="V143" s="234" t="n"/>
      <x:c r="W143" s="234" t="n"/>
      <x:c r="X143" s="234" t="inlineStr">
        <x:is>
          <x:t xml:space="preserve">Paired spiral/petal decoration; cluster allocation unknown</x:t>
        </x:is>
      </x:c>
      <x:c r="Y143" s="234" t="n"/>
      <x:c r="Z143" s="234" t="inlineStr">
        <x:is>
          <x:t xml:space="preserve">medium</x:t>
        </x:is>
      </x:c>
      <x:c r="AA143" s="234" t="inlineStr">
        <x:is>
          <x:t xml:space="preserve">CSV_RECORDED_NOT_IMAGE_VERIFIED</x:t>
        </x:is>
      </x:c>
      <x:c r="AB143" s="234" t="inlineStr">
        <x:is>
          <x:t xml:space="preserve">https://github.com/mrroot01011001/Cicada-3301-/tree/main/liber-primus/pages</x:t>
        </x:is>
      </x:c>
      <x:c r="AC143" s="234" t="n"/>
      <x:c r="AD143" s="234" t="inlineStr">
        <x:is>
          <x:t xml:space="preserve">Do not infer an exact left/right split from this aggregate; pages 57 and 68 have separate annotated dot-cluster records.</x:t>
        </x:is>
      </x:c>
      <x:c r="AE143" s="234" t="n"/>
      <x:c r="AF143" s="234" t="n"/>
      <x:c r="AG143" s="234" t="n"/>
      <x:c r="AH143" s="234" t="inlineStr">
        <x:is>
          <x:t xml:space="preserve">single_page</x:t>
        </x:is>
      </x:c>
      <x:c r="AI143" s="234" t="inlineStr">
        <x:is>
          <x:t xml:space="preserve">66.JPG</x:t>
        </x:is>
      </x:c>
      <x:c r="AJ143" s="234" t="inlineStr">
        <x:is>
          <x:t xml:space="preserve">CSV-D034</x:t>
        </x:is>
      </x:c>
      <x:c r="AK143" s="234" t="n">
        <x:v>34</x:v>
      </x:c>
      <x:c r="AL143" s="234" t="inlineStr">
        <x:is>
          <x:t xml:space="preserve">SPIRALS AND PETALS</x:t>
        </x:is>
      </x:c>
      <x:c r="AM143" s="234" t="inlineStr">
        <x:is>
          <x:t xml:space="preserve">0</x:t>
        </x:is>
      </x:c>
      <x:c r="AN143" s="234" t="inlineStr">
        <x:is>
          <x:t xml:space="preserve">8</x:t>
        </x:is>
      </x:c>
      <x:c r="AO143" s="234" t="inlineStr">
        <x:is>
          <x:t xml:space="preserve">0</x:t>
        </x:is>
      </x:c>
      <x:c r="AP143" s="234" t="inlineStr">
        <x:is>
          <x:t xml:space="preserve">LEFT AND RIGHT OF THE PAGE</x:t>
        </x:is>
      </x:c>
      <x:c r="AQ143" s="234" t="inlineStr">
        <x:is>
          <x:t xml:space="preserve">0</x:t>
        </x:is>
      </x:c>
      <x:c r="AR143" s="234" t="inlineStr">
        <x:is>
          <x:t xml:space="preserve">SPIRAL AND PETS ON THE RIGHT SIDE HAVE 5 FULL BLACK PETALS BUT ON THE LEFT SIDE THERE ARE 2 WHITE AND 3 BLACK</x:t>
        </x:is>
      </x:c>
      <x:c r="AS143" s="234" t="n"/>
      <x:c r="AT143" s="234" t="inlineStr">
        <x:is>
          <x:t xml:space="preserve">POPULATED_SOURCE_RECORD</x:t>
        </x:is>
      </x:c>
      <x:c r="AU143" s="234" t="inlineStr">
        <x:is>
          <x:t xml:space="preserve">NO_ANNOTATED_IMAGE_IN_ANNOTATED_REPOSITORY</x:t>
        </x:is>
      </x:c>
    </x:row>
    <x:row r="144" s="232" customFormat="1" ht="32" customHeight="1">
      <x:c r="A144" s="234" t="n">
        <x:v>67</x:v>
      </x:c>
      <x:c r="B144" s="234" t="n"/>
      <x:c r="C144" s="234" t="inlineStr">
        <x:is>
          <x:t xml:space="preserve">LP067-F90</x:t>
        </x:is>
      </x:c>
      <x:c r="D144" s="234" t="inlineStr">
        <x:is>
          <x:t xml:space="preserve">CSV source spreadsheet; feature-level representation</x:t>
        </x:is>
      </x:c>
      <x:c r="E144" s="234" t="n"/>
      <x:c r="F144" s="234" t="n"/>
      <x:c r="G144" s="234" t="inlineStr">
        <x:is>
          <x:t xml:space="preserve">paired spiral/petal motif (page-level)</x:t>
        </x:is>
      </x:c>
      <x:c r="H144" s="234" t="inlineStr">
        <x:is>
          <x:t xml:space="preserve">Source CSV visual-object label: SPIRALS AND PETALS. Source note: SPIRAL AND PETS ON THE RIGHT SIDE HAVE 5 FULL BLACK PETALS BUT ON THE LEFT SIDE THERE ARE 2 WHITE AND 3 BLACK</x:t>
        </x:is>
      </x:c>
      <x:c r="I144" s="234" t="n"/>
      <x:c r="J144" s="234" t="n"/>
      <x:c r="K144" s="234" t="n"/>
      <x:c r="L144" s="234" t="n"/>
      <x:c r="M144" s="234" t="n"/>
      <x:c r="N144" s="234" t="n"/>
      <x:c r="O144" s="234" t="n"/>
      <x:c r="P144" s="234" t="n"/>
      <x:c r="Q144" s="234" t="inlineStr">
        <x:is>
          <x:t xml:space="preserve">left and right of page</x:t>
        </x:is>
      </x:c>
      <x:c r="R144" s="234" t="n"/>
      <x:c r="S144" s="234" t="n"/>
      <x:c r="T144" s="234" t="n"/>
      <x:c r="U144" s="234" t="n"/>
      <x:c r="V144" s="234" t="n"/>
      <x:c r="W144" s="234" t="n"/>
      <x:c r="X144" s="234" t="inlineStr">
        <x:is>
          <x:t xml:space="preserve">Both margins beside central text; page-level motif summary</x:t>
        </x:is>
      </x:c>
      <x:c r="Y144" s="234" t="n"/>
      <x:c r="Z144" s="234" t="inlineStr">
        <x:is>
          <x:t xml:space="preserve">medium</x:t>
        </x:is>
      </x:c>
      <x:c r="AA144" s="234" t="inlineStr">
        <x:is>
          <x:t xml:space="preserve">CSV_RECORDED_NOT_IMAGE_VERIFIED</x:t>
        </x:is>
      </x:c>
      <x:c r="AB144" s="234" t="inlineStr">
        <x:is>
          <x:t xml:space="preserve">https://github.com/mrroot01011001/Cicada-3301-/tree/main/liber-primus/pages</x:t>
        </x:is>
      </x:c>
      <x:c r="AC144" s="234" t="n"/>
      <x:c r="AD144" s="234" t="inlineStr">
        <x:is>
          <x:t xml:space="preserve">Composite motif row retained alongside left/right component rows. Page-level counts in source fields are context, not counts to sum across every feature row.</x:t>
        </x:is>
      </x:c>
      <x:c r="AE144" s="234" t="n"/>
      <x:c r="AF144" s="234" t="n"/>
      <x:c r="AG144" s="234" t="n"/>
      <x:c r="AH144" s="234" t="inlineStr">
        <x:is>
          <x:t xml:space="preserve">single_page</x:t>
        </x:is>
      </x:c>
      <x:c r="AI144" s="234" t="inlineStr">
        <x:is>
          <x:t xml:space="preserve">67.JPG</x:t>
        </x:is>
      </x:c>
      <x:c r="AJ144" s="234" t="inlineStr">
        <x:is>
          <x:t xml:space="preserve">CSV-D035</x:t>
        </x:is>
      </x:c>
      <x:c r="AK144" s="234" t="n">
        <x:v>35</x:v>
      </x:c>
      <x:c r="AL144" s="234" t="inlineStr">
        <x:is>
          <x:t xml:space="preserve">SPIRALS AND PETALS</x:t>
        </x:is>
      </x:c>
      <x:c r="AM144" s="234" t="inlineStr">
        <x:is>
          <x:t xml:space="preserve">0</x:t>
        </x:is>
      </x:c>
      <x:c r="AN144" s="234" t="inlineStr">
        <x:is>
          <x:t xml:space="preserve">8</x:t>
        </x:is>
      </x:c>
      <x:c r="AO144" s="234" t="inlineStr">
        <x:is>
          <x:t xml:space="preserve">0</x:t>
        </x:is>
      </x:c>
      <x:c r="AP144" s="234" t="inlineStr">
        <x:is>
          <x:t xml:space="preserve">LEFT AND RIGHT OF THE PAGE</x:t>
        </x:is>
      </x:c>
      <x:c r="AQ144" s="234" t="inlineStr">
        <x:is>
          <x:t xml:space="preserve">0</x:t>
        </x:is>
      </x:c>
      <x:c r="AR144" s="234" t="inlineStr">
        <x:is>
          <x:t xml:space="preserve">SPIRAL AND PETS ON THE RIGHT SIDE HAVE 5 FULL BLACK PETALS BUT ON THE LEFT SIDE THERE ARE 2 WHITE AND 3 BLACK</x:t>
        </x:is>
      </x:c>
      <x:c r="AS144" s="234" t="n"/>
      <x:c r="AT144" s="234" t="inlineStr">
        <x:is>
          <x:t xml:space="preserve">POPULATED_SOURCE_RECORD</x:t>
        </x:is>
      </x:c>
      <x:c r="AU144" s="234" t="inlineStr">
        <x:is>
          <x:t xml:space="preserve">NO_ANNOTATED_IMAGE_IN_ANNOTATED_REPOSITORY</x:t>
        </x:is>
      </x:c>
    </x:row>
    <x:row r="145" s="232" customFormat="1" ht="32" customHeight="1">
      <x:c r="A145" s="234" t="n">
        <x:v>67</x:v>
      </x:c>
      <x:c r="B145" s="234" t="n"/>
      <x:c r="C145" s="234" t="inlineStr">
        <x:is>
          <x:t xml:space="preserve">LP067-F91</x:t>
        </x:is>
      </x:c>
      <x:c r="D145" s="234" t="inlineStr">
        <x:is>
          <x:t xml:space="preserve">CSV source spreadsheet; feature-level representation</x:t>
        </x:is>
      </x:c>
      <x:c r="E145" s="234" t="n"/>
      <x:c r="F145" s="234" t="n"/>
      <x:c r="G145" s="234" t="inlineStr">
        <x:is>
          <x:t xml:space="preserve">left-side petal group</x:t>
        </x:is>
      </x:c>
      <x:c r="H145" s="234" t="inlineStr">
        <x:is>
          <x:t xml:space="preserve">Source CSV reports two white/unfilled petals and three black/filled petals on the left-side spiral/petal motif.</x:t>
        </x:is>
      </x:c>
      <x:c r="I145" s="234" t="n"/>
      <x:c r="J145" s="234" t="n"/>
      <x:c r="K145" s="234" t="n"/>
      <x:c r="L145" s="234" t="n"/>
      <x:c r="M145" s="234" t="n"/>
      <x:c r="N145" s="234" t="n"/>
      <x:c r="O145" s="234" t="n"/>
      <x:c r="P145" s="234" t="n"/>
      <x:c r="Q145" s="234" t="inlineStr">
        <x:is>
          <x:t xml:space="preserve">left side of page</x:t>
        </x:is>
      </x:c>
      <x:c r="R145" s="234" t="n"/>
      <x:c r="S145" s="234" t="n"/>
      <x:c r="T145" s="234" t="n"/>
      <x:c r="U145" s="234" t="n"/>
      <x:c r="V145" s="234" t="n"/>
      <x:c r="W145" s="234" t="n"/>
      <x:c r="X145" s="234" t="inlineStr">
        <x:is>
          <x:t xml:space="preserve">left spiral/petal decoration</x:t>
        </x:is>
      </x:c>
      <x:c r="Y145" s="234" t="n"/>
      <x:c r="Z145" s="234" t="inlineStr">
        <x:is>
          <x:t xml:space="preserve">medium</x:t>
        </x:is>
      </x:c>
      <x:c r="AA145" s="234" t="inlineStr">
        <x:is>
          <x:t xml:space="preserve">CSV_RECORDED_NOT_IMAGE_VERIFIED</x:t>
        </x:is>
      </x:c>
      <x:c r="AB145" s="234" t="inlineStr">
        <x:is>
          <x:t xml:space="preserve">https://github.com/mrroot01011001/Cicada-3301-/tree/main/liber-primus/pages</x:t>
        </x:is>
      </x:c>
      <x:c r="AC145" s="234" t="n"/>
      <x:c r="AD145" s="234" t="inlineStr">
        <x:is>
          <x:t xml:space="preserve">Petal counts and filled/unfilled distinctions are preserved from the source notes, not independently counted from image coordinates.</x:t>
        </x:is>
      </x:c>
      <x:c r="AE145" s="234" t="n">
        <x:v>5</x:v>
      </x:c>
      <x:c r="AF145" s="234" t="n">
        <x:v>3</x:v>
      </x:c>
      <x:c r="AG145" s="234" t="n">
        <x:v>2</x:v>
      </x:c>
      <x:c r="AH145" s="234" t="inlineStr">
        <x:is>
          <x:t xml:space="preserve">single_page</x:t>
        </x:is>
      </x:c>
      <x:c r="AI145" s="234" t="inlineStr">
        <x:is>
          <x:t xml:space="preserve">67.JPG</x:t>
        </x:is>
      </x:c>
      <x:c r="AJ145" s="234" t="inlineStr">
        <x:is>
          <x:t xml:space="preserve">CSV-D035</x:t>
        </x:is>
      </x:c>
      <x:c r="AK145" s="234" t="n">
        <x:v>35</x:v>
      </x:c>
      <x:c r="AL145" s="234" t="inlineStr">
        <x:is>
          <x:t xml:space="preserve">SPIRALS AND PETALS</x:t>
        </x:is>
      </x:c>
      <x:c r="AM145" s="234" t="inlineStr">
        <x:is>
          <x:t xml:space="preserve">0</x:t>
        </x:is>
      </x:c>
      <x:c r="AN145" s="234" t="inlineStr">
        <x:is>
          <x:t xml:space="preserve">8</x:t>
        </x:is>
      </x:c>
      <x:c r="AO145" s="234" t="inlineStr">
        <x:is>
          <x:t xml:space="preserve">0</x:t>
        </x:is>
      </x:c>
      <x:c r="AP145" s="234" t="inlineStr">
        <x:is>
          <x:t xml:space="preserve">LEFT AND RIGHT OF THE PAGE</x:t>
        </x:is>
      </x:c>
      <x:c r="AQ145" s="234" t="inlineStr">
        <x:is>
          <x:t xml:space="preserve">0</x:t>
        </x:is>
      </x:c>
      <x:c r="AR145" s="234" t="inlineStr">
        <x:is>
          <x:t xml:space="preserve">SPIRAL AND PETS ON THE RIGHT SIDE HAVE 5 FULL BLACK PETALS BUT ON THE LEFT SIDE THERE ARE 2 WHITE AND 3 BLACK</x:t>
        </x:is>
      </x:c>
      <x:c r="AS145" s="234" t="n"/>
      <x:c r="AT145" s="234" t="inlineStr">
        <x:is>
          <x:t xml:space="preserve">POPULATED_SOURCE_RECORD</x:t>
        </x:is>
      </x:c>
      <x:c r="AU145" s="234" t="inlineStr">
        <x:is>
          <x:t xml:space="preserve">NO_ANNOTATED_IMAGE_IN_ANNOTATED_REPOSITORY</x:t>
        </x:is>
      </x:c>
    </x:row>
    <x:row r="146" s="232" customFormat="1" ht="32" customHeight="1">
      <x:c r="A146" s="234" t="n">
        <x:v>67</x:v>
      </x:c>
      <x:c r="B146" s="234" t="n"/>
      <x:c r="C146" s="234" t="inlineStr">
        <x:is>
          <x:t xml:space="preserve">LP067-F92</x:t>
        </x:is>
      </x:c>
      <x:c r="D146" s="234" t="inlineStr">
        <x:is>
          <x:t xml:space="preserve">CSV source spreadsheet; feature-level representation</x:t>
        </x:is>
      </x:c>
      <x:c r="E146" s="234" t="n"/>
      <x:c r="F146" s="234" t="n"/>
      <x:c r="G146" s="234" t="inlineStr">
        <x:is>
          <x:t xml:space="preserve">right-side petal group</x:t>
        </x:is>
      </x:c>
      <x:c r="H146" s="234" t="inlineStr">
        <x:is>
          <x:t xml:space="preserve">Source CSV reports five fully black/filled petals on the right-side spiral/petal motif.</x:t>
        </x:is>
      </x:c>
      <x:c r="I146" s="234" t="n"/>
      <x:c r="J146" s="234" t="n"/>
      <x:c r="K146" s="234" t="n"/>
      <x:c r="L146" s="234" t="n"/>
      <x:c r="M146" s="234" t="n"/>
      <x:c r="N146" s="234" t="n"/>
      <x:c r="O146" s="234" t="n"/>
      <x:c r="P146" s="234" t="n"/>
      <x:c r="Q146" s="234" t="inlineStr">
        <x:is>
          <x:t xml:space="preserve">right side of page</x:t>
        </x:is>
      </x:c>
      <x:c r="R146" s="234" t="n"/>
      <x:c r="S146" s="234" t="n"/>
      <x:c r="T146" s="234" t="n"/>
      <x:c r="U146" s="234" t="n"/>
      <x:c r="V146" s="234" t="n"/>
      <x:c r="W146" s="234" t="n"/>
      <x:c r="X146" s="234" t="inlineStr">
        <x:is>
          <x:t xml:space="preserve">right spiral/petal decoration</x:t>
        </x:is>
      </x:c>
      <x:c r="Y146" s="234" t="n"/>
      <x:c r="Z146" s="234" t="inlineStr">
        <x:is>
          <x:t xml:space="preserve">medium</x:t>
        </x:is>
      </x:c>
      <x:c r="AA146" s="234" t="inlineStr">
        <x:is>
          <x:t xml:space="preserve">CSV_RECORDED_NOT_IMAGE_VERIFIED</x:t>
        </x:is>
      </x:c>
      <x:c r="AB146" s="234" t="inlineStr">
        <x:is>
          <x:t xml:space="preserve">https://github.com/mrroot01011001/Cicada-3301-/tree/main/liber-primus/pages</x:t>
        </x:is>
      </x:c>
      <x:c r="AC146" s="234" t="n"/>
      <x:c r="AD146" s="234" t="inlineStr">
        <x:is>
          <x:t xml:space="preserve">The zero unfilled petals is implied by the source's '5 full black petals' description; verify visually before treating this as a measured count.</x:t>
        </x:is>
      </x:c>
      <x:c r="AE146" s="234" t="n">
        <x:v>5</x:v>
      </x:c>
      <x:c r="AF146" s="234" t="n">
        <x:v>5</x:v>
      </x:c>
      <x:c r="AG146" s="234" t="n">
        <x:v>0</x:v>
      </x:c>
      <x:c r="AH146" s="234" t="inlineStr">
        <x:is>
          <x:t xml:space="preserve">single_page</x:t>
        </x:is>
      </x:c>
      <x:c r="AI146" s="234" t="inlineStr">
        <x:is>
          <x:t xml:space="preserve">67.JPG</x:t>
        </x:is>
      </x:c>
      <x:c r="AJ146" s="234" t="inlineStr">
        <x:is>
          <x:t xml:space="preserve">CSV-D035</x:t>
        </x:is>
      </x:c>
      <x:c r="AK146" s="234" t="n">
        <x:v>35</x:v>
      </x:c>
      <x:c r="AL146" s="234" t="inlineStr">
        <x:is>
          <x:t xml:space="preserve">SPIRALS AND PETALS</x:t>
        </x:is>
      </x:c>
      <x:c r="AM146" s="234" t="inlineStr">
        <x:is>
          <x:t xml:space="preserve">0</x:t>
        </x:is>
      </x:c>
      <x:c r="AN146" s="234" t="inlineStr">
        <x:is>
          <x:t xml:space="preserve">8</x:t>
        </x:is>
      </x:c>
      <x:c r="AO146" s="234" t="inlineStr">
        <x:is>
          <x:t xml:space="preserve">0</x:t>
        </x:is>
      </x:c>
      <x:c r="AP146" s="234" t="inlineStr">
        <x:is>
          <x:t xml:space="preserve">LEFT AND RIGHT OF THE PAGE</x:t>
        </x:is>
      </x:c>
      <x:c r="AQ146" s="234" t="inlineStr">
        <x:is>
          <x:t xml:space="preserve">0</x:t>
        </x:is>
      </x:c>
      <x:c r="AR146" s="234" t="inlineStr">
        <x:is>
          <x:t xml:space="preserve">SPIRAL AND PETS ON THE RIGHT SIDE HAVE 5 FULL BLACK PETALS BUT ON THE LEFT SIDE THERE ARE 2 WHITE AND 3 BLACK</x:t>
        </x:is>
      </x:c>
      <x:c r="AS146" s="234" t="n"/>
      <x:c r="AT146" s="234" t="inlineStr">
        <x:is>
          <x:t xml:space="preserve">POPULATED_SOURCE_RECORD</x:t>
        </x:is>
      </x:c>
      <x:c r="AU146" s="234" t="inlineStr">
        <x:is>
          <x:t xml:space="preserve">NO_ANNOTATED_IMAGE_IN_ANNOTATED_REPOSITORY</x:t>
        </x:is>
      </x:c>
    </x:row>
    <x:row r="147" s="232" customFormat="1" ht="32" customHeight="1">
      <x:c r="A147" s="234" t="n">
        <x:v>67</x:v>
      </x:c>
      <x:c r="B147" s="234" t="n"/>
      <x:c r="C147" s="234" t="inlineStr">
        <x:is>
          <x:t xml:space="preserve">LP067-F93</x:t>
        </x:is>
      </x:c>
      <x:c r="D147" s="234" t="inlineStr">
        <x:is>
          <x:t xml:space="preserve">CSV source spreadsheet; feature-level representation</x:t>
        </x:is>
      </x:c>
      <x:c r="E147" s="234" t="n"/>
      <x:c r="F147" s="234" t="n"/>
      <x:c r="G147" s="234" t="inlineStr">
        <x:is>
          <x:t xml:space="preserve">left-side plant/root/spiral ornament</x:t>
        </x:is>
      </x:c>
      <x:c r="H147" s="234" t="inlineStr">
        <x:is>
          <x:t xml:space="preserve">Source CSV lists paired spiral/petal artwork on both sides. This row records the left-side motif as a separate spatial feature; detailed branches, roots, and endpoints have not been measured.</x:t>
        </x:is>
      </x:c>
      <x:c r="I147" s="234" t="n"/>
      <x:c r="J147" s="234" t="n"/>
      <x:c r="K147" s="234" t="n"/>
      <x:c r="L147" s="234" t="n"/>
      <x:c r="M147" s="234" t="n"/>
      <x:c r="N147" s="234" t="n"/>
      <x:c r="O147" s="234" t="n"/>
      <x:c r="P147" s="234" t="n"/>
      <x:c r="Q147" s="234" t="inlineStr">
        <x:is>
          <x:t xml:space="preserve">left side of page</x:t>
        </x:is>
      </x:c>
      <x:c r="R147" s="234" t="n"/>
      <x:c r="S147" s="234" t="n"/>
      <x:c r="T147" s="234" t="n"/>
      <x:c r="U147" s="234" t="n"/>
      <x:c r="V147" s="234" t="n"/>
      <x:c r="W147" s="234" t="n"/>
      <x:c r="X147" s="234" t="inlineStr">
        <x:is>
          <x:t xml:space="preserve">left margin beside glyph block</x:t>
        </x:is>
      </x:c>
      <x:c r="Y147" s="234" t="n"/>
      <x:c r="Z147" s="234" t="inlineStr">
        <x:is>
          <x:t xml:space="preserve">medium</x:t>
        </x:is>
      </x:c>
      <x:c r="AA147" s="234" t="inlineStr">
        <x:is>
          <x:t xml:space="preserve">CSV_RECORDED_NOT_IMAGE_VERIFIED</x:t>
        </x:is>
      </x:c>
      <x:c r="AB147" s="234" t="inlineStr">
        <x:is>
          <x:t xml:space="preserve">https://github.com/mrroot01011001/Cicada-3301-/tree/main/liber-primus/pages</x:t>
        </x:is>
      </x:c>
      <x:c r="AC147" s="234" t="n"/>
      <x:c r="AD147" s="234" t="inlineStr">
        <x:is>
          <x:t xml:space="preserve">No corresponding annotated image is present in the annotated-pages repository; retain source observation without adding unverified geometry.</x:t>
        </x:is>
      </x:c>
      <x:c r="AE147" s="234" t="n"/>
      <x:c r="AF147" s="234" t="n"/>
      <x:c r="AG147" s="234" t="n"/>
      <x:c r="AH147" s="234" t="inlineStr">
        <x:is>
          <x:t xml:space="preserve">single_page</x:t>
        </x:is>
      </x:c>
      <x:c r="AI147" s="234" t="inlineStr">
        <x:is>
          <x:t xml:space="preserve">67.JPG</x:t>
        </x:is>
      </x:c>
      <x:c r="AJ147" s="234" t="inlineStr">
        <x:is>
          <x:t xml:space="preserve">CSV-D035</x:t>
        </x:is>
      </x:c>
      <x:c r="AK147" s="234" t="n">
        <x:v>35</x:v>
      </x:c>
      <x:c r="AL147" s="234" t="inlineStr">
        <x:is>
          <x:t xml:space="preserve">SPIRALS AND PETALS</x:t>
        </x:is>
      </x:c>
      <x:c r="AM147" s="234" t="inlineStr">
        <x:is>
          <x:t xml:space="preserve">0</x:t>
        </x:is>
      </x:c>
      <x:c r="AN147" s="234" t="inlineStr">
        <x:is>
          <x:t xml:space="preserve">8</x:t>
        </x:is>
      </x:c>
      <x:c r="AO147" s="234" t="inlineStr">
        <x:is>
          <x:t xml:space="preserve">0</x:t>
        </x:is>
      </x:c>
      <x:c r="AP147" s="234" t="inlineStr">
        <x:is>
          <x:t xml:space="preserve">LEFT AND RIGHT OF THE PAGE</x:t>
        </x:is>
      </x:c>
      <x:c r="AQ147" s="234" t="inlineStr">
        <x:is>
          <x:t xml:space="preserve">0</x:t>
        </x:is>
      </x:c>
      <x:c r="AR147" s="234" t="inlineStr">
        <x:is>
          <x:t xml:space="preserve">SPIRAL AND PETS ON THE RIGHT SIDE HAVE 5 FULL BLACK PETALS BUT ON THE LEFT SIDE THERE ARE 2 WHITE AND 3 BLACK</x:t>
        </x:is>
      </x:c>
      <x:c r="AS147" s="234" t="n"/>
      <x:c r="AT147" s="234" t="inlineStr">
        <x:is>
          <x:t xml:space="preserve">POPULATED_SOURCE_RECORD</x:t>
        </x:is>
      </x:c>
      <x:c r="AU147" s="234" t="inlineStr">
        <x:is>
          <x:t xml:space="preserve">NO_ANNOTATED_IMAGE_IN_ANNOTATED_REPOSITORY</x:t>
        </x:is>
      </x:c>
    </x:row>
    <x:row r="148" s="232" customFormat="1" ht="32" customHeight="1">
      <x:c r="A148" s="234" t="n">
        <x:v>67</x:v>
      </x:c>
      <x:c r="B148" s="234" t="n"/>
      <x:c r="C148" s="234" t="inlineStr">
        <x:is>
          <x:t xml:space="preserve">LP067-F94</x:t>
        </x:is>
      </x:c>
      <x:c r="D148" s="234" t="inlineStr">
        <x:is>
          <x:t xml:space="preserve">CSV source spreadsheet; feature-level representation</x:t>
        </x:is>
      </x:c>
      <x:c r="E148" s="234" t="n"/>
      <x:c r="F148" s="234" t="n"/>
      <x:c r="G148" s="234" t="inlineStr">
        <x:is>
          <x:t xml:space="preserve">right-side plant/root/spiral ornament</x:t>
        </x:is>
      </x:c>
      <x:c r="H148" s="234" t="inlineStr">
        <x:is>
          <x:t xml:space="preserve">Source CSV lists paired spiral/petal artwork on both sides. This row records the right-side motif as a separate spatial feature; detailed branches, roots, and endpoints have not been measured.</x:t>
        </x:is>
      </x:c>
      <x:c r="I148" s="234" t="n"/>
      <x:c r="J148" s="234" t="n"/>
      <x:c r="K148" s="234" t="n"/>
      <x:c r="L148" s="234" t="n"/>
      <x:c r="M148" s="234" t="n"/>
      <x:c r="N148" s="234" t="n"/>
      <x:c r="O148" s="234" t="n"/>
      <x:c r="P148" s="234" t="n"/>
      <x:c r="Q148" s="234" t="inlineStr">
        <x:is>
          <x:t xml:space="preserve">right side of page</x:t>
        </x:is>
      </x:c>
      <x:c r="R148" s="234" t="n"/>
      <x:c r="S148" s="234" t="n"/>
      <x:c r="T148" s="234" t="n"/>
      <x:c r="U148" s="234" t="n"/>
      <x:c r="V148" s="234" t="n"/>
      <x:c r="W148" s="234" t="n"/>
      <x:c r="X148" s="234" t="inlineStr">
        <x:is>
          <x:t xml:space="preserve">right margin beside glyph block</x:t>
        </x:is>
      </x:c>
      <x:c r="Y148" s="234" t="n"/>
      <x:c r="Z148" s="234" t="inlineStr">
        <x:is>
          <x:t xml:space="preserve">medium</x:t>
        </x:is>
      </x:c>
      <x:c r="AA148" s="234" t="inlineStr">
        <x:is>
          <x:t xml:space="preserve">CSV_RECORDED_NOT_IMAGE_VERIFIED</x:t>
        </x:is>
      </x:c>
      <x:c r="AB148" s="234" t="inlineStr">
        <x:is>
          <x:t xml:space="preserve">https://github.com/mrroot01011001/Cicada-3301-/tree/main/liber-primus/pages</x:t>
        </x:is>
      </x:c>
      <x:c r="AC148" s="234" t="n"/>
      <x:c r="AD148" s="234" t="inlineStr">
        <x:is>
          <x:t xml:space="preserve">No corresponding annotated image is present in the annotated-pages repository; retain source observation without adding unverified geometry.</x:t>
        </x:is>
      </x:c>
      <x:c r="AE148" s="234" t="n"/>
      <x:c r="AF148" s="234" t="n"/>
      <x:c r="AG148" s="234" t="n"/>
      <x:c r="AH148" s="234" t="inlineStr">
        <x:is>
          <x:t xml:space="preserve">single_page</x:t>
        </x:is>
      </x:c>
      <x:c r="AI148" s="234" t="inlineStr">
        <x:is>
          <x:t xml:space="preserve">67.JPG</x:t>
        </x:is>
      </x:c>
      <x:c r="AJ148" s="234" t="inlineStr">
        <x:is>
          <x:t xml:space="preserve">CSV-D035</x:t>
        </x:is>
      </x:c>
      <x:c r="AK148" s="234" t="n">
        <x:v>35</x:v>
      </x:c>
      <x:c r="AL148" s="234" t="inlineStr">
        <x:is>
          <x:t xml:space="preserve">SPIRALS AND PETALS</x:t>
        </x:is>
      </x:c>
      <x:c r="AM148" s="234" t="inlineStr">
        <x:is>
          <x:t xml:space="preserve">0</x:t>
        </x:is>
      </x:c>
      <x:c r="AN148" s="234" t="inlineStr">
        <x:is>
          <x:t xml:space="preserve">8</x:t>
        </x:is>
      </x:c>
      <x:c r="AO148" s="234" t="inlineStr">
        <x:is>
          <x:t xml:space="preserve">0</x:t>
        </x:is>
      </x:c>
      <x:c r="AP148" s="234" t="inlineStr">
        <x:is>
          <x:t xml:space="preserve">LEFT AND RIGHT OF THE PAGE</x:t>
        </x:is>
      </x:c>
      <x:c r="AQ148" s="234" t="inlineStr">
        <x:is>
          <x:t xml:space="preserve">0</x:t>
        </x:is>
      </x:c>
      <x:c r="AR148" s="234" t="inlineStr">
        <x:is>
          <x:t xml:space="preserve">SPIRAL AND PETS ON THE RIGHT SIDE HAVE 5 FULL BLACK PETALS BUT ON THE LEFT SIDE THERE ARE 2 WHITE AND 3 BLACK</x:t>
        </x:is>
      </x:c>
      <x:c r="AS148" s="234" t="n"/>
      <x:c r="AT148" s="234" t="inlineStr">
        <x:is>
          <x:t xml:space="preserve">POPULATED_SOURCE_RECORD</x:t>
        </x:is>
      </x:c>
      <x:c r="AU148" s="234" t="inlineStr">
        <x:is>
          <x:t xml:space="preserve">NO_ANNOTATED_IMAGE_IN_ANNOTATED_REPOSITORY</x:t>
        </x:is>
      </x:c>
    </x:row>
    <x:row r="149" s="232" customFormat="1" ht="32" customHeight="1">
      <x:c r="A149" s="234" t="n">
        <x:v>67</x:v>
      </x:c>
      <x:c r="B149" s="234" t="n"/>
      <x:c r="C149" s="234" t="inlineStr">
        <x:is>
          <x:t xml:space="preserve">LP067-F95</x:t>
        </x:is>
      </x:c>
      <x:c r="D149" s="234" t="inlineStr">
        <x:is>
          <x:t xml:space="preserve">CSV source spreadsheet; feature-level representation</x:t>
        </x:is>
      </x:c>
      <x:c r="E149" s="234" t="n"/>
      <x:c r="F149" s="234" t="n"/>
      <x:c r="G149" s="234" t="inlineStr">
        <x:is>
          <x:t xml:space="preserve">external dot count (page aggregate; cluster positions unknown)</x:t>
        </x:is>
      </x:c>
      <x:c r="H149" s="234" t="inlineStr">
        <x:is>
          <x:t xml:space="preserve">Source CSV records eight external dots for this page's paired spiral/petal decoration; individual cluster positions are not separately recorded in the source row.</x:t>
        </x:is>
      </x:c>
      <x:c r="I149" s="234" t="n">
        <x:v>8</x:v>
      </x:c>
      <x:c r="J149" s="234" t="n"/>
      <x:c r="K149" s="234" t="n">
        <x:v>8</x:v>
      </x:c>
      <x:c r="L149" s="234" t="n"/>
      <x:c r="M149" s="234" t="n"/>
      <x:c r="N149" s="234" t="n"/>
      <x:c r="O149" s="234" t="n"/>
      <x:c r="P149" s="234" t="n"/>
      <x:c r="Q149" s="234" t="inlineStr">
        <x:is>
          <x:t xml:space="preserve">left and right of page</x:t>
        </x:is>
      </x:c>
      <x:c r="R149" s="234" t="n"/>
      <x:c r="S149" s="234" t="n"/>
      <x:c r="T149" s="234" t="n"/>
      <x:c r="U149" s="234" t="n"/>
      <x:c r="V149" s="234" t="n"/>
      <x:c r="W149" s="234" t="n"/>
      <x:c r="X149" s="234" t="inlineStr">
        <x:is>
          <x:t xml:space="preserve">Paired spiral/petal decoration; cluster allocation unknown</x:t>
        </x:is>
      </x:c>
      <x:c r="Y149" s="234" t="n"/>
      <x:c r="Z149" s="234" t="inlineStr">
        <x:is>
          <x:t xml:space="preserve">medium</x:t>
        </x:is>
      </x:c>
      <x:c r="AA149" s="234" t="inlineStr">
        <x:is>
          <x:t xml:space="preserve">CSV_RECORDED_NOT_IMAGE_VERIFIED</x:t>
        </x:is>
      </x:c>
      <x:c r="AB149" s="234" t="inlineStr">
        <x:is>
          <x:t xml:space="preserve">https://github.com/mrroot01011001/Cicada-3301-/tree/main/liber-primus/pages</x:t>
        </x:is>
      </x:c>
      <x:c r="AC149" s="234" t="n"/>
      <x:c r="AD149" s="234" t="inlineStr">
        <x:is>
          <x:t xml:space="preserve">Do not infer an exact left/right split from this aggregate; pages 57 and 68 have separate annotated dot-cluster records.</x:t>
        </x:is>
      </x:c>
      <x:c r="AE149" s="234" t="n"/>
      <x:c r="AF149" s="234" t="n"/>
      <x:c r="AG149" s="234" t="n"/>
      <x:c r="AH149" s="234" t="inlineStr">
        <x:is>
          <x:t xml:space="preserve">single_page</x:t>
        </x:is>
      </x:c>
      <x:c r="AI149" s="234" t="inlineStr">
        <x:is>
          <x:t xml:space="preserve">67.JPG</x:t>
        </x:is>
      </x:c>
      <x:c r="AJ149" s="234" t="inlineStr">
        <x:is>
          <x:t xml:space="preserve">CSV-D035</x:t>
        </x:is>
      </x:c>
      <x:c r="AK149" s="234" t="n">
        <x:v>35</x:v>
      </x:c>
      <x:c r="AL149" s="234" t="inlineStr">
        <x:is>
          <x:t xml:space="preserve">SPIRALS AND PETALS</x:t>
        </x:is>
      </x:c>
      <x:c r="AM149" s="234" t="inlineStr">
        <x:is>
          <x:t xml:space="preserve">0</x:t>
        </x:is>
      </x:c>
      <x:c r="AN149" s="234" t="inlineStr">
        <x:is>
          <x:t xml:space="preserve">8</x:t>
        </x:is>
      </x:c>
      <x:c r="AO149" s="234" t="inlineStr">
        <x:is>
          <x:t xml:space="preserve">0</x:t>
        </x:is>
      </x:c>
      <x:c r="AP149" s="234" t="inlineStr">
        <x:is>
          <x:t xml:space="preserve">LEFT AND RIGHT OF THE PAGE</x:t>
        </x:is>
      </x:c>
      <x:c r="AQ149" s="234" t="inlineStr">
        <x:is>
          <x:t xml:space="preserve">0</x:t>
        </x:is>
      </x:c>
      <x:c r="AR149" s="234" t="inlineStr">
        <x:is>
          <x:t xml:space="preserve">SPIRAL AND PETS ON THE RIGHT SIDE HAVE 5 FULL BLACK PETALS BUT ON THE LEFT SIDE THERE ARE 2 WHITE AND 3 BLACK</x:t>
        </x:is>
      </x:c>
      <x:c r="AS149" s="234" t="n"/>
      <x:c r="AT149" s="234" t="inlineStr">
        <x:is>
          <x:t xml:space="preserve">POPULATED_SOURCE_RECORD</x:t>
        </x:is>
      </x:c>
      <x:c r="AU149" s="234" t="inlineStr">
        <x:is>
          <x:t xml:space="preserve">NO_ANNOTATED_IMAGE_IN_ANNOTATED_REPOSITORY</x:t>
        </x:is>
      </x:c>
    </x:row>
    <x:row r="150" s="232" customFormat="1" ht="32" customHeight="1">
      <x:c r="A150" s="234" t="n">
        <x:v>68</x:v>
      </x:c>
      <x:c r="B150" s="234" t="inlineStr">
        <x:is>
          <x:t xml:space="preserve">68.jpg</x:t>
        </x:is>
      </x:c>
      <x:c r="C150" s="234" t="inlineStr">
        <x:is>
          <x:t xml:space="preserve">LP068-F01</x:t>
        </x:is>
      </x:c>
      <x:c r="D150" s="234" t="inlineStr">
        <x:is>
          <x:t xml:space="preserve">original artwork</x:t>
        </x:is>
      </x:c>
      <x:c r="E150" s="234" t="n"/>
      <x:c r="F150" s="234" t="n"/>
      <x:c r="G150" s="234" t="inlineStr">
        <x:is>
          <x:t xml:space="preserve">left plant/tree illustration</x:t>
        </x:is>
      </x:c>
      <x:c r="H150" s="234" t="inlineStr">
        <x:is>
          <x:t xml:space="preserve">Tall stylized plant with curling branches and roots beside the main text.</x:t>
        </x:is>
      </x:c>
      <x:c r="I150" s="234" t="n"/>
      <x:c r="J150" s="234" t="n"/>
      <x:c r="K150" s="234" t="n"/>
      <x:c r="L150" s="234" t="n"/>
      <x:c r="M150" s="234" t="n"/>
      <x:c r="N150" s="234" t="n"/>
      <x:c r="O150" s="234" t="n"/>
      <x:c r="P150" s="234" t="n"/>
      <x:c r="Q150" s="234" t="n"/>
      <x:c r="R150" s="234" t="inlineStr">
        <x:is>
          <x:t xml:space="preserve">Approximate counterpart to right plant</x:t>
        </x:is>
      </x:c>
      <x:c r="S150" s="234" t="n"/>
      <x:c r="T150" s="234" t="n"/>
      <x:c r="U150" s="234" t="n"/>
      <x:c r="V150" s="234" t="n"/>
      <x:c r="W150" s="234" t="n"/>
      <x:c r="X150" s="234" t="inlineStr">
        <x:is>
          <x:t xml:space="preserve">left margin</x:t>
        </x:is>
      </x:c>
      <x:c r="Y150" s="234" t="n"/>
      <x:c r="Z150" s="234" t="inlineStr">
        <x:is>
          <x:t xml:space="preserve">high</x:t>
        </x:is>
      </x:c>
      <x:c r="AA150" s="234" t="inlineStr">
        <x:is>
          <x:t xml:space="preserve">OBSERVED</x:t>
        </x:is>
      </x:c>
      <x:c r="AB150" s="234" t="inlineStr">
        <x:is>
          <x:t xml:space="preserve">https://github.com/mrroot01011001/Cicada-3301-/blob/main/liber-primus/pages/68.jpg</x:t>
        </x:is>
      </x:c>
      <x:c r="AC150" s="234" t="inlineStr">
        <x:is>
          <x:t xml:space="preserve">https://github.com/mrfentmen/annotated-pages/blob/main/68.jpg</x:t>
        </x:is>
      </x:c>
      <x:c r="AD150" s="234" t="inlineStr">
        <x:is>
          <x:t xml:space="preserve">Branch geometry not measured.</x:t>
        </x:is>
      </x:c>
      <x:c r="AE150" s="234" t="n"/>
      <x:c r="AF150" s="234" t="n"/>
      <x:c r="AG150" s="234" t="n"/>
      <x:c r="AH150" s="234" t="inlineStr">
        <x:is>
          <x:t xml:space="preserve">single_page</x:t>
        </x:is>
      </x:c>
      <x:c r="AI150" s="234" t="inlineStr">
        <x:is>
          <x:t xml:space="preserve">68.JPG</x:t>
        </x:is>
      </x:c>
      <x:c r="AJ150" s="234" t="inlineStr">
        <x:is>
          <x:t xml:space="preserve">CSV-D036</x:t>
        </x:is>
      </x:c>
      <x:c r="AK150" s="234" t="n">
        <x:v>36</x:v>
      </x:c>
      <x:c r="AL150" s="234" t="inlineStr">
        <x:is>
          <x:t xml:space="preserve">SPIRALS AND PETALS</x:t>
        </x:is>
      </x:c>
      <x:c r="AM150" s="234" t="inlineStr">
        <x:is>
          <x:t xml:space="preserve">0</x:t>
        </x:is>
      </x:c>
      <x:c r="AN150" s="234" t="inlineStr">
        <x:is>
          <x:t xml:space="preserve">8</x:t>
        </x:is>
      </x:c>
      <x:c r="AO150" s="234" t="inlineStr">
        <x:is>
          <x:t xml:space="preserve">0</x:t>
        </x:is>
      </x:c>
      <x:c r="AP150" s="234" t="inlineStr">
        <x:is>
          <x:t xml:space="preserve">LEFT AND RIGHT OF THE PAGE</x:t>
        </x:is>
      </x:c>
      <x:c r="AQ150" s="234" t="inlineStr">
        <x:is>
          <x:t xml:space="preserve">0</x:t>
        </x:is>
      </x:c>
      <x:c r="AR150" s="234" t="inlineStr">
        <x:is>
          <x:t xml:space="preserve">SPIRAL AND PETS ON THE RIGHT SIDE HAVE 5 FULL BLACK PETALS BUT ON THE LEFT SIDE THERE ARE 2 WHITE AND 3 BLACK</x:t>
        </x:is>
      </x:c>
      <x:c r="AS150" s="234" t="n"/>
      <x:c r="AT150" s="234" t="inlineStr">
        <x:is>
          <x:t xml:space="preserve">POPULATED_SOURCE_RECORD</x:t>
        </x:is>
      </x:c>
      <x:c r="AU150" s="234" t="inlineStr">
        <x:is>
          <x:t xml:space="preserve">ANNOTATED_IMAGE_AVAILABLE</x:t>
        </x:is>
      </x:c>
    </x:row>
    <x:row r="151" s="232" customFormat="1" ht="32" customHeight="1">
      <x:c r="A151" s="234" t="n">
        <x:v>68</x:v>
      </x:c>
      <x:c r="B151" s="234" t="inlineStr">
        <x:is>
          <x:t xml:space="preserve">68.jpg</x:t>
        </x:is>
      </x:c>
      <x:c r="C151" s="234" t="inlineStr">
        <x:is>
          <x:t xml:space="preserve">LP068-F02</x:t>
        </x:is>
      </x:c>
      <x:c r="D151" s="234" t="inlineStr">
        <x:is>
          <x:t xml:space="preserve">original artwork</x:t>
        </x:is>
      </x:c>
      <x:c r="E151" s="234" t="n"/>
      <x:c r="F151" s="234" t="n"/>
      <x:c r="G151" s="234" t="inlineStr">
        <x:is>
          <x:t xml:space="preserve">right plant/tree illustration</x:t>
        </x:is>
      </x:c>
      <x:c r="H151" s="234" t="inlineStr">
        <x:is>
          <x:t xml:space="preserve">Tall stylized plant with curling branches and roots beside the main text.</x:t>
        </x:is>
      </x:c>
      <x:c r="I151" s="234" t="n"/>
      <x:c r="J151" s="234" t="n"/>
      <x:c r="K151" s="234" t="n"/>
      <x:c r="L151" s="234" t="n"/>
      <x:c r="M151" s="234" t="n"/>
      <x:c r="N151" s="234" t="n"/>
      <x:c r="O151" s="234" t="n"/>
      <x:c r="P151" s="234" t="n"/>
      <x:c r="Q151" s="234" t="n"/>
      <x:c r="R151" s="234" t="inlineStr">
        <x:is>
          <x:t xml:space="preserve">Approximate counterpart to left plant</x:t>
        </x:is>
      </x:c>
      <x:c r="S151" s="234" t="n"/>
      <x:c r="T151" s="234" t="n"/>
      <x:c r="U151" s="234" t="n"/>
      <x:c r="V151" s="234" t="n"/>
      <x:c r="W151" s="234" t="n"/>
      <x:c r="X151" s="234" t="inlineStr">
        <x:is>
          <x:t xml:space="preserve">right margin</x:t>
        </x:is>
      </x:c>
      <x:c r="Y151" s="234" t="n"/>
      <x:c r="Z151" s="234" t="inlineStr">
        <x:is>
          <x:t xml:space="preserve">high</x:t>
        </x:is>
      </x:c>
      <x:c r="AA151" s="234" t="inlineStr">
        <x:is>
          <x:t xml:space="preserve">OBSERVED</x:t>
        </x:is>
      </x:c>
      <x:c r="AB151" s="234" t="inlineStr">
        <x:is>
          <x:t xml:space="preserve">https://github.com/mrroot01011001/Cicada-3301-/blob/main/liber-primus/pages/68.jpg</x:t>
        </x:is>
      </x:c>
      <x:c r="AC151" s="234" t="inlineStr">
        <x:is>
          <x:t xml:space="preserve">https://github.com/mrfentmen/annotated-pages/blob/main/68.jpg</x:t>
        </x:is>
      </x:c>
      <x:c r="AD151" s="234" t="inlineStr">
        <x:is>
          <x:t xml:space="preserve">Branch geometry not measured.</x:t>
        </x:is>
      </x:c>
      <x:c r="AE151" s="234" t="n"/>
      <x:c r="AF151" s="234" t="n"/>
      <x:c r="AG151" s="234" t="n"/>
      <x:c r="AH151" s="234" t="inlineStr">
        <x:is>
          <x:t xml:space="preserve">single_page</x:t>
        </x:is>
      </x:c>
      <x:c r="AI151" s="234" t="inlineStr">
        <x:is>
          <x:t xml:space="preserve">68.JPG</x:t>
        </x:is>
      </x:c>
      <x:c r="AJ151" s="234" t="inlineStr">
        <x:is>
          <x:t xml:space="preserve">CSV-D036</x:t>
        </x:is>
      </x:c>
      <x:c r="AK151" s="234" t="n">
        <x:v>36</x:v>
      </x:c>
      <x:c r="AL151" s="234" t="inlineStr">
        <x:is>
          <x:t xml:space="preserve">SPIRALS AND PETALS</x:t>
        </x:is>
      </x:c>
      <x:c r="AM151" s="234" t="inlineStr">
        <x:is>
          <x:t xml:space="preserve">0</x:t>
        </x:is>
      </x:c>
      <x:c r="AN151" s="234" t="inlineStr">
        <x:is>
          <x:t xml:space="preserve">8</x:t>
        </x:is>
      </x:c>
      <x:c r="AO151" s="234" t="inlineStr">
        <x:is>
          <x:t xml:space="preserve">0</x:t>
        </x:is>
      </x:c>
      <x:c r="AP151" s="234" t="inlineStr">
        <x:is>
          <x:t xml:space="preserve">LEFT AND RIGHT OF THE PAGE</x:t>
        </x:is>
      </x:c>
      <x:c r="AQ151" s="234" t="inlineStr">
        <x:is>
          <x:t xml:space="preserve">0</x:t>
        </x:is>
      </x:c>
      <x:c r="AR151" s="234" t="inlineStr">
        <x:is>
          <x:t xml:space="preserve">SPIRAL AND PETS ON THE RIGHT SIDE HAVE 5 FULL BLACK PETALS BUT ON THE LEFT SIDE THERE ARE 2 WHITE AND 3 BLACK</x:t>
        </x:is>
      </x:c>
      <x:c r="AS151" s="234" t="n"/>
      <x:c r="AT151" s="234" t="inlineStr">
        <x:is>
          <x:t xml:space="preserve">POPULATED_SOURCE_RECORD</x:t>
        </x:is>
      </x:c>
      <x:c r="AU151" s="234" t="inlineStr">
        <x:is>
          <x:t xml:space="preserve">ANNOTATED_IMAGE_AVAILABLE</x:t>
        </x:is>
      </x:c>
    </x:row>
    <x:row r="152" s="232" customFormat="1" ht="32" customHeight="1">
      <x:c r="A152" s="234" t="n">
        <x:v>68</x:v>
      </x:c>
      <x:c r="B152" s="234" t="inlineStr">
        <x:is>
          <x:t xml:space="preserve">68.jpg</x:t>
        </x:is>
      </x:c>
      <x:c r="C152" s="234" t="inlineStr">
        <x:is>
          <x:t xml:space="preserve">LP068-F03</x:t>
        </x:is>
      </x:c>
      <x:c r="D152" s="234" t="inlineStr">
        <x:is>
          <x:t xml:space="preserve">original artwork + user annotation</x:t>
        </x:is>
      </x:c>
      <x:c r="E152" s="234" t="inlineStr">
        <x:is>
          <x:t xml:space="preserve">tiny gray/dark numbered labels</x:t>
        </x:is>
      </x:c>
      <x:c r="F152" s="234" t="inlineStr">
        <x:is>
          <x:t xml:space="preserve">1–3</x:t>
        </x:is>
      </x:c>
      <x:c r="G152" s="234" t="inlineStr">
        <x:is>
          <x:t xml:space="preserve">left plant dot cluster</x:t>
        </x:is>
      </x:c>
      <x:c r="H152" s="234" t="inlineStr">
        <x:is>
          <x:t xml:space="preserve">Three black dots adjacent to the left plant, with nearby tiny labels 1–3.</x:t>
        </x:is>
      </x:c>
      <x:c r="I152" s="234" t="n">
        <x:v>3</x:v>
      </x:c>
      <x:c r="J152" s="234" t="n"/>
      <x:c r="K152" s="234" t="n">
        <x:v>3</x:v>
      </x:c>
      <x:c r="L152" s="234" t="n"/>
      <x:c r="M152" s="234" t="n"/>
      <x:c r="N152" s="234" t="n"/>
      <x:c r="O152" s="234" t="n"/>
      <x:c r="P152" s="234" t="n"/>
      <x:c r="Q152" s="234" t="n"/>
      <x:c r="R152" s="234" t="n"/>
      <x:c r="S152" s="234" t="n"/>
      <x:c r="T152" s="234" t="n"/>
      <x:c r="U152" s="234" t="n"/>
      <x:c r="V152" s="234" t="n"/>
      <x:c r="W152" s="234" t="n"/>
      <x:c r="X152" s="234" t="inlineStr">
        <x:is>
          <x:t xml:space="preserve">left plant, mid-level junction</x:t>
        </x:is>
      </x:c>
      <x:c r="Y152" s="234" t="n"/>
      <x:c r="Z152" s="234" t="inlineStr">
        <x:is>
          <x:t xml:space="preserve">high</x:t>
        </x:is>
      </x:c>
      <x:c r="AA152" s="234" t="inlineStr">
        <x:is>
          <x:t xml:space="preserve">ANNOTATION_VISIBLE</x:t>
        </x:is>
      </x:c>
      <x:c r="AB152" s="234" t="inlineStr">
        <x:is>
          <x:t xml:space="preserve">https://github.com/mrroot01011001/Cicada-3301-/blob/main/liber-primus/pages/68.jpg</x:t>
        </x:is>
      </x:c>
      <x:c r="AC152" s="234" t="inlineStr">
        <x:is>
          <x:t xml:space="preserve">https://github.com/mrfentmen/annotated-pages/blob/main/68.jpg</x:t>
        </x:is>
      </x:c>
      <x:c r="AD152" s="234" t="inlineStr">
        <x:is>
          <x:t xml:space="preserve">Labels are small but the three targets are distinguishable in the whole-page view.</x:t>
        </x:is>
      </x:c>
      <x:c r="AE152" s="234" t="n"/>
      <x:c r="AF152" s="234" t="n"/>
      <x:c r="AG152" s="234" t="n"/>
      <x:c r="AH152" s="234" t="inlineStr">
        <x:is>
          <x:t xml:space="preserve">single_page</x:t>
        </x:is>
      </x:c>
      <x:c r="AI152" s="234" t="inlineStr">
        <x:is>
          <x:t xml:space="preserve">68.JPG</x:t>
        </x:is>
      </x:c>
      <x:c r="AJ152" s="234" t="inlineStr">
        <x:is>
          <x:t xml:space="preserve">CSV-D036</x:t>
        </x:is>
      </x:c>
      <x:c r="AK152" s="234" t="n">
        <x:v>36</x:v>
      </x:c>
      <x:c r="AL152" s="234" t="inlineStr">
        <x:is>
          <x:t xml:space="preserve">SPIRALS AND PETALS</x:t>
        </x:is>
      </x:c>
      <x:c r="AM152" s="234" t="inlineStr">
        <x:is>
          <x:t xml:space="preserve">0</x:t>
        </x:is>
      </x:c>
      <x:c r="AN152" s="234" t="inlineStr">
        <x:is>
          <x:t xml:space="preserve">8</x:t>
        </x:is>
      </x:c>
      <x:c r="AO152" s="234" t="inlineStr">
        <x:is>
          <x:t xml:space="preserve">0</x:t>
        </x:is>
      </x:c>
      <x:c r="AP152" s="234" t="inlineStr">
        <x:is>
          <x:t xml:space="preserve">LEFT AND RIGHT OF THE PAGE</x:t>
        </x:is>
      </x:c>
      <x:c r="AQ152" s="234" t="inlineStr">
        <x:is>
          <x:t xml:space="preserve">0</x:t>
        </x:is>
      </x:c>
      <x:c r="AR152" s="234" t="inlineStr">
        <x:is>
          <x:t xml:space="preserve">SPIRAL AND PETS ON THE RIGHT SIDE HAVE 5 FULL BLACK PETALS BUT ON THE LEFT SIDE THERE ARE 2 WHITE AND 3 BLACK</x:t>
        </x:is>
      </x:c>
      <x:c r="AS152" s="234" t="n"/>
      <x:c r="AT152" s="234" t="inlineStr">
        <x:is>
          <x:t xml:space="preserve">POPULATED_SOURCE_RECORD</x:t>
        </x:is>
      </x:c>
      <x:c r="AU152" s="234" t="inlineStr">
        <x:is>
          <x:t xml:space="preserve">ANNOTATED_IMAGE_AVAILABLE</x:t>
        </x:is>
      </x:c>
    </x:row>
    <x:row r="153" s="232" customFormat="1" ht="32" customHeight="1">
      <x:c r="A153" s="234" t="n">
        <x:v>68</x:v>
      </x:c>
      <x:c r="B153" s="234" t="inlineStr">
        <x:is>
          <x:t xml:space="preserve">68.jpg</x:t>
        </x:is>
      </x:c>
      <x:c r="C153" s="234" t="inlineStr">
        <x:is>
          <x:t xml:space="preserve">LP068-F04</x:t>
        </x:is>
      </x:c>
      <x:c r="D153" s="234" t="inlineStr">
        <x:is>
          <x:t xml:space="preserve">original artwork + user annotation</x:t>
        </x:is>
      </x:c>
      <x:c r="E153" s="234" t="inlineStr">
        <x:is>
          <x:t xml:space="preserve">tiny gray/dark numbered labels</x:t>
        </x:is>
      </x:c>
      <x:c r="F153" s="234" t="inlineStr">
        <x:is>
          <x:t xml:space="preserve">4–8</x:t>
        </x:is>
      </x:c>
      <x:c r="G153" s="234" t="inlineStr">
        <x:is>
          <x:t xml:space="preserve">right plant dot cluster</x:t>
        </x:is>
      </x:c>
      <x:c r="H153" s="234" t="inlineStr">
        <x:is>
          <x:t xml:space="preserve">Five black dots adjacent to the right plant, with nearby tiny labels running 4–8.</x:t>
        </x:is>
      </x:c>
      <x:c r="I153" s="234" t="n">
        <x:v>5</x:v>
      </x:c>
      <x:c r="J153" s="234" t="n"/>
      <x:c r="K153" s="234" t="n">
        <x:v>5</x:v>
      </x:c>
      <x:c r="L153" s="234" t="n"/>
      <x:c r="M153" s="234" t="n"/>
      <x:c r="N153" s="234" t="n"/>
      <x:c r="O153" s="234" t="n"/>
      <x:c r="P153" s="234" t="n"/>
      <x:c r="Q153" s="234" t="n"/>
      <x:c r="R153" s="234" t="n"/>
      <x:c r="S153" s="234" t="n"/>
      <x:c r="T153" s="234" t="n"/>
      <x:c r="U153" s="234" t="n"/>
      <x:c r="V153" s="234" t="n"/>
      <x:c r="W153" s="234" t="n"/>
      <x:c r="X153" s="234" t="inlineStr">
        <x:is>
          <x:t xml:space="preserve">right plant, mid-level junction</x:t>
        </x:is>
      </x:c>
      <x:c r="Y153" s="234" t="inlineStr">
        <x:is>
          <x:t xml:space="preserve">Candidate 3-left / 5-right relationship; cross-page consistency remains untested.</x:t>
        </x:is>
      </x:c>
      <x:c r="Z153" s="234" t="inlineStr">
        <x:is>
          <x:t xml:space="preserve">high</x:t>
        </x:is>
      </x:c>
      <x:c r="AA153" s="234" t="inlineStr">
        <x:is>
          <x:t xml:space="preserve">ANNOTATION_VISIBLE</x:t>
        </x:is>
      </x:c>
      <x:c r="AB153" s="234" t="inlineStr">
        <x:is>
          <x:t xml:space="preserve">https://github.com/mrroot01011001/Cicada-3301-/blob/main/liber-primus/pages/68.jpg</x:t>
        </x:is>
      </x:c>
      <x:c r="AC153" s="234" t="inlineStr">
        <x:is>
          <x:t xml:space="preserve">https://github.com/mrfentmen/annotated-pages/blob/main/68.jpg</x:t>
        </x:is>
      </x:c>
      <x:c r="AD153" s="234" t="inlineStr">
        <x:is>
          <x:t xml:space="preserve">Labels are small but the five targets are distinguishable in the whole-page view.</x:t>
        </x:is>
      </x:c>
      <x:c r="AE153" s="234" t="n"/>
      <x:c r="AF153" s="234" t="n"/>
      <x:c r="AG153" s="234" t="n"/>
      <x:c r="AH153" s="234" t="inlineStr">
        <x:is>
          <x:t xml:space="preserve">single_page</x:t>
        </x:is>
      </x:c>
      <x:c r="AI153" s="234" t="inlineStr">
        <x:is>
          <x:t xml:space="preserve">68.JPG</x:t>
        </x:is>
      </x:c>
      <x:c r="AJ153" s="234" t="inlineStr">
        <x:is>
          <x:t xml:space="preserve">CSV-D036</x:t>
        </x:is>
      </x:c>
      <x:c r="AK153" s="234" t="n">
        <x:v>36</x:v>
      </x:c>
      <x:c r="AL153" s="234" t="inlineStr">
        <x:is>
          <x:t xml:space="preserve">SPIRALS AND PETALS</x:t>
        </x:is>
      </x:c>
      <x:c r="AM153" s="234" t="inlineStr">
        <x:is>
          <x:t xml:space="preserve">0</x:t>
        </x:is>
      </x:c>
      <x:c r="AN153" s="234" t="inlineStr">
        <x:is>
          <x:t xml:space="preserve">8</x:t>
        </x:is>
      </x:c>
      <x:c r="AO153" s="234" t="inlineStr">
        <x:is>
          <x:t xml:space="preserve">0</x:t>
        </x:is>
      </x:c>
      <x:c r="AP153" s="234" t="inlineStr">
        <x:is>
          <x:t xml:space="preserve">LEFT AND RIGHT OF THE PAGE</x:t>
        </x:is>
      </x:c>
      <x:c r="AQ153" s="234" t="inlineStr">
        <x:is>
          <x:t xml:space="preserve">0</x:t>
        </x:is>
      </x:c>
      <x:c r="AR153" s="234" t="inlineStr">
        <x:is>
          <x:t xml:space="preserve">SPIRAL AND PETS ON THE RIGHT SIDE HAVE 5 FULL BLACK PETALS BUT ON THE LEFT SIDE THERE ARE 2 WHITE AND 3 BLACK</x:t>
        </x:is>
      </x:c>
      <x:c r="AS153" s="234" t="n"/>
      <x:c r="AT153" s="234" t="inlineStr">
        <x:is>
          <x:t xml:space="preserve">POPULATED_SOURCE_RECORD</x:t>
        </x:is>
      </x:c>
      <x:c r="AU153" s="234" t="inlineStr">
        <x:is>
          <x:t xml:space="preserve">ANNOTATED_IMAGE_AVAILABLE</x:t>
        </x:is>
      </x:c>
    </x:row>
    <x:row r="154" s="232" customFormat="1" ht="32" customHeight="1">
      <x:c r="A154" s="234" t="n">
        <x:v>68</x:v>
      </x:c>
      <x:c r="B154" s="234" t="inlineStr">
        <x:is>
          <x:t xml:space="preserve">68.jpg</x:t>
        </x:is>
      </x:c>
      <x:c r="C154" s="234" t="inlineStr">
        <x:is>
          <x:t xml:space="preserve">LP068-F90</x:t>
        </x:is>
      </x:c>
      <x:c r="D154" s="234" t="inlineStr">
        <x:is>
          <x:t xml:space="preserve">CSV source spreadsheet; feature-level representation</x:t>
        </x:is>
      </x:c>
      <x:c r="E154" s="234" t="n"/>
      <x:c r="F154" s="234" t="n"/>
      <x:c r="G154" s="234" t="inlineStr">
        <x:is>
          <x:t xml:space="preserve">paired spiral/petal motif (page-level)</x:t>
        </x:is>
      </x:c>
      <x:c r="H154" s="234" t="inlineStr">
        <x:is>
          <x:t xml:space="preserve">Source CSV visual-object label: SPIRALS AND PETALS. Source note: SPIRAL AND PETS ON THE RIGHT SIDE HAVE 5 FULL BLACK PETALS BUT ON THE LEFT SIDE THERE ARE 2 WHITE AND 3 BLACK</x:t>
        </x:is>
      </x:c>
      <x:c r="I154" s="234" t="n"/>
      <x:c r="J154" s="234" t="n"/>
      <x:c r="K154" s="234" t="n"/>
      <x:c r="L154" s="234" t="n"/>
      <x:c r="M154" s="234" t="n"/>
      <x:c r="N154" s="234" t="n"/>
      <x:c r="O154" s="234" t="n"/>
      <x:c r="P154" s="234" t="n"/>
      <x:c r="Q154" s="234" t="inlineStr">
        <x:is>
          <x:t xml:space="preserve">left and right of page</x:t>
        </x:is>
      </x:c>
      <x:c r="R154" s="234" t="n"/>
      <x:c r="S154" s="234" t="n"/>
      <x:c r="T154" s="234" t="n"/>
      <x:c r="U154" s="234" t="n"/>
      <x:c r="V154" s="234" t="n"/>
      <x:c r="W154" s="234" t="n"/>
      <x:c r="X154" s="234" t="inlineStr">
        <x:is>
          <x:t xml:space="preserve">Both margins beside central text; page-level motif summary</x:t>
        </x:is>
      </x:c>
      <x:c r="Y154" s="234" t="n"/>
      <x:c r="Z154" s="234" t="inlineStr">
        <x:is>
          <x:t xml:space="preserve">medium</x:t>
        </x:is>
      </x:c>
      <x:c r="AA154" s="234" t="inlineStr">
        <x:is>
          <x:t xml:space="preserve">CSV_RECORDED_NOT_INDEPENDENTLY_RECOUNTED</x:t>
        </x:is>
      </x:c>
      <x:c r="AB154" s="234" t="inlineStr">
        <x:is>
          <x:t xml:space="preserve">https://github.com/mrroot01011001/Cicada-3301-/blob/main/liber-primus/pages/68.jpg</x:t>
        </x:is>
      </x:c>
      <x:c r="AC154" s="234" t="inlineStr">
        <x:is>
          <x:t xml:space="preserve">https://github.com/mrfentmen/annotated-pages/blob/main/68.jpg</x:t>
        </x:is>
      </x:c>
      <x:c r="AD154" s="234" t="inlineStr">
        <x:is>
          <x:t xml:space="preserve">Composite motif row retained alongside left/right component rows. Page-level counts in source fields are context, not counts to sum across every feature row.</x:t>
        </x:is>
      </x:c>
      <x:c r="AE154" s="234" t="n"/>
      <x:c r="AF154" s="234" t="n"/>
      <x:c r="AG154" s="234" t="n"/>
      <x:c r="AH154" s="234" t="inlineStr">
        <x:is>
          <x:t xml:space="preserve">single_page</x:t>
        </x:is>
      </x:c>
      <x:c r="AI154" s="234" t="inlineStr">
        <x:is>
          <x:t xml:space="preserve">68.JPG</x:t>
        </x:is>
      </x:c>
      <x:c r="AJ154" s="234" t="inlineStr">
        <x:is>
          <x:t xml:space="preserve">CSV-D036</x:t>
        </x:is>
      </x:c>
      <x:c r="AK154" s="234" t="n">
        <x:v>36</x:v>
      </x:c>
      <x:c r="AL154" s="234" t="inlineStr">
        <x:is>
          <x:t xml:space="preserve">SPIRALS AND PETALS</x:t>
        </x:is>
      </x:c>
      <x:c r="AM154" s="234" t="inlineStr">
        <x:is>
          <x:t xml:space="preserve">0</x:t>
        </x:is>
      </x:c>
      <x:c r="AN154" s="234" t="inlineStr">
        <x:is>
          <x:t xml:space="preserve">8</x:t>
        </x:is>
      </x:c>
      <x:c r="AO154" s="234" t="inlineStr">
        <x:is>
          <x:t xml:space="preserve">0</x:t>
        </x:is>
      </x:c>
      <x:c r="AP154" s="234" t="inlineStr">
        <x:is>
          <x:t xml:space="preserve">LEFT AND RIGHT OF THE PAGE</x:t>
        </x:is>
      </x:c>
      <x:c r="AQ154" s="234" t="inlineStr">
        <x:is>
          <x:t xml:space="preserve">0</x:t>
        </x:is>
      </x:c>
      <x:c r="AR154" s="234" t="inlineStr">
        <x:is>
          <x:t xml:space="preserve">SPIRAL AND PETS ON THE RIGHT SIDE HAVE 5 FULL BLACK PETALS BUT ON THE LEFT SIDE THERE ARE 2 WHITE AND 3 BLACK</x:t>
        </x:is>
      </x:c>
      <x:c r="AS154" s="234" t="n"/>
      <x:c r="AT154" s="234" t="inlineStr">
        <x:is>
          <x:t xml:space="preserve">POPULATED_SOURCE_RECORD</x:t>
        </x:is>
      </x:c>
      <x:c r="AU154" s="234" t="inlineStr">
        <x:is>
          <x:t xml:space="preserve">ANNOTATED_IMAGE_AVAILABLE; NEW FEATURE/COUNT NOT INDEPENDENTLY RECOUNTED</x:t>
        </x:is>
      </x:c>
    </x:row>
    <x:row r="155" s="232" customFormat="1" ht="32" customHeight="1">
      <x:c r="A155" s="234" t="n">
        <x:v>68</x:v>
      </x:c>
      <x:c r="B155" s="234" t="inlineStr">
        <x:is>
          <x:t xml:space="preserve">68.jpg</x:t>
        </x:is>
      </x:c>
      <x:c r="C155" s="234" t="inlineStr">
        <x:is>
          <x:t xml:space="preserve">LP068-F91</x:t>
        </x:is>
      </x:c>
      <x:c r="D155" s="234" t="inlineStr">
        <x:is>
          <x:t xml:space="preserve">CSV source spreadsheet; feature-level representation</x:t>
        </x:is>
      </x:c>
      <x:c r="E155" s="234" t="n"/>
      <x:c r="F155" s="234" t="n"/>
      <x:c r="G155" s="234" t="inlineStr">
        <x:is>
          <x:t xml:space="preserve">left-side petal group</x:t>
        </x:is>
      </x:c>
      <x:c r="H155" s="234" t="inlineStr">
        <x:is>
          <x:t xml:space="preserve">Source CSV reports two white/unfilled petals and three black/filled petals on the left-side spiral/petal motif.</x:t>
        </x:is>
      </x:c>
      <x:c r="I155" s="234" t="n"/>
      <x:c r="J155" s="234" t="n"/>
      <x:c r="K155" s="234" t="n"/>
      <x:c r="L155" s="234" t="n"/>
      <x:c r="M155" s="234" t="n"/>
      <x:c r="N155" s="234" t="n"/>
      <x:c r="O155" s="234" t="n"/>
      <x:c r="P155" s="234" t="n"/>
      <x:c r="Q155" s="234" t="inlineStr">
        <x:is>
          <x:t xml:space="preserve">left side of page</x:t>
        </x:is>
      </x:c>
      <x:c r="R155" s="234" t="n"/>
      <x:c r="S155" s="234" t="n"/>
      <x:c r="T155" s="234" t="n"/>
      <x:c r="U155" s="234" t="n"/>
      <x:c r="V155" s="234" t="n"/>
      <x:c r="W155" s="234" t="n"/>
      <x:c r="X155" s="234" t="inlineStr">
        <x:is>
          <x:t xml:space="preserve">left spiral/petal decoration</x:t>
        </x:is>
      </x:c>
      <x:c r="Y155" s="234" t="n"/>
      <x:c r="Z155" s="234" t="inlineStr">
        <x:is>
          <x:t xml:space="preserve">medium</x:t>
        </x:is>
      </x:c>
      <x:c r="AA155" s="234" t="inlineStr">
        <x:is>
          <x:t xml:space="preserve">CSV_RECORDED_NOT_INDEPENDENTLY_RECOUNTED</x:t>
        </x:is>
      </x:c>
      <x:c r="AB155" s="234" t="inlineStr">
        <x:is>
          <x:t xml:space="preserve">https://github.com/mrroot01011001/Cicada-3301-/blob/main/liber-primus/pages/68.jpg</x:t>
        </x:is>
      </x:c>
      <x:c r="AC155" s="234" t="inlineStr">
        <x:is>
          <x:t xml:space="preserve">https://github.com/mrfentmen/annotated-pages/blob/main/68.jpg</x:t>
        </x:is>
      </x:c>
      <x:c r="AD155" s="234" t="inlineStr">
        <x:is>
          <x:t xml:space="preserve">Petal counts and filled/unfilled distinctions are preserved from the source notes, not independently counted from image coordinates.</x:t>
        </x:is>
      </x:c>
      <x:c r="AE155" s="234" t="n">
        <x:v>5</x:v>
      </x:c>
      <x:c r="AF155" s="234" t="n">
        <x:v>3</x:v>
      </x:c>
      <x:c r="AG155" s="234" t="n">
        <x:v>2</x:v>
      </x:c>
      <x:c r="AH155" s="234" t="inlineStr">
        <x:is>
          <x:t xml:space="preserve">single_page</x:t>
        </x:is>
      </x:c>
      <x:c r="AI155" s="234" t="inlineStr">
        <x:is>
          <x:t xml:space="preserve">68.JPG</x:t>
        </x:is>
      </x:c>
      <x:c r="AJ155" s="234" t="inlineStr">
        <x:is>
          <x:t xml:space="preserve">CSV-D036</x:t>
        </x:is>
      </x:c>
      <x:c r="AK155" s="234" t="n">
        <x:v>36</x:v>
      </x:c>
      <x:c r="AL155" s="234" t="inlineStr">
        <x:is>
          <x:t xml:space="preserve">SPIRALS AND PETALS</x:t>
        </x:is>
      </x:c>
      <x:c r="AM155" s="234" t="inlineStr">
        <x:is>
          <x:t xml:space="preserve">0</x:t>
        </x:is>
      </x:c>
      <x:c r="AN155" s="234" t="inlineStr">
        <x:is>
          <x:t xml:space="preserve">8</x:t>
        </x:is>
      </x:c>
      <x:c r="AO155" s="234" t="inlineStr">
        <x:is>
          <x:t xml:space="preserve">0</x:t>
        </x:is>
      </x:c>
      <x:c r="AP155" s="234" t="inlineStr">
        <x:is>
          <x:t xml:space="preserve">LEFT AND RIGHT OF THE PAGE</x:t>
        </x:is>
      </x:c>
      <x:c r="AQ155" s="234" t="inlineStr">
        <x:is>
          <x:t xml:space="preserve">0</x:t>
        </x:is>
      </x:c>
      <x:c r="AR155" s="234" t="inlineStr">
        <x:is>
          <x:t xml:space="preserve">SPIRAL AND PETS ON THE RIGHT SIDE HAVE 5 FULL BLACK PETALS BUT ON THE LEFT SIDE THERE ARE 2 WHITE AND 3 BLACK</x:t>
        </x:is>
      </x:c>
      <x:c r="AS155" s="234" t="n"/>
      <x:c r="AT155" s="234" t="inlineStr">
        <x:is>
          <x:t xml:space="preserve">POPULATED_SOURCE_RECORD</x:t>
        </x:is>
      </x:c>
      <x:c r="AU155" s="234" t="inlineStr">
        <x:is>
          <x:t xml:space="preserve">ANNOTATED_IMAGE_AVAILABLE; NEW FEATURE/COUNT NOT INDEPENDENTLY RECOUNTED</x:t>
        </x:is>
      </x:c>
    </x:row>
    <x:row r="156" s="232" customFormat="1" ht="32" customHeight="1">
      <x:c r="A156" s="234" t="n">
        <x:v>68</x:v>
      </x:c>
      <x:c r="B156" s="234" t="inlineStr">
        <x:is>
          <x:t xml:space="preserve">68.jpg</x:t>
        </x:is>
      </x:c>
      <x:c r="C156" s="234" t="inlineStr">
        <x:is>
          <x:t xml:space="preserve">LP068-F92</x:t>
        </x:is>
      </x:c>
      <x:c r="D156" s="234" t="inlineStr">
        <x:is>
          <x:t xml:space="preserve">CSV source spreadsheet; feature-level representation</x:t>
        </x:is>
      </x:c>
      <x:c r="E156" s="234" t="n"/>
      <x:c r="F156" s="234" t="n"/>
      <x:c r="G156" s="234" t="inlineStr">
        <x:is>
          <x:t xml:space="preserve">right-side petal group</x:t>
        </x:is>
      </x:c>
      <x:c r="H156" s="234" t="inlineStr">
        <x:is>
          <x:t xml:space="preserve">Source CSV reports five fully black/filled petals on the right-side spiral/petal motif.</x:t>
        </x:is>
      </x:c>
      <x:c r="I156" s="234" t="n"/>
      <x:c r="J156" s="234" t="n"/>
      <x:c r="K156" s="234" t="n"/>
      <x:c r="L156" s="234" t="n"/>
      <x:c r="M156" s="234" t="n"/>
      <x:c r="N156" s="234" t="n"/>
      <x:c r="O156" s="234" t="n"/>
      <x:c r="P156" s="234" t="n"/>
      <x:c r="Q156" s="234" t="inlineStr">
        <x:is>
          <x:t xml:space="preserve">right side of page</x:t>
        </x:is>
      </x:c>
      <x:c r="R156" s="234" t="n"/>
      <x:c r="S156" s="234" t="n"/>
      <x:c r="T156" s="234" t="n"/>
      <x:c r="U156" s="234" t="n"/>
      <x:c r="V156" s="234" t="n"/>
      <x:c r="W156" s="234" t="n"/>
      <x:c r="X156" s="234" t="inlineStr">
        <x:is>
          <x:t xml:space="preserve">right spiral/petal decoration</x:t>
        </x:is>
      </x:c>
      <x:c r="Y156" s="234" t="n"/>
      <x:c r="Z156" s="234" t="inlineStr">
        <x:is>
          <x:t xml:space="preserve">medium</x:t>
        </x:is>
      </x:c>
      <x:c r="AA156" s="234" t="inlineStr">
        <x:is>
          <x:t xml:space="preserve">CSV_RECORDED_NOT_INDEPENDENTLY_RECOUNTED</x:t>
        </x:is>
      </x:c>
      <x:c r="AB156" s="234" t="inlineStr">
        <x:is>
          <x:t xml:space="preserve">https://github.com/mrroot01011001/Cicada-3301-/blob/main/liber-primus/pages/68.jpg</x:t>
        </x:is>
      </x:c>
      <x:c r="AC156" s="234" t="inlineStr">
        <x:is>
          <x:t xml:space="preserve">https://github.com/mrfentmen/annotated-pages/blob/main/68.jpg</x:t>
        </x:is>
      </x:c>
      <x:c r="AD156" s="234" t="inlineStr">
        <x:is>
          <x:t xml:space="preserve">The zero unfilled petals is implied by the source's '5 full black petals' description; verify visually before treating this as a measured count.</x:t>
        </x:is>
      </x:c>
      <x:c r="AE156" s="234" t="n">
        <x:v>5</x:v>
      </x:c>
      <x:c r="AF156" s="234" t="n">
        <x:v>5</x:v>
      </x:c>
      <x:c r="AG156" s="234" t="n">
        <x:v>0</x:v>
      </x:c>
      <x:c r="AH156" s="234" t="inlineStr">
        <x:is>
          <x:t xml:space="preserve">single_page</x:t>
        </x:is>
      </x:c>
      <x:c r="AI156" s="234" t="inlineStr">
        <x:is>
          <x:t xml:space="preserve">68.JPG</x:t>
        </x:is>
      </x:c>
      <x:c r="AJ156" s="234" t="inlineStr">
        <x:is>
          <x:t xml:space="preserve">CSV-D036</x:t>
        </x:is>
      </x:c>
      <x:c r="AK156" s="234" t="n">
        <x:v>36</x:v>
      </x:c>
      <x:c r="AL156" s="234" t="inlineStr">
        <x:is>
          <x:t xml:space="preserve">SPIRALS AND PETALS</x:t>
        </x:is>
      </x:c>
      <x:c r="AM156" s="234" t="inlineStr">
        <x:is>
          <x:t xml:space="preserve">0</x:t>
        </x:is>
      </x:c>
      <x:c r="AN156" s="234" t="inlineStr">
        <x:is>
          <x:t xml:space="preserve">8</x:t>
        </x:is>
      </x:c>
      <x:c r="AO156" s="234" t="inlineStr">
        <x:is>
          <x:t xml:space="preserve">0</x:t>
        </x:is>
      </x:c>
      <x:c r="AP156" s="234" t="inlineStr">
        <x:is>
          <x:t xml:space="preserve">LEFT AND RIGHT OF THE PAGE</x:t>
        </x:is>
      </x:c>
      <x:c r="AQ156" s="234" t="inlineStr">
        <x:is>
          <x:t xml:space="preserve">0</x:t>
        </x:is>
      </x:c>
      <x:c r="AR156" s="234" t="inlineStr">
        <x:is>
          <x:t xml:space="preserve">SPIRAL AND PETS ON THE RIGHT SIDE HAVE 5 FULL BLACK PETALS BUT ON THE LEFT SIDE THERE ARE 2 WHITE AND 3 BLACK</x:t>
        </x:is>
      </x:c>
      <x:c r="AS156" s="234" t="n"/>
      <x:c r="AT156" s="234" t="inlineStr">
        <x:is>
          <x:t xml:space="preserve">POPULATED_SOURCE_RECORD</x:t>
        </x:is>
      </x:c>
      <x:c r="AU156" s="234" t="inlineStr">
        <x:is>
          <x:t xml:space="preserve">ANNOTATED_IMAGE_AVAILABLE; NEW FEATURE/COUNT NOT INDEPENDENTLY RECOUNTED</x:t>
        </x:is>
      </x:c>
    </x:row>
    <x:row r="157" s="232" customFormat="1" ht="32" customHeight="1">
      <x:c r="A157" s="234" t="n">
        <x:v>69</x:v>
      </x:c>
      <x:c r="B157" s="234" t="n"/>
      <x:c r="C157" s="234" t="inlineStr">
        <x:is>
          <x:t xml:space="preserve">LP069-F90</x:t>
        </x:is>
      </x:c>
      <x:c r="D157" s="234" t="inlineStr">
        <x:is>
          <x:t xml:space="preserve">CSV source spreadsheet; feature-level representation</x:t>
        </x:is>
      </x:c>
      <x:c r="E157" s="234" t="n"/>
      <x:c r="F157" s="234" t="n"/>
      <x:c r="G157" s="234" t="inlineStr">
        <x:is>
          <x:t xml:space="preserve">paired spiral/petal motif (page-level)</x:t>
        </x:is>
      </x:c>
      <x:c r="H157" s="234" t="inlineStr">
        <x:is>
          <x:t xml:space="preserve">Source CSV visual-object label: SPIRALS AND PETALS. Source note: SPIRAL AND PETS ON THE RIGHT SIDE HAVE 5 FULL BLACK PETALS BUT ON THE LEFT SIDE THERE ARE 2 WHITE AND 3 BLACK</x:t>
        </x:is>
      </x:c>
      <x:c r="I157" s="234" t="n"/>
      <x:c r="J157" s="234" t="n"/>
      <x:c r="K157" s="234" t="n"/>
      <x:c r="L157" s="234" t="n"/>
      <x:c r="M157" s="234" t="n"/>
      <x:c r="N157" s="234" t="n"/>
      <x:c r="O157" s="234" t="n"/>
      <x:c r="P157" s="234" t="n"/>
      <x:c r="Q157" s="234" t="inlineStr">
        <x:is>
          <x:t xml:space="preserve">left and right of page</x:t>
        </x:is>
      </x:c>
      <x:c r="R157" s="234" t="n"/>
      <x:c r="S157" s="234" t="n"/>
      <x:c r="T157" s="234" t="n"/>
      <x:c r="U157" s="234" t="n"/>
      <x:c r="V157" s="234" t="n"/>
      <x:c r="W157" s="234" t="n"/>
      <x:c r="X157" s="234" t="inlineStr">
        <x:is>
          <x:t xml:space="preserve">Both margins beside central text; page-level motif summary</x:t>
        </x:is>
      </x:c>
      <x:c r="Y157" s="234" t="n"/>
      <x:c r="Z157" s="234" t="inlineStr">
        <x:is>
          <x:t xml:space="preserve">medium</x:t>
        </x:is>
      </x:c>
      <x:c r="AA157" s="234" t="inlineStr">
        <x:is>
          <x:t xml:space="preserve">CSV_RECORDED_NOT_IMAGE_VERIFIED</x:t>
        </x:is>
      </x:c>
      <x:c r="AB157" s="234" t="inlineStr">
        <x:is>
          <x:t xml:space="preserve">https://github.com/mrroot01011001/Cicada-3301-/tree/main/liber-primus/pages</x:t>
        </x:is>
      </x:c>
      <x:c r="AC157" s="234" t="n"/>
      <x:c r="AD157" s="234" t="inlineStr">
        <x:is>
          <x:t xml:space="preserve">Composite motif row retained alongside left/right component rows. Page-level counts in source fields are context, not counts to sum across every feature row.</x:t>
        </x:is>
      </x:c>
      <x:c r="AE157" s="234" t="n"/>
      <x:c r="AF157" s="234" t="n"/>
      <x:c r="AG157" s="234" t="n"/>
      <x:c r="AH157" s="234" t="inlineStr">
        <x:is>
          <x:t xml:space="preserve">single_page</x:t>
        </x:is>
      </x:c>
      <x:c r="AI157" s="234" t="inlineStr">
        <x:is>
          <x:t xml:space="preserve">69.JPG</x:t>
        </x:is>
      </x:c>
      <x:c r="AJ157" s="234" t="inlineStr">
        <x:is>
          <x:t xml:space="preserve">CSV-D037</x:t>
        </x:is>
      </x:c>
      <x:c r="AK157" s="234" t="n">
        <x:v>37</x:v>
      </x:c>
      <x:c r="AL157" s="234" t="inlineStr">
        <x:is>
          <x:t xml:space="preserve">SPIRALS AND PETALS</x:t>
        </x:is>
      </x:c>
      <x:c r="AM157" s="234" t="inlineStr">
        <x:is>
          <x:t xml:space="preserve">0</x:t>
        </x:is>
      </x:c>
      <x:c r="AN157" s="234" t="inlineStr">
        <x:is>
          <x:t xml:space="preserve">8</x:t>
        </x:is>
      </x:c>
      <x:c r="AO157" s="234" t="inlineStr">
        <x:is>
          <x:t xml:space="preserve">0</x:t>
        </x:is>
      </x:c>
      <x:c r="AP157" s="234" t="inlineStr">
        <x:is>
          <x:t xml:space="preserve">LEFT AND RIGHT OF THE PAGE</x:t>
        </x:is>
      </x:c>
      <x:c r="AQ157" s="234" t="inlineStr">
        <x:is>
          <x:t xml:space="preserve">0</x:t>
        </x:is>
      </x:c>
      <x:c r="AR157" s="234" t="inlineStr">
        <x:is>
          <x:t xml:space="preserve">SPIRAL AND PETS ON THE RIGHT SIDE HAVE 5 FULL BLACK PETALS BUT ON THE LEFT SIDE THERE ARE 2 WHITE AND 3 BLACK</x:t>
        </x:is>
      </x:c>
      <x:c r="AS157" s="234" t="n"/>
      <x:c r="AT157" s="234" t="inlineStr">
        <x:is>
          <x:t xml:space="preserve">POPULATED_SOURCE_RECORD</x:t>
        </x:is>
      </x:c>
      <x:c r="AU157" s="234" t="inlineStr">
        <x:is>
          <x:t xml:space="preserve">NO_ANNOTATED_IMAGE_IN_ANNOTATED_REPOSITORY</x:t>
        </x:is>
      </x:c>
    </x:row>
    <x:row r="158" s="232" customFormat="1" ht="32" customHeight="1">
      <x:c r="A158" s="234" t="n">
        <x:v>69</x:v>
      </x:c>
      <x:c r="B158" s="234" t="n"/>
      <x:c r="C158" s="234" t="inlineStr">
        <x:is>
          <x:t xml:space="preserve">LP069-F91</x:t>
        </x:is>
      </x:c>
      <x:c r="D158" s="234" t="inlineStr">
        <x:is>
          <x:t xml:space="preserve">CSV source spreadsheet; feature-level representation</x:t>
        </x:is>
      </x:c>
      <x:c r="E158" s="234" t="n"/>
      <x:c r="F158" s="234" t="n"/>
      <x:c r="G158" s="234" t="inlineStr">
        <x:is>
          <x:t xml:space="preserve">left-side petal group</x:t>
        </x:is>
      </x:c>
      <x:c r="H158" s="234" t="inlineStr">
        <x:is>
          <x:t xml:space="preserve">Source CSV reports two white/unfilled petals and three black/filled petals on the left-side spiral/petal motif.</x:t>
        </x:is>
      </x:c>
      <x:c r="I158" s="234" t="n"/>
      <x:c r="J158" s="234" t="n"/>
      <x:c r="K158" s="234" t="n"/>
      <x:c r="L158" s="234" t="n"/>
      <x:c r="M158" s="234" t="n"/>
      <x:c r="N158" s="234" t="n"/>
      <x:c r="O158" s="234" t="n"/>
      <x:c r="P158" s="234" t="n"/>
      <x:c r="Q158" s="234" t="inlineStr">
        <x:is>
          <x:t xml:space="preserve">left side of page</x:t>
        </x:is>
      </x:c>
      <x:c r="R158" s="234" t="n"/>
      <x:c r="S158" s="234" t="n"/>
      <x:c r="T158" s="234" t="n"/>
      <x:c r="U158" s="234" t="n"/>
      <x:c r="V158" s="234" t="n"/>
      <x:c r="W158" s="234" t="n"/>
      <x:c r="X158" s="234" t="inlineStr">
        <x:is>
          <x:t xml:space="preserve">left spiral/petal decoration</x:t>
        </x:is>
      </x:c>
      <x:c r="Y158" s="234" t="n"/>
      <x:c r="Z158" s="234" t="inlineStr">
        <x:is>
          <x:t xml:space="preserve">medium</x:t>
        </x:is>
      </x:c>
      <x:c r="AA158" s="234" t="inlineStr">
        <x:is>
          <x:t xml:space="preserve">CSV_RECORDED_NOT_IMAGE_VERIFIED</x:t>
        </x:is>
      </x:c>
      <x:c r="AB158" s="234" t="inlineStr">
        <x:is>
          <x:t xml:space="preserve">https://github.com/mrroot01011001/Cicada-3301-/tree/main/liber-primus/pages</x:t>
        </x:is>
      </x:c>
      <x:c r="AC158" s="234" t="n"/>
      <x:c r="AD158" s="234" t="inlineStr">
        <x:is>
          <x:t xml:space="preserve">Petal counts and filled/unfilled distinctions are preserved from the source notes, not independently counted from image coordinates.</x:t>
        </x:is>
      </x:c>
      <x:c r="AE158" s="234" t="n">
        <x:v>5</x:v>
      </x:c>
      <x:c r="AF158" s="234" t="n">
        <x:v>3</x:v>
      </x:c>
      <x:c r="AG158" s="234" t="n">
        <x:v>2</x:v>
      </x:c>
      <x:c r="AH158" s="234" t="inlineStr">
        <x:is>
          <x:t xml:space="preserve">single_page</x:t>
        </x:is>
      </x:c>
      <x:c r="AI158" s="234" t="inlineStr">
        <x:is>
          <x:t xml:space="preserve">69.JPG</x:t>
        </x:is>
      </x:c>
      <x:c r="AJ158" s="234" t="inlineStr">
        <x:is>
          <x:t xml:space="preserve">CSV-D037</x:t>
        </x:is>
      </x:c>
      <x:c r="AK158" s="234" t="n">
        <x:v>37</x:v>
      </x:c>
      <x:c r="AL158" s="234" t="inlineStr">
        <x:is>
          <x:t xml:space="preserve">SPIRALS AND PETALS</x:t>
        </x:is>
      </x:c>
      <x:c r="AM158" s="234" t="inlineStr">
        <x:is>
          <x:t xml:space="preserve">0</x:t>
        </x:is>
      </x:c>
      <x:c r="AN158" s="234" t="inlineStr">
        <x:is>
          <x:t xml:space="preserve">8</x:t>
        </x:is>
      </x:c>
      <x:c r="AO158" s="234" t="inlineStr">
        <x:is>
          <x:t xml:space="preserve">0</x:t>
        </x:is>
      </x:c>
      <x:c r="AP158" s="234" t="inlineStr">
        <x:is>
          <x:t xml:space="preserve">LEFT AND RIGHT OF THE PAGE</x:t>
        </x:is>
      </x:c>
      <x:c r="AQ158" s="234" t="inlineStr">
        <x:is>
          <x:t xml:space="preserve">0</x:t>
        </x:is>
      </x:c>
      <x:c r="AR158" s="234" t="inlineStr">
        <x:is>
          <x:t xml:space="preserve">SPIRAL AND PETS ON THE RIGHT SIDE HAVE 5 FULL BLACK PETALS BUT ON THE LEFT SIDE THERE ARE 2 WHITE AND 3 BLACK</x:t>
        </x:is>
      </x:c>
      <x:c r="AS158" s="234" t="n"/>
      <x:c r="AT158" s="234" t="inlineStr">
        <x:is>
          <x:t xml:space="preserve">POPULATED_SOURCE_RECORD</x:t>
        </x:is>
      </x:c>
      <x:c r="AU158" s="234" t="inlineStr">
        <x:is>
          <x:t xml:space="preserve">NO_ANNOTATED_IMAGE_IN_ANNOTATED_REPOSITORY</x:t>
        </x:is>
      </x:c>
    </x:row>
    <x:row r="159" s="232" customFormat="1" ht="32" customHeight="1">
      <x:c r="A159" s="234" t="n">
        <x:v>69</x:v>
      </x:c>
      <x:c r="B159" s="234" t="n"/>
      <x:c r="C159" s="234" t="inlineStr">
        <x:is>
          <x:t xml:space="preserve">LP069-F92</x:t>
        </x:is>
      </x:c>
      <x:c r="D159" s="234" t="inlineStr">
        <x:is>
          <x:t xml:space="preserve">CSV source spreadsheet; feature-level representation</x:t>
        </x:is>
      </x:c>
      <x:c r="E159" s="234" t="n"/>
      <x:c r="F159" s="234" t="n"/>
      <x:c r="G159" s="234" t="inlineStr">
        <x:is>
          <x:t xml:space="preserve">right-side petal group</x:t>
        </x:is>
      </x:c>
      <x:c r="H159" s="234" t="inlineStr">
        <x:is>
          <x:t xml:space="preserve">Source CSV reports five fully black/filled petals on the right-side spiral/petal motif.</x:t>
        </x:is>
      </x:c>
      <x:c r="I159" s="234" t="n"/>
      <x:c r="J159" s="234" t="n"/>
      <x:c r="K159" s="234" t="n"/>
      <x:c r="L159" s="234" t="n"/>
      <x:c r="M159" s="234" t="n"/>
      <x:c r="N159" s="234" t="n"/>
      <x:c r="O159" s="234" t="n"/>
      <x:c r="P159" s="234" t="n"/>
      <x:c r="Q159" s="234" t="inlineStr">
        <x:is>
          <x:t xml:space="preserve">right side of page</x:t>
        </x:is>
      </x:c>
      <x:c r="R159" s="234" t="n"/>
      <x:c r="S159" s="234" t="n"/>
      <x:c r="T159" s="234" t="n"/>
      <x:c r="U159" s="234" t="n"/>
      <x:c r="V159" s="234" t="n"/>
      <x:c r="W159" s="234" t="n"/>
      <x:c r="X159" s="234" t="inlineStr">
        <x:is>
          <x:t xml:space="preserve">right spiral/petal decoration</x:t>
        </x:is>
      </x:c>
      <x:c r="Y159" s="234" t="n"/>
      <x:c r="Z159" s="234" t="inlineStr">
        <x:is>
          <x:t xml:space="preserve">medium</x:t>
        </x:is>
      </x:c>
      <x:c r="AA159" s="234" t="inlineStr">
        <x:is>
          <x:t xml:space="preserve">CSV_RECORDED_NOT_IMAGE_VERIFIED</x:t>
        </x:is>
      </x:c>
      <x:c r="AB159" s="234" t="inlineStr">
        <x:is>
          <x:t xml:space="preserve">https://github.com/mrroot01011001/Cicada-3301-/tree/main/liber-primus/pages</x:t>
        </x:is>
      </x:c>
      <x:c r="AC159" s="234" t="n"/>
      <x:c r="AD159" s="234" t="inlineStr">
        <x:is>
          <x:t xml:space="preserve">The zero unfilled petals is implied by the source's '5 full black petals' description; verify visually before treating this as a measured count.</x:t>
        </x:is>
      </x:c>
      <x:c r="AE159" s="234" t="n">
        <x:v>5</x:v>
      </x:c>
      <x:c r="AF159" s="234" t="n">
        <x:v>5</x:v>
      </x:c>
      <x:c r="AG159" s="234" t="n">
        <x:v>0</x:v>
      </x:c>
      <x:c r="AH159" s="234" t="inlineStr">
        <x:is>
          <x:t xml:space="preserve">single_page</x:t>
        </x:is>
      </x:c>
      <x:c r="AI159" s="234" t="inlineStr">
        <x:is>
          <x:t xml:space="preserve">69.JPG</x:t>
        </x:is>
      </x:c>
      <x:c r="AJ159" s="234" t="inlineStr">
        <x:is>
          <x:t xml:space="preserve">CSV-D037</x:t>
        </x:is>
      </x:c>
      <x:c r="AK159" s="234" t="n">
        <x:v>37</x:v>
      </x:c>
      <x:c r="AL159" s="234" t="inlineStr">
        <x:is>
          <x:t xml:space="preserve">SPIRALS AND PETALS</x:t>
        </x:is>
      </x:c>
      <x:c r="AM159" s="234" t="inlineStr">
        <x:is>
          <x:t xml:space="preserve">0</x:t>
        </x:is>
      </x:c>
      <x:c r="AN159" s="234" t="inlineStr">
        <x:is>
          <x:t xml:space="preserve">8</x:t>
        </x:is>
      </x:c>
      <x:c r="AO159" s="234" t="inlineStr">
        <x:is>
          <x:t xml:space="preserve">0</x:t>
        </x:is>
      </x:c>
      <x:c r="AP159" s="234" t="inlineStr">
        <x:is>
          <x:t xml:space="preserve">LEFT AND RIGHT OF THE PAGE</x:t>
        </x:is>
      </x:c>
      <x:c r="AQ159" s="234" t="inlineStr">
        <x:is>
          <x:t xml:space="preserve">0</x:t>
        </x:is>
      </x:c>
      <x:c r="AR159" s="234" t="inlineStr">
        <x:is>
          <x:t xml:space="preserve">SPIRAL AND PETS ON THE RIGHT SIDE HAVE 5 FULL BLACK PETALS BUT ON THE LEFT SIDE THERE ARE 2 WHITE AND 3 BLACK</x:t>
        </x:is>
      </x:c>
      <x:c r="AS159" s="234" t="n"/>
      <x:c r="AT159" s="234" t="inlineStr">
        <x:is>
          <x:t xml:space="preserve">POPULATED_SOURCE_RECORD</x:t>
        </x:is>
      </x:c>
      <x:c r="AU159" s="234" t="inlineStr">
        <x:is>
          <x:t xml:space="preserve">NO_ANNOTATED_IMAGE_IN_ANNOTATED_REPOSITORY</x:t>
        </x:is>
      </x:c>
    </x:row>
    <x:row r="160" s="232" customFormat="1" ht="32" customHeight="1">
      <x:c r="A160" s="234" t="n">
        <x:v>69</x:v>
      </x:c>
      <x:c r="B160" s="234" t="n"/>
      <x:c r="C160" s="234" t="inlineStr">
        <x:is>
          <x:t xml:space="preserve">LP069-F93</x:t>
        </x:is>
      </x:c>
      <x:c r="D160" s="234" t="inlineStr">
        <x:is>
          <x:t xml:space="preserve">CSV source spreadsheet; feature-level representation</x:t>
        </x:is>
      </x:c>
      <x:c r="E160" s="234" t="n"/>
      <x:c r="F160" s="234" t="n"/>
      <x:c r="G160" s="234" t="inlineStr">
        <x:is>
          <x:t xml:space="preserve">left-side plant/root/spiral ornament</x:t>
        </x:is>
      </x:c>
      <x:c r="H160" s="234" t="inlineStr">
        <x:is>
          <x:t xml:space="preserve">Source CSV lists paired spiral/petal artwork on both sides. This row records the left-side motif as a separate spatial feature; detailed branches, roots, and endpoints have not been measured.</x:t>
        </x:is>
      </x:c>
      <x:c r="I160" s="234" t="n"/>
      <x:c r="J160" s="234" t="n"/>
      <x:c r="K160" s="234" t="n"/>
      <x:c r="L160" s="234" t="n"/>
      <x:c r="M160" s="234" t="n"/>
      <x:c r="N160" s="234" t="n"/>
      <x:c r="O160" s="234" t="n"/>
      <x:c r="P160" s="234" t="n"/>
      <x:c r="Q160" s="234" t="inlineStr">
        <x:is>
          <x:t xml:space="preserve">left side of page</x:t>
        </x:is>
      </x:c>
      <x:c r="R160" s="234" t="n"/>
      <x:c r="S160" s="234" t="n"/>
      <x:c r="T160" s="234" t="n"/>
      <x:c r="U160" s="234" t="n"/>
      <x:c r="V160" s="234" t="n"/>
      <x:c r="W160" s="234" t="n"/>
      <x:c r="X160" s="234" t="inlineStr">
        <x:is>
          <x:t xml:space="preserve">left margin beside glyph block</x:t>
        </x:is>
      </x:c>
      <x:c r="Y160" s="234" t="n"/>
      <x:c r="Z160" s="234" t="inlineStr">
        <x:is>
          <x:t xml:space="preserve">medium</x:t>
        </x:is>
      </x:c>
      <x:c r="AA160" s="234" t="inlineStr">
        <x:is>
          <x:t xml:space="preserve">CSV_RECORDED_NOT_IMAGE_VERIFIED</x:t>
        </x:is>
      </x:c>
      <x:c r="AB160" s="234" t="inlineStr">
        <x:is>
          <x:t xml:space="preserve">https://github.com/mrroot01011001/Cicada-3301-/tree/main/liber-primus/pages</x:t>
        </x:is>
      </x:c>
      <x:c r="AC160" s="234" t="n"/>
      <x:c r="AD160" s="234" t="inlineStr">
        <x:is>
          <x:t xml:space="preserve">No corresponding annotated image is present in the annotated-pages repository; retain source observation without adding unverified geometry.</x:t>
        </x:is>
      </x:c>
      <x:c r="AE160" s="234" t="n"/>
      <x:c r="AF160" s="234" t="n"/>
      <x:c r="AG160" s="234" t="n"/>
      <x:c r="AH160" s="234" t="inlineStr">
        <x:is>
          <x:t xml:space="preserve">single_page</x:t>
        </x:is>
      </x:c>
      <x:c r="AI160" s="234" t="inlineStr">
        <x:is>
          <x:t xml:space="preserve">69.JPG</x:t>
        </x:is>
      </x:c>
      <x:c r="AJ160" s="234" t="inlineStr">
        <x:is>
          <x:t xml:space="preserve">CSV-D037</x:t>
        </x:is>
      </x:c>
      <x:c r="AK160" s="234" t="n">
        <x:v>37</x:v>
      </x:c>
      <x:c r="AL160" s="234" t="inlineStr">
        <x:is>
          <x:t xml:space="preserve">SPIRALS AND PETALS</x:t>
        </x:is>
      </x:c>
      <x:c r="AM160" s="234" t="inlineStr">
        <x:is>
          <x:t xml:space="preserve">0</x:t>
        </x:is>
      </x:c>
      <x:c r="AN160" s="234" t="inlineStr">
        <x:is>
          <x:t xml:space="preserve">8</x:t>
        </x:is>
      </x:c>
      <x:c r="AO160" s="234" t="inlineStr">
        <x:is>
          <x:t xml:space="preserve">0</x:t>
        </x:is>
      </x:c>
      <x:c r="AP160" s="234" t="inlineStr">
        <x:is>
          <x:t xml:space="preserve">LEFT AND RIGHT OF THE PAGE</x:t>
        </x:is>
      </x:c>
      <x:c r="AQ160" s="234" t="inlineStr">
        <x:is>
          <x:t xml:space="preserve">0</x:t>
        </x:is>
      </x:c>
      <x:c r="AR160" s="234" t="inlineStr">
        <x:is>
          <x:t xml:space="preserve">SPIRAL AND PETS ON THE RIGHT SIDE HAVE 5 FULL BLACK PETALS BUT ON THE LEFT SIDE THERE ARE 2 WHITE AND 3 BLACK</x:t>
        </x:is>
      </x:c>
      <x:c r="AS160" s="234" t="n"/>
      <x:c r="AT160" s="234" t="inlineStr">
        <x:is>
          <x:t xml:space="preserve">POPULATED_SOURCE_RECORD</x:t>
        </x:is>
      </x:c>
      <x:c r="AU160" s="234" t="inlineStr">
        <x:is>
          <x:t xml:space="preserve">NO_ANNOTATED_IMAGE_IN_ANNOTATED_REPOSITORY</x:t>
        </x:is>
      </x:c>
    </x:row>
    <x:row r="161" s="232" customFormat="1" ht="32" customHeight="1">
      <x:c r="A161" s="234" t="n">
        <x:v>69</x:v>
      </x:c>
      <x:c r="B161" s="234" t="n"/>
      <x:c r="C161" s="234" t="inlineStr">
        <x:is>
          <x:t xml:space="preserve">LP069-F94</x:t>
        </x:is>
      </x:c>
      <x:c r="D161" s="234" t="inlineStr">
        <x:is>
          <x:t xml:space="preserve">CSV source spreadsheet; feature-level representation</x:t>
        </x:is>
      </x:c>
      <x:c r="E161" s="234" t="n"/>
      <x:c r="F161" s="234" t="n"/>
      <x:c r="G161" s="234" t="inlineStr">
        <x:is>
          <x:t xml:space="preserve">right-side plant/root/spiral ornament</x:t>
        </x:is>
      </x:c>
      <x:c r="H161" s="234" t="inlineStr">
        <x:is>
          <x:t xml:space="preserve">Source CSV lists paired spiral/petal artwork on both sides. This row records the right-side motif as a separate spatial feature; detailed branches, roots, and endpoints have not been measured.</x:t>
        </x:is>
      </x:c>
      <x:c r="I161" s="234" t="n"/>
      <x:c r="J161" s="234" t="n"/>
      <x:c r="K161" s="234" t="n"/>
      <x:c r="L161" s="234" t="n"/>
      <x:c r="M161" s="234" t="n"/>
      <x:c r="N161" s="234" t="n"/>
      <x:c r="O161" s="234" t="n"/>
      <x:c r="P161" s="234" t="n"/>
      <x:c r="Q161" s="234" t="inlineStr">
        <x:is>
          <x:t xml:space="preserve">right side of page</x:t>
        </x:is>
      </x:c>
      <x:c r="R161" s="234" t="n"/>
      <x:c r="S161" s="234" t="n"/>
      <x:c r="T161" s="234" t="n"/>
      <x:c r="U161" s="234" t="n"/>
      <x:c r="V161" s="234" t="n"/>
      <x:c r="W161" s="234" t="n"/>
      <x:c r="X161" s="234" t="inlineStr">
        <x:is>
          <x:t xml:space="preserve">right margin beside glyph block</x:t>
        </x:is>
      </x:c>
      <x:c r="Y161" s="234" t="n"/>
      <x:c r="Z161" s="234" t="inlineStr">
        <x:is>
          <x:t xml:space="preserve">medium</x:t>
        </x:is>
      </x:c>
      <x:c r="AA161" s="234" t="inlineStr">
        <x:is>
          <x:t xml:space="preserve">CSV_RECORDED_NOT_IMAGE_VERIFIED</x:t>
        </x:is>
      </x:c>
      <x:c r="AB161" s="234" t="inlineStr">
        <x:is>
          <x:t xml:space="preserve">https://github.com/mrroot01011001/Cicada-3301-/tree/main/liber-primus/pages</x:t>
        </x:is>
      </x:c>
      <x:c r="AC161" s="234" t="n"/>
      <x:c r="AD161" s="234" t="inlineStr">
        <x:is>
          <x:t xml:space="preserve">No corresponding annotated image is present in the annotated-pages repository; retain source observation without adding unverified geometry.</x:t>
        </x:is>
      </x:c>
      <x:c r="AE161" s="234" t="n"/>
      <x:c r="AF161" s="234" t="n"/>
      <x:c r="AG161" s="234" t="n"/>
      <x:c r="AH161" s="234" t="inlineStr">
        <x:is>
          <x:t xml:space="preserve">single_page</x:t>
        </x:is>
      </x:c>
      <x:c r="AI161" s="234" t="inlineStr">
        <x:is>
          <x:t xml:space="preserve">69.JPG</x:t>
        </x:is>
      </x:c>
      <x:c r="AJ161" s="234" t="inlineStr">
        <x:is>
          <x:t xml:space="preserve">CSV-D037</x:t>
        </x:is>
      </x:c>
      <x:c r="AK161" s="234" t="n">
        <x:v>37</x:v>
      </x:c>
      <x:c r="AL161" s="234" t="inlineStr">
        <x:is>
          <x:t xml:space="preserve">SPIRALS AND PETALS</x:t>
        </x:is>
      </x:c>
      <x:c r="AM161" s="234" t="inlineStr">
        <x:is>
          <x:t xml:space="preserve">0</x:t>
        </x:is>
      </x:c>
      <x:c r="AN161" s="234" t="inlineStr">
        <x:is>
          <x:t xml:space="preserve">8</x:t>
        </x:is>
      </x:c>
      <x:c r="AO161" s="234" t="inlineStr">
        <x:is>
          <x:t xml:space="preserve">0</x:t>
        </x:is>
      </x:c>
      <x:c r="AP161" s="234" t="inlineStr">
        <x:is>
          <x:t xml:space="preserve">LEFT AND RIGHT OF THE PAGE</x:t>
        </x:is>
      </x:c>
      <x:c r="AQ161" s="234" t="inlineStr">
        <x:is>
          <x:t xml:space="preserve">0</x:t>
        </x:is>
      </x:c>
      <x:c r="AR161" s="234" t="inlineStr">
        <x:is>
          <x:t xml:space="preserve">SPIRAL AND PETS ON THE RIGHT SIDE HAVE 5 FULL BLACK PETALS BUT ON THE LEFT SIDE THERE ARE 2 WHITE AND 3 BLACK</x:t>
        </x:is>
      </x:c>
      <x:c r="AS161" s="234" t="n"/>
      <x:c r="AT161" s="234" t="inlineStr">
        <x:is>
          <x:t xml:space="preserve">POPULATED_SOURCE_RECORD</x:t>
        </x:is>
      </x:c>
      <x:c r="AU161" s="234" t="inlineStr">
        <x:is>
          <x:t xml:space="preserve">NO_ANNOTATED_IMAGE_IN_ANNOTATED_REPOSITORY</x:t>
        </x:is>
      </x:c>
    </x:row>
    <x:row r="162" s="232" customFormat="1" ht="32" customHeight="1">
      <x:c r="A162" s="234" t="n">
        <x:v>69</x:v>
      </x:c>
      <x:c r="B162" s="234" t="n"/>
      <x:c r="C162" s="234" t="inlineStr">
        <x:is>
          <x:t xml:space="preserve">LP069-F95</x:t>
        </x:is>
      </x:c>
      <x:c r="D162" s="234" t="inlineStr">
        <x:is>
          <x:t xml:space="preserve">CSV source spreadsheet; feature-level representation</x:t>
        </x:is>
      </x:c>
      <x:c r="E162" s="234" t="n"/>
      <x:c r="F162" s="234" t="n"/>
      <x:c r="G162" s="234" t="inlineStr">
        <x:is>
          <x:t xml:space="preserve">external dot count (page aggregate; cluster positions unknown)</x:t>
        </x:is>
      </x:c>
      <x:c r="H162" s="234" t="inlineStr">
        <x:is>
          <x:t xml:space="preserve">Source CSV records eight external dots for this page's paired spiral/petal decoration; individual cluster positions are not separately recorded in the source row.</x:t>
        </x:is>
      </x:c>
      <x:c r="I162" s="234" t="n">
        <x:v>8</x:v>
      </x:c>
      <x:c r="J162" s="234" t="n"/>
      <x:c r="K162" s="234" t="n">
        <x:v>8</x:v>
      </x:c>
      <x:c r="L162" s="234" t="n"/>
      <x:c r="M162" s="234" t="n"/>
      <x:c r="N162" s="234" t="n"/>
      <x:c r="O162" s="234" t="n"/>
      <x:c r="P162" s="234" t="n"/>
      <x:c r="Q162" s="234" t="inlineStr">
        <x:is>
          <x:t xml:space="preserve">left and right of page</x:t>
        </x:is>
      </x:c>
      <x:c r="R162" s="234" t="n"/>
      <x:c r="S162" s="234" t="n"/>
      <x:c r="T162" s="234" t="n"/>
      <x:c r="U162" s="234" t="n"/>
      <x:c r="V162" s="234" t="n"/>
      <x:c r="W162" s="234" t="n"/>
      <x:c r="X162" s="234" t="inlineStr">
        <x:is>
          <x:t xml:space="preserve">Paired spiral/petal decoration; cluster allocation unknown</x:t>
        </x:is>
      </x:c>
      <x:c r="Y162" s="234" t="n"/>
      <x:c r="Z162" s="234" t="inlineStr">
        <x:is>
          <x:t xml:space="preserve">medium</x:t>
        </x:is>
      </x:c>
      <x:c r="AA162" s="234" t="inlineStr">
        <x:is>
          <x:t xml:space="preserve">CSV_RECORDED_NOT_IMAGE_VERIFIED</x:t>
        </x:is>
      </x:c>
      <x:c r="AB162" s="234" t="inlineStr">
        <x:is>
          <x:t xml:space="preserve">https://github.com/mrroot01011001/Cicada-3301-/tree/main/liber-primus/pages</x:t>
        </x:is>
      </x:c>
      <x:c r="AC162" s="234" t="n"/>
      <x:c r="AD162" s="234" t="inlineStr">
        <x:is>
          <x:t xml:space="preserve">Do not infer an exact left/right split from this aggregate; pages 57 and 68 have separate annotated dot-cluster records.</x:t>
        </x:is>
      </x:c>
      <x:c r="AE162" s="234" t="n"/>
      <x:c r="AF162" s="234" t="n"/>
      <x:c r="AG162" s="234" t="n"/>
      <x:c r="AH162" s="234" t="inlineStr">
        <x:is>
          <x:t xml:space="preserve">single_page</x:t>
        </x:is>
      </x:c>
      <x:c r="AI162" s="234" t="inlineStr">
        <x:is>
          <x:t xml:space="preserve">69.JPG</x:t>
        </x:is>
      </x:c>
      <x:c r="AJ162" s="234" t="inlineStr">
        <x:is>
          <x:t xml:space="preserve">CSV-D037</x:t>
        </x:is>
      </x:c>
      <x:c r="AK162" s="234" t="n">
        <x:v>37</x:v>
      </x:c>
      <x:c r="AL162" s="234" t="inlineStr">
        <x:is>
          <x:t xml:space="preserve">SPIRALS AND PETALS</x:t>
        </x:is>
      </x:c>
      <x:c r="AM162" s="234" t="inlineStr">
        <x:is>
          <x:t xml:space="preserve">0</x:t>
        </x:is>
      </x:c>
      <x:c r="AN162" s="234" t="inlineStr">
        <x:is>
          <x:t xml:space="preserve">8</x:t>
        </x:is>
      </x:c>
      <x:c r="AO162" s="234" t="inlineStr">
        <x:is>
          <x:t xml:space="preserve">0</x:t>
        </x:is>
      </x:c>
      <x:c r="AP162" s="234" t="inlineStr">
        <x:is>
          <x:t xml:space="preserve">LEFT AND RIGHT OF THE PAGE</x:t>
        </x:is>
      </x:c>
      <x:c r="AQ162" s="234" t="inlineStr">
        <x:is>
          <x:t xml:space="preserve">0</x:t>
        </x:is>
      </x:c>
      <x:c r="AR162" s="234" t="inlineStr">
        <x:is>
          <x:t xml:space="preserve">SPIRAL AND PETS ON THE RIGHT SIDE HAVE 5 FULL BLACK PETALS BUT ON THE LEFT SIDE THERE ARE 2 WHITE AND 3 BLACK</x:t>
        </x:is>
      </x:c>
      <x:c r="AS162" s="234" t="n"/>
      <x:c r="AT162" s="234" t="inlineStr">
        <x:is>
          <x:t xml:space="preserve">POPULATED_SOURCE_RECORD</x:t>
        </x:is>
      </x:c>
      <x:c r="AU162" s="234" t="inlineStr">
        <x:is>
          <x:t xml:space="preserve">NO_ANNOTATED_IMAGE_IN_ANNOTATED_REPOSITORY</x:t>
        </x:is>
      </x:c>
    </x:row>
    <x:row r="163" s="232" customFormat="1" ht="32" customHeight="1">
      <x:c r="A163" s="234" t="n">
        <x:v>70</x:v>
      </x:c>
      <x:c r="B163" s="234" t="n"/>
      <x:c r="C163" s="234" t="inlineStr">
        <x:is>
          <x:t xml:space="preserve">LP070-F90</x:t>
        </x:is>
      </x:c>
      <x:c r="D163" s="234" t="inlineStr">
        <x:is>
          <x:t xml:space="preserve">CSV source spreadsheet; feature-level representation</x:t>
        </x:is>
      </x:c>
      <x:c r="E163" s="234" t="n"/>
      <x:c r="F163" s="234" t="n"/>
      <x:c r="G163" s="234" t="inlineStr">
        <x:is>
          <x:t xml:space="preserve">paired spiral/petal motif (page-level)</x:t>
        </x:is>
      </x:c>
      <x:c r="H163" s="234" t="inlineStr">
        <x:is>
          <x:t xml:space="preserve">Source CSV visual-object label: SPIRALS AND PETALS - CICADA. Source note: SPIRAL AND PETS ON THE RIGHT SIDE HAVE 5 FULL BLACK PETALS BUT ON THE LEFT SIDE THERE ARE 2 WHITE AND 3 BLACK  - CICADA SITS AT BOTTOM OF PAGE</x:t>
        </x:is>
      </x:c>
      <x:c r="I163" s="234" t="n"/>
      <x:c r="J163" s="234" t="n"/>
      <x:c r="K163" s="234" t="n"/>
      <x:c r="L163" s="234" t="n"/>
      <x:c r="M163" s="234" t="n"/>
      <x:c r="N163" s="234" t="n"/>
      <x:c r="O163" s="234" t="n"/>
      <x:c r="P163" s="234" t="n"/>
      <x:c r="Q163" s="234" t="inlineStr">
        <x:is>
          <x:t xml:space="preserve">left and right of page</x:t>
        </x:is>
      </x:c>
      <x:c r="R163" s="234" t="n"/>
      <x:c r="S163" s="234" t="n"/>
      <x:c r="T163" s="234" t="n"/>
      <x:c r="U163" s="234" t="n"/>
      <x:c r="V163" s="234" t="n"/>
      <x:c r="W163" s="234" t="n"/>
      <x:c r="X163" s="234" t="inlineStr">
        <x:is>
          <x:t xml:space="preserve">Both margins beside central text; page-level motif summary</x:t>
        </x:is>
      </x:c>
      <x:c r="Y163" s="234" t="n"/>
      <x:c r="Z163" s="234" t="inlineStr">
        <x:is>
          <x:t xml:space="preserve">medium</x:t>
        </x:is>
      </x:c>
      <x:c r="AA163" s="234" t="inlineStr">
        <x:is>
          <x:t xml:space="preserve">CSV_RECORDED_NOT_IMAGE_VERIFIED</x:t>
        </x:is>
      </x:c>
      <x:c r="AB163" s="234" t="inlineStr">
        <x:is>
          <x:t xml:space="preserve">https://github.com/mrroot01011001/Cicada-3301-/tree/main/liber-primus/pages</x:t>
        </x:is>
      </x:c>
      <x:c r="AC163" s="234" t="n"/>
      <x:c r="AD163" s="234" t="inlineStr">
        <x:is>
          <x:t xml:space="preserve">Composite motif row retained alongside left/right component rows. Page-level counts in source fields are context, not counts to sum across every feature row.</x:t>
        </x:is>
      </x:c>
      <x:c r="AE163" s="234" t="n"/>
      <x:c r="AF163" s="234" t="n"/>
      <x:c r="AG163" s="234" t="n"/>
      <x:c r="AH163" s="234" t="inlineStr">
        <x:is>
          <x:t xml:space="preserve">single_page</x:t>
        </x:is>
      </x:c>
      <x:c r="AI163" s="234" t="inlineStr">
        <x:is>
          <x:t xml:space="preserve">70.JPG</x:t>
        </x:is>
      </x:c>
      <x:c r="AJ163" s="234" t="inlineStr">
        <x:is>
          <x:t xml:space="preserve">CSV-D038</x:t>
        </x:is>
      </x:c>
      <x:c r="AK163" s="234" t="n">
        <x:v>38</x:v>
      </x:c>
      <x:c r="AL163" s="234" t="inlineStr">
        <x:is>
          <x:t xml:space="preserve">SPIRALS AND PETALS - CICADA</x:t>
        </x:is>
      </x:c>
      <x:c r="AM163" s="234" t="inlineStr">
        <x:is>
          <x:t xml:space="preserve">0</x:t>
        </x:is>
      </x:c>
      <x:c r="AN163" s="234" t="inlineStr">
        <x:is>
          <x:t xml:space="preserve">8</x:t>
        </x:is>
      </x:c>
      <x:c r="AO163" s="234" t="inlineStr">
        <x:is>
          <x:t xml:space="preserve">0</x:t>
        </x:is>
      </x:c>
      <x:c r="AP163" s="234" t="inlineStr">
        <x:is>
          <x:t xml:space="preserve">LEFT AND RIGHT OF THE PAGE  - CICADA SITS AT BOTTOM OF PAGE</x:t>
        </x:is>
      </x:c>
      <x:c r="AQ163" s="234" t="inlineStr">
        <x:is>
          <x:t xml:space="preserve">0</x:t>
        </x:is>
      </x:c>
      <x:c r="AR163" s="234" t="inlineStr">
        <x:is>
          <x:t xml:space="preserve">SPIRAL AND PETS ON THE RIGHT SIDE HAVE 5 FULL BLACK PETALS BUT ON THE LEFT SIDE THERE ARE 2 WHITE AND 3 BLACK  - CICADA SITS AT BOTTOM OF PAGE</x:t>
        </x:is>
      </x:c>
      <x:c r="AS163" s="234" t="n"/>
      <x:c r="AT163" s="234" t="inlineStr">
        <x:is>
          <x:t xml:space="preserve">POPULATED_SOURCE_RECORD</x:t>
        </x:is>
      </x:c>
      <x:c r="AU163" s="234" t="inlineStr">
        <x:is>
          <x:t xml:space="preserve">NO_ANNOTATED_IMAGE_IN_ANNOTATED_REPOSITORY</x:t>
        </x:is>
      </x:c>
    </x:row>
    <x:row r="164" s="232" customFormat="1" ht="32" customHeight="1">
      <x:c r="A164" s="234" t="n">
        <x:v>70</x:v>
      </x:c>
      <x:c r="B164" s="234" t="n"/>
      <x:c r="C164" s="234" t="inlineStr">
        <x:is>
          <x:t xml:space="preserve">LP070-F91</x:t>
        </x:is>
      </x:c>
      <x:c r="D164" s="234" t="inlineStr">
        <x:is>
          <x:t xml:space="preserve">CSV source spreadsheet; feature-level representation</x:t>
        </x:is>
      </x:c>
      <x:c r="E164" s="234" t="n"/>
      <x:c r="F164" s="234" t="n"/>
      <x:c r="G164" s="234" t="inlineStr">
        <x:is>
          <x:t xml:space="preserve">left-side petal group</x:t>
        </x:is>
      </x:c>
      <x:c r="H164" s="234" t="inlineStr">
        <x:is>
          <x:t xml:space="preserve">Source CSV reports two white/unfilled petals and three black/filled petals on the left-side spiral/petal motif.</x:t>
        </x:is>
      </x:c>
      <x:c r="I164" s="234" t="n"/>
      <x:c r="J164" s="234" t="n"/>
      <x:c r="K164" s="234" t="n"/>
      <x:c r="L164" s="234" t="n"/>
      <x:c r="M164" s="234" t="n"/>
      <x:c r="N164" s="234" t="n"/>
      <x:c r="O164" s="234" t="n"/>
      <x:c r="P164" s="234" t="n"/>
      <x:c r="Q164" s="234" t="inlineStr">
        <x:is>
          <x:t xml:space="preserve">left side of page</x:t>
        </x:is>
      </x:c>
      <x:c r="R164" s="234" t="n"/>
      <x:c r="S164" s="234" t="n"/>
      <x:c r="T164" s="234" t="n"/>
      <x:c r="U164" s="234" t="n"/>
      <x:c r="V164" s="234" t="n"/>
      <x:c r="W164" s="234" t="n"/>
      <x:c r="X164" s="234" t="inlineStr">
        <x:is>
          <x:t xml:space="preserve">left spiral/petal decoration</x:t>
        </x:is>
      </x:c>
      <x:c r="Y164" s="234" t="n"/>
      <x:c r="Z164" s="234" t="inlineStr">
        <x:is>
          <x:t xml:space="preserve">medium</x:t>
        </x:is>
      </x:c>
      <x:c r="AA164" s="234" t="inlineStr">
        <x:is>
          <x:t xml:space="preserve">CSV_RECORDED_NOT_IMAGE_VERIFIED</x:t>
        </x:is>
      </x:c>
      <x:c r="AB164" s="234" t="inlineStr">
        <x:is>
          <x:t xml:space="preserve">https://github.com/mrroot01011001/Cicada-3301-/tree/main/liber-primus/pages</x:t>
        </x:is>
      </x:c>
      <x:c r="AC164" s="234" t="n"/>
      <x:c r="AD164" s="234" t="inlineStr">
        <x:is>
          <x:t xml:space="preserve">Petal counts and filled/unfilled distinctions are preserved from the source notes, not independently counted from image coordinates.</x:t>
        </x:is>
      </x:c>
      <x:c r="AE164" s="234" t="n">
        <x:v>5</x:v>
      </x:c>
      <x:c r="AF164" s="234" t="n">
        <x:v>3</x:v>
      </x:c>
      <x:c r="AG164" s="234" t="n">
        <x:v>2</x:v>
      </x:c>
      <x:c r="AH164" s="234" t="inlineStr">
        <x:is>
          <x:t xml:space="preserve">single_page</x:t>
        </x:is>
      </x:c>
      <x:c r="AI164" s="234" t="inlineStr">
        <x:is>
          <x:t xml:space="preserve">70.JPG</x:t>
        </x:is>
      </x:c>
      <x:c r="AJ164" s="234" t="inlineStr">
        <x:is>
          <x:t xml:space="preserve">CSV-D038</x:t>
        </x:is>
      </x:c>
      <x:c r="AK164" s="234" t="n">
        <x:v>38</x:v>
      </x:c>
      <x:c r="AL164" s="234" t="inlineStr">
        <x:is>
          <x:t xml:space="preserve">SPIRALS AND PETALS - CICADA</x:t>
        </x:is>
      </x:c>
      <x:c r="AM164" s="234" t="inlineStr">
        <x:is>
          <x:t xml:space="preserve">0</x:t>
        </x:is>
      </x:c>
      <x:c r="AN164" s="234" t="inlineStr">
        <x:is>
          <x:t xml:space="preserve">8</x:t>
        </x:is>
      </x:c>
      <x:c r="AO164" s="234" t="inlineStr">
        <x:is>
          <x:t xml:space="preserve">0</x:t>
        </x:is>
      </x:c>
      <x:c r="AP164" s="234" t="inlineStr">
        <x:is>
          <x:t xml:space="preserve">LEFT AND RIGHT OF THE PAGE  - CICADA SITS AT BOTTOM OF PAGE</x:t>
        </x:is>
      </x:c>
      <x:c r="AQ164" s="234" t="inlineStr">
        <x:is>
          <x:t xml:space="preserve">0</x:t>
        </x:is>
      </x:c>
      <x:c r="AR164" s="234" t="inlineStr">
        <x:is>
          <x:t xml:space="preserve">SPIRAL AND PETS ON THE RIGHT SIDE HAVE 5 FULL BLACK PETALS BUT ON THE LEFT SIDE THERE ARE 2 WHITE AND 3 BLACK  - CICADA SITS AT BOTTOM OF PAGE</x:t>
        </x:is>
      </x:c>
      <x:c r="AS164" s="234" t="n"/>
      <x:c r="AT164" s="234" t="inlineStr">
        <x:is>
          <x:t xml:space="preserve">POPULATED_SOURCE_RECORD</x:t>
        </x:is>
      </x:c>
      <x:c r="AU164" s="234" t="inlineStr">
        <x:is>
          <x:t xml:space="preserve">NO_ANNOTATED_IMAGE_IN_ANNOTATED_REPOSITORY</x:t>
        </x:is>
      </x:c>
    </x:row>
    <x:row r="165" s="232" customFormat="1" ht="32" customHeight="1">
      <x:c r="A165" s="234" t="n">
        <x:v>70</x:v>
      </x:c>
      <x:c r="B165" s="234" t="n"/>
      <x:c r="C165" s="234" t="inlineStr">
        <x:is>
          <x:t xml:space="preserve">LP070-F92</x:t>
        </x:is>
      </x:c>
      <x:c r="D165" s="234" t="inlineStr">
        <x:is>
          <x:t xml:space="preserve">CSV source spreadsheet; feature-level representation</x:t>
        </x:is>
      </x:c>
      <x:c r="E165" s="234" t="n"/>
      <x:c r="F165" s="234" t="n"/>
      <x:c r="G165" s="234" t="inlineStr">
        <x:is>
          <x:t xml:space="preserve">right-side petal group</x:t>
        </x:is>
      </x:c>
      <x:c r="H165" s="234" t="inlineStr">
        <x:is>
          <x:t xml:space="preserve">Source CSV reports five fully black/filled petals on the right-side spiral/petal motif.</x:t>
        </x:is>
      </x:c>
      <x:c r="I165" s="234" t="n"/>
      <x:c r="J165" s="234" t="n"/>
      <x:c r="K165" s="234" t="n"/>
      <x:c r="L165" s="234" t="n"/>
      <x:c r="M165" s="234" t="n"/>
      <x:c r="N165" s="234" t="n"/>
      <x:c r="O165" s="234" t="n"/>
      <x:c r="P165" s="234" t="n"/>
      <x:c r="Q165" s="234" t="inlineStr">
        <x:is>
          <x:t xml:space="preserve">right side of page</x:t>
        </x:is>
      </x:c>
      <x:c r="R165" s="234" t="n"/>
      <x:c r="S165" s="234" t="n"/>
      <x:c r="T165" s="234" t="n"/>
      <x:c r="U165" s="234" t="n"/>
      <x:c r="V165" s="234" t="n"/>
      <x:c r="W165" s="234" t="n"/>
      <x:c r="X165" s="234" t="inlineStr">
        <x:is>
          <x:t xml:space="preserve">right spiral/petal decoration</x:t>
        </x:is>
      </x:c>
      <x:c r="Y165" s="234" t="n"/>
      <x:c r="Z165" s="234" t="inlineStr">
        <x:is>
          <x:t xml:space="preserve">medium</x:t>
        </x:is>
      </x:c>
      <x:c r="AA165" s="234" t="inlineStr">
        <x:is>
          <x:t xml:space="preserve">CSV_RECORDED_NOT_IMAGE_VERIFIED</x:t>
        </x:is>
      </x:c>
      <x:c r="AB165" s="234" t="inlineStr">
        <x:is>
          <x:t xml:space="preserve">https://github.com/mrroot01011001/Cicada-3301-/tree/main/liber-primus/pages</x:t>
        </x:is>
      </x:c>
      <x:c r="AC165" s="234" t="n"/>
      <x:c r="AD165" s="234" t="inlineStr">
        <x:is>
          <x:t xml:space="preserve">The zero unfilled petals is implied by the source's '5 full black petals' description; verify visually before treating this as a measured count.</x:t>
        </x:is>
      </x:c>
      <x:c r="AE165" s="234" t="n">
        <x:v>5</x:v>
      </x:c>
      <x:c r="AF165" s="234" t="n">
        <x:v>5</x:v>
      </x:c>
      <x:c r="AG165" s="234" t="n">
        <x:v>0</x:v>
      </x:c>
      <x:c r="AH165" s="234" t="inlineStr">
        <x:is>
          <x:t xml:space="preserve">single_page</x:t>
        </x:is>
      </x:c>
      <x:c r="AI165" s="234" t="inlineStr">
        <x:is>
          <x:t xml:space="preserve">70.JPG</x:t>
        </x:is>
      </x:c>
      <x:c r="AJ165" s="234" t="inlineStr">
        <x:is>
          <x:t xml:space="preserve">CSV-D038</x:t>
        </x:is>
      </x:c>
      <x:c r="AK165" s="234" t="n">
        <x:v>38</x:v>
      </x:c>
      <x:c r="AL165" s="234" t="inlineStr">
        <x:is>
          <x:t xml:space="preserve">SPIRALS AND PETALS - CICADA</x:t>
        </x:is>
      </x:c>
      <x:c r="AM165" s="234" t="inlineStr">
        <x:is>
          <x:t xml:space="preserve">0</x:t>
        </x:is>
      </x:c>
      <x:c r="AN165" s="234" t="inlineStr">
        <x:is>
          <x:t xml:space="preserve">8</x:t>
        </x:is>
      </x:c>
      <x:c r="AO165" s="234" t="inlineStr">
        <x:is>
          <x:t xml:space="preserve">0</x:t>
        </x:is>
      </x:c>
      <x:c r="AP165" s="234" t="inlineStr">
        <x:is>
          <x:t xml:space="preserve">LEFT AND RIGHT OF THE PAGE  - CICADA SITS AT BOTTOM OF PAGE</x:t>
        </x:is>
      </x:c>
      <x:c r="AQ165" s="234" t="inlineStr">
        <x:is>
          <x:t xml:space="preserve">0</x:t>
        </x:is>
      </x:c>
      <x:c r="AR165" s="234" t="inlineStr">
        <x:is>
          <x:t xml:space="preserve">SPIRAL AND PETS ON THE RIGHT SIDE HAVE 5 FULL BLACK PETALS BUT ON THE LEFT SIDE THERE ARE 2 WHITE AND 3 BLACK  - CICADA SITS AT BOTTOM OF PAGE</x:t>
        </x:is>
      </x:c>
      <x:c r="AS165" s="234" t="n"/>
      <x:c r="AT165" s="234" t="inlineStr">
        <x:is>
          <x:t xml:space="preserve">POPULATED_SOURCE_RECORD</x:t>
        </x:is>
      </x:c>
      <x:c r="AU165" s="234" t="inlineStr">
        <x:is>
          <x:t xml:space="preserve">NO_ANNOTATED_IMAGE_IN_ANNOTATED_REPOSITORY</x:t>
        </x:is>
      </x:c>
    </x:row>
    <x:row r="166" s="232" customFormat="1" ht="32" customHeight="1">
      <x:c r="A166" s="234" t="n">
        <x:v>70</x:v>
      </x:c>
      <x:c r="B166" s="234" t="n"/>
      <x:c r="C166" s="234" t="inlineStr">
        <x:is>
          <x:t xml:space="preserve">LP070-F93</x:t>
        </x:is>
      </x:c>
      <x:c r="D166" s="234" t="inlineStr">
        <x:is>
          <x:t xml:space="preserve">CSV source spreadsheet; feature-level representation</x:t>
        </x:is>
      </x:c>
      <x:c r="E166" s="234" t="n"/>
      <x:c r="F166" s="234" t="n"/>
      <x:c r="G166" s="234" t="inlineStr">
        <x:is>
          <x:t xml:space="preserve">left-side plant/root/spiral ornament</x:t>
        </x:is>
      </x:c>
      <x:c r="H166" s="234" t="inlineStr">
        <x:is>
          <x:t xml:space="preserve">Source CSV lists paired spiral/petal artwork on both sides. This row records the left-side motif as a separate spatial feature; detailed branches, roots, and endpoints have not been measured.</x:t>
        </x:is>
      </x:c>
      <x:c r="I166" s="234" t="n"/>
      <x:c r="J166" s="234" t="n"/>
      <x:c r="K166" s="234" t="n"/>
      <x:c r="L166" s="234" t="n"/>
      <x:c r="M166" s="234" t="n"/>
      <x:c r="N166" s="234" t="n"/>
      <x:c r="O166" s="234" t="n"/>
      <x:c r="P166" s="234" t="n"/>
      <x:c r="Q166" s="234" t="inlineStr">
        <x:is>
          <x:t xml:space="preserve">left side of page</x:t>
        </x:is>
      </x:c>
      <x:c r="R166" s="234" t="n"/>
      <x:c r="S166" s="234" t="n"/>
      <x:c r="T166" s="234" t="n"/>
      <x:c r="U166" s="234" t="n"/>
      <x:c r="V166" s="234" t="n"/>
      <x:c r="W166" s="234" t="n"/>
      <x:c r="X166" s="234" t="inlineStr">
        <x:is>
          <x:t xml:space="preserve">left margin beside glyph block</x:t>
        </x:is>
      </x:c>
      <x:c r="Y166" s="234" t="n"/>
      <x:c r="Z166" s="234" t="inlineStr">
        <x:is>
          <x:t xml:space="preserve">medium</x:t>
        </x:is>
      </x:c>
      <x:c r="AA166" s="234" t="inlineStr">
        <x:is>
          <x:t xml:space="preserve">CSV_RECORDED_NOT_IMAGE_VERIFIED</x:t>
        </x:is>
      </x:c>
      <x:c r="AB166" s="234" t="inlineStr">
        <x:is>
          <x:t xml:space="preserve">https://github.com/mrroot01011001/Cicada-3301-/tree/main/liber-primus/pages</x:t>
        </x:is>
      </x:c>
      <x:c r="AC166" s="234" t="n"/>
      <x:c r="AD166" s="234" t="inlineStr">
        <x:is>
          <x:t xml:space="preserve">No corresponding annotated image is present in the annotated-pages repository; retain source observation without adding unverified geometry.</x:t>
        </x:is>
      </x:c>
      <x:c r="AE166" s="234" t="n"/>
      <x:c r="AF166" s="234" t="n"/>
      <x:c r="AG166" s="234" t="n"/>
      <x:c r="AH166" s="234" t="inlineStr">
        <x:is>
          <x:t xml:space="preserve">single_page</x:t>
        </x:is>
      </x:c>
      <x:c r="AI166" s="234" t="inlineStr">
        <x:is>
          <x:t xml:space="preserve">70.JPG</x:t>
        </x:is>
      </x:c>
      <x:c r="AJ166" s="234" t="inlineStr">
        <x:is>
          <x:t xml:space="preserve">CSV-D038</x:t>
        </x:is>
      </x:c>
      <x:c r="AK166" s="234" t="n">
        <x:v>38</x:v>
      </x:c>
      <x:c r="AL166" s="234" t="inlineStr">
        <x:is>
          <x:t xml:space="preserve">SPIRALS AND PETALS - CICADA</x:t>
        </x:is>
      </x:c>
      <x:c r="AM166" s="234" t="inlineStr">
        <x:is>
          <x:t xml:space="preserve">0</x:t>
        </x:is>
      </x:c>
      <x:c r="AN166" s="234" t="inlineStr">
        <x:is>
          <x:t xml:space="preserve">8</x:t>
        </x:is>
      </x:c>
      <x:c r="AO166" s="234" t="inlineStr">
        <x:is>
          <x:t xml:space="preserve">0</x:t>
        </x:is>
      </x:c>
      <x:c r="AP166" s="234" t="inlineStr">
        <x:is>
          <x:t xml:space="preserve">LEFT AND RIGHT OF THE PAGE  - CICADA SITS AT BOTTOM OF PAGE</x:t>
        </x:is>
      </x:c>
      <x:c r="AQ166" s="234" t="inlineStr">
        <x:is>
          <x:t xml:space="preserve">0</x:t>
        </x:is>
      </x:c>
      <x:c r="AR166" s="234" t="inlineStr">
        <x:is>
          <x:t xml:space="preserve">SPIRAL AND PETS ON THE RIGHT SIDE HAVE 5 FULL BLACK PETALS BUT ON THE LEFT SIDE THERE ARE 2 WHITE AND 3 BLACK  - CICADA SITS AT BOTTOM OF PAGE</x:t>
        </x:is>
      </x:c>
      <x:c r="AS166" s="234" t="n"/>
      <x:c r="AT166" s="234" t="inlineStr">
        <x:is>
          <x:t xml:space="preserve">POPULATED_SOURCE_RECORD</x:t>
        </x:is>
      </x:c>
      <x:c r="AU166" s="234" t="inlineStr">
        <x:is>
          <x:t xml:space="preserve">NO_ANNOTATED_IMAGE_IN_ANNOTATED_REPOSITORY</x:t>
        </x:is>
      </x:c>
    </x:row>
    <x:row r="167" s="232" customFormat="1" ht="32" customHeight="1">
      <x:c r="A167" s="234" t="n">
        <x:v>70</x:v>
      </x:c>
      <x:c r="B167" s="234" t="n"/>
      <x:c r="C167" s="234" t="inlineStr">
        <x:is>
          <x:t xml:space="preserve">LP070-F94</x:t>
        </x:is>
      </x:c>
      <x:c r="D167" s="234" t="inlineStr">
        <x:is>
          <x:t xml:space="preserve">CSV source spreadsheet; feature-level representation</x:t>
        </x:is>
      </x:c>
      <x:c r="E167" s="234" t="n"/>
      <x:c r="F167" s="234" t="n"/>
      <x:c r="G167" s="234" t="inlineStr">
        <x:is>
          <x:t xml:space="preserve">right-side plant/root/spiral ornament</x:t>
        </x:is>
      </x:c>
      <x:c r="H167" s="234" t="inlineStr">
        <x:is>
          <x:t xml:space="preserve">Source CSV lists paired spiral/petal artwork on both sides. This row records the right-side motif as a separate spatial feature; detailed branches, roots, and endpoints have not been measured.</x:t>
        </x:is>
      </x:c>
      <x:c r="I167" s="234" t="n"/>
      <x:c r="J167" s="234" t="n"/>
      <x:c r="K167" s="234" t="n"/>
      <x:c r="L167" s="234" t="n"/>
      <x:c r="M167" s="234" t="n"/>
      <x:c r="N167" s="234" t="n"/>
      <x:c r="O167" s="234" t="n"/>
      <x:c r="P167" s="234" t="n"/>
      <x:c r="Q167" s="234" t="inlineStr">
        <x:is>
          <x:t xml:space="preserve">right side of page</x:t>
        </x:is>
      </x:c>
      <x:c r="R167" s="234" t="n"/>
      <x:c r="S167" s="234" t="n"/>
      <x:c r="T167" s="234" t="n"/>
      <x:c r="U167" s="234" t="n"/>
      <x:c r="V167" s="234" t="n"/>
      <x:c r="W167" s="234" t="n"/>
      <x:c r="X167" s="234" t="inlineStr">
        <x:is>
          <x:t xml:space="preserve">right margin beside glyph block</x:t>
        </x:is>
      </x:c>
      <x:c r="Y167" s="234" t="n"/>
      <x:c r="Z167" s="234" t="inlineStr">
        <x:is>
          <x:t xml:space="preserve">medium</x:t>
        </x:is>
      </x:c>
      <x:c r="AA167" s="234" t="inlineStr">
        <x:is>
          <x:t xml:space="preserve">CSV_RECORDED_NOT_IMAGE_VERIFIED</x:t>
        </x:is>
      </x:c>
      <x:c r="AB167" s="234" t="inlineStr">
        <x:is>
          <x:t xml:space="preserve">https://github.com/mrroot01011001/Cicada-3301-/tree/main/liber-primus/pages</x:t>
        </x:is>
      </x:c>
      <x:c r="AC167" s="234" t="n"/>
      <x:c r="AD167" s="234" t="inlineStr">
        <x:is>
          <x:t xml:space="preserve">No corresponding annotated image is present in the annotated-pages repository; retain source observation without adding unverified geometry.</x:t>
        </x:is>
      </x:c>
      <x:c r="AE167" s="234" t="n"/>
      <x:c r="AF167" s="234" t="n"/>
      <x:c r="AG167" s="234" t="n"/>
      <x:c r="AH167" s="234" t="inlineStr">
        <x:is>
          <x:t xml:space="preserve">single_page</x:t>
        </x:is>
      </x:c>
      <x:c r="AI167" s="234" t="inlineStr">
        <x:is>
          <x:t xml:space="preserve">70.JPG</x:t>
        </x:is>
      </x:c>
      <x:c r="AJ167" s="234" t="inlineStr">
        <x:is>
          <x:t xml:space="preserve">CSV-D038</x:t>
        </x:is>
      </x:c>
      <x:c r="AK167" s="234" t="n">
        <x:v>38</x:v>
      </x:c>
      <x:c r="AL167" s="234" t="inlineStr">
        <x:is>
          <x:t xml:space="preserve">SPIRALS AND PETALS - CICADA</x:t>
        </x:is>
      </x:c>
      <x:c r="AM167" s="234" t="inlineStr">
        <x:is>
          <x:t xml:space="preserve">0</x:t>
        </x:is>
      </x:c>
      <x:c r="AN167" s="234" t="inlineStr">
        <x:is>
          <x:t xml:space="preserve">8</x:t>
        </x:is>
      </x:c>
      <x:c r="AO167" s="234" t="inlineStr">
        <x:is>
          <x:t xml:space="preserve">0</x:t>
        </x:is>
      </x:c>
      <x:c r="AP167" s="234" t="inlineStr">
        <x:is>
          <x:t xml:space="preserve">LEFT AND RIGHT OF THE PAGE  - CICADA SITS AT BOTTOM OF PAGE</x:t>
        </x:is>
      </x:c>
      <x:c r="AQ167" s="234" t="inlineStr">
        <x:is>
          <x:t xml:space="preserve">0</x:t>
        </x:is>
      </x:c>
      <x:c r="AR167" s="234" t="inlineStr">
        <x:is>
          <x:t xml:space="preserve">SPIRAL AND PETS ON THE RIGHT SIDE HAVE 5 FULL BLACK PETALS BUT ON THE LEFT SIDE THERE ARE 2 WHITE AND 3 BLACK  - CICADA SITS AT BOTTOM OF PAGE</x:t>
        </x:is>
      </x:c>
      <x:c r="AS167" s="234" t="n"/>
      <x:c r="AT167" s="234" t="inlineStr">
        <x:is>
          <x:t xml:space="preserve">POPULATED_SOURCE_RECORD</x:t>
        </x:is>
      </x:c>
      <x:c r="AU167" s="234" t="inlineStr">
        <x:is>
          <x:t xml:space="preserve">NO_ANNOTATED_IMAGE_IN_ANNOTATED_REPOSITORY</x:t>
        </x:is>
      </x:c>
    </x:row>
    <x:row r="168" s="232" customFormat="1" ht="32" customHeight="1">
      <x:c r="A168" s="234" t="n">
        <x:v>70</x:v>
      </x:c>
      <x:c r="B168" s="234" t="n"/>
      <x:c r="C168" s="234" t="inlineStr">
        <x:is>
          <x:t xml:space="preserve">LP070-F95</x:t>
        </x:is>
      </x:c>
      <x:c r="D168" s="234" t="inlineStr">
        <x:is>
          <x:t xml:space="preserve">CSV source spreadsheet; feature-level representation</x:t>
        </x:is>
      </x:c>
      <x:c r="E168" s="234" t="n"/>
      <x:c r="F168" s="234" t="n"/>
      <x:c r="G168" s="234" t="inlineStr">
        <x:is>
          <x:t xml:space="preserve">external dot count (page aggregate; cluster positions unknown)</x:t>
        </x:is>
      </x:c>
      <x:c r="H168" s="234" t="inlineStr">
        <x:is>
          <x:t xml:space="preserve">Source CSV records eight external dots for this page's paired spiral/petal decoration; individual cluster positions are not separately recorded in the source row.</x:t>
        </x:is>
      </x:c>
      <x:c r="I168" s="234" t="n">
        <x:v>8</x:v>
      </x:c>
      <x:c r="J168" s="234" t="n"/>
      <x:c r="K168" s="234" t="n">
        <x:v>8</x:v>
      </x:c>
      <x:c r="L168" s="234" t="n"/>
      <x:c r="M168" s="234" t="n"/>
      <x:c r="N168" s="234" t="n"/>
      <x:c r="O168" s="234" t="n"/>
      <x:c r="P168" s="234" t="n"/>
      <x:c r="Q168" s="234" t="inlineStr">
        <x:is>
          <x:t xml:space="preserve">left and right of page</x:t>
        </x:is>
      </x:c>
      <x:c r="R168" s="234" t="n"/>
      <x:c r="S168" s="234" t="n"/>
      <x:c r="T168" s="234" t="n"/>
      <x:c r="U168" s="234" t="n"/>
      <x:c r="V168" s="234" t="n"/>
      <x:c r="W168" s="234" t="n"/>
      <x:c r="X168" s="234" t="inlineStr">
        <x:is>
          <x:t xml:space="preserve">Paired spiral/petal decoration; cluster allocation unknown</x:t>
        </x:is>
      </x:c>
      <x:c r="Y168" s="234" t="n"/>
      <x:c r="Z168" s="234" t="inlineStr">
        <x:is>
          <x:t xml:space="preserve">medium</x:t>
        </x:is>
      </x:c>
      <x:c r="AA168" s="234" t="inlineStr">
        <x:is>
          <x:t xml:space="preserve">CSV_RECORDED_NOT_IMAGE_VERIFIED</x:t>
        </x:is>
      </x:c>
      <x:c r="AB168" s="234" t="inlineStr">
        <x:is>
          <x:t xml:space="preserve">https://github.com/mrroot01011001/Cicada-3301-/tree/main/liber-primus/pages</x:t>
        </x:is>
      </x:c>
      <x:c r="AC168" s="234" t="n"/>
      <x:c r="AD168" s="234" t="inlineStr">
        <x:is>
          <x:t xml:space="preserve">Do not infer an exact left/right split from this aggregate; pages 57 and 68 have separate annotated dot-cluster records.</x:t>
        </x:is>
      </x:c>
      <x:c r="AE168" s="234" t="n"/>
      <x:c r="AF168" s="234" t="n"/>
      <x:c r="AG168" s="234" t="n"/>
      <x:c r="AH168" s="234" t="inlineStr">
        <x:is>
          <x:t xml:space="preserve">single_page</x:t>
        </x:is>
      </x:c>
      <x:c r="AI168" s="234" t="inlineStr">
        <x:is>
          <x:t xml:space="preserve">70.JPG</x:t>
        </x:is>
      </x:c>
      <x:c r="AJ168" s="234" t="inlineStr">
        <x:is>
          <x:t xml:space="preserve">CSV-D038</x:t>
        </x:is>
      </x:c>
      <x:c r="AK168" s="234" t="n">
        <x:v>38</x:v>
      </x:c>
      <x:c r="AL168" s="234" t="inlineStr">
        <x:is>
          <x:t xml:space="preserve">SPIRALS AND PETALS - CICADA</x:t>
        </x:is>
      </x:c>
      <x:c r="AM168" s="234" t="inlineStr">
        <x:is>
          <x:t xml:space="preserve">0</x:t>
        </x:is>
      </x:c>
      <x:c r="AN168" s="234" t="inlineStr">
        <x:is>
          <x:t xml:space="preserve">8</x:t>
        </x:is>
      </x:c>
      <x:c r="AO168" s="234" t="inlineStr">
        <x:is>
          <x:t xml:space="preserve">0</x:t>
        </x:is>
      </x:c>
      <x:c r="AP168" s="234" t="inlineStr">
        <x:is>
          <x:t xml:space="preserve">LEFT AND RIGHT OF THE PAGE  - CICADA SITS AT BOTTOM OF PAGE</x:t>
        </x:is>
      </x:c>
      <x:c r="AQ168" s="234" t="inlineStr">
        <x:is>
          <x:t xml:space="preserve">0</x:t>
        </x:is>
      </x:c>
      <x:c r="AR168" s="234" t="inlineStr">
        <x:is>
          <x:t xml:space="preserve">SPIRAL AND PETS ON THE RIGHT SIDE HAVE 5 FULL BLACK PETALS BUT ON THE LEFT SIDE THERE ARE 2 WHITE AND 3 BLACK  - CICADA SITS AT BOTTOM OF PAGE</x:t>
        </x:is>
      </x:c>
      <x:c r="AS168" s="234" t="n"/>
      <x:c r="AT168" s="234" t="inlineStr">
        <x:is>
          <x:t xml:space="preserve">POPULATED_SOURCE_RECORD</x:t>
        </x:is>
      </x:c>
      <x:c r="AU168" s="234" t="inlineStr">
        <x:is>
          <x:t xml:space="preserve">NO_ANNOTATED_IMAGE_IN_ANNOTATED_REPOSITORY</x:t>
        </x:is>
      </x:c>
    </x:row>
    <x:row r="169" s="232" customFormat="1" ht="32" customHeight="1">
      <x:c r="A169" s="234" t="n">
        <x:v>70</x:v>
      </x:c>
      <x:c r="B169" s="234" t="n"/>
      <x:c r="C169" s="234" t="inlineStr">
        <x:is>
          <x:t xml:space="preserve">LP070-F96</x:t>
        </x:is>
      </x:c>
      <x:c r="D169" s="234" t="inlineStr">
        <x:is>
          <x:t xml:space="preserve">CSV source spreadsheet; feature-level representation</x:t>
        </x:is>
      </x:c>
      <x:c r="E169" s="234" t="n"/>
      <x:c r="F169" s="234" t="n"/>
      <x:c r="G169" s="234" t="inlineStr">
        <x:is>
          <x:t xml:space="preserve">cicada illustration</x:t>
        </x:is>
      </x:c>
      <x:c r="H169" s="234" t="inlineStr">
        <x:is>
          <x:t xml:space="preserve">Source CSV notes that a cicada sits at the bottom of the page.</x:t>
        </x:is>
      </x:c>
      <x:c r="I169" s="234" t="n"/>
      <x:c r="J169" s="234" t="n"/>
      <x:c r="K169" s="234" t="n"/>
      <x:c r="L169" s="234" t="n"/>
      <x:c r="M169" s="234" t="n"/>
      <x:c r="N169" s="234" t="n"/>
      <x:c r="O169" s="234" t="n"/>
      <x:c r="P169" s="234" t="n"/>
      <x:c r="Q169" s="234" t="n"/>
      <x:c r="R169" s="234" t="n"/>
      <x:c r="S169" s="234" t="n"/>
      <x:c r="T169" s="234" t="n"/>
      <x:c r="U169" s="234" t="n"/>
      <x:c r="V169" s="234" t="n"/>
      <x:c r="W169" s="234" t="n"/>
      <x:c r="X169" s="234" t="inlineStr">
        <x:is>
          <x:t xml:space="preserve">bottom of page below text</x:t>
        </x:is>
      </x:c>
      <x:c r="Y169" s="234" t="n"/>
      <x:c r="Z169" s="234" t="inlineStr">
        <x:is>
          <x:t xml:space="preserve">medium</x:t>
        </x:is>
      </x:c>
      <x:c r="AA169" s="234" t="inlineStr">
        <x:is>
          <x:t xml:space="preserve">CSV_RECORDED_NOT_IMAGE_VERIFIED</x:t>
        </x:is>
      </x:c>
      <x:c r="AB169" s="234" t="inlineStr">
        <x:is>
          <x:t xml:space="preserve">https://github.com/mrroot01011001/Cicada-3301-/tree/main/liber-primus/pages</x:t>
        </x:is>
      </x:c>
      <x:c r="AC169" s="234" t="n"/>
      <x:c r="AD169" s="234" t="inlineStr">
        <x:is>
          <x:t xml:space="preserve">Component separated from the paired spiral/petal motif because the source specifies a distinct lower-page cicada.</x:t>
        </x:is>
      </x:c>
      <x:c r="AE169" s="234" t="n"/>
      <x:c r="AF169" s="234" t="n"/>
      <x:c r="AG169" s="234" t="n"/>
      <x:c r="AH169" s="234" t="inlineStr">
        <x:is>
          <x:t xml:space="preserve">single_page</x:t>
        </x:is>
      </x:c>
      <x:c r="AI169" s="234" t="inlineStr">
        <x:is>
          <x:t xml:space="preserve">70.JPG</x:t>
        </x:is>
      </x:c>
      <x:c r="AJ169" s="234" t="inlineStr">
        <x:is>
          <x:t xml:space="preserve">CSV-D038</x:t>
        </x:is>
      </x:c>
      <x:c r="AK169" s="234" t="n">
        <x:v>38</x:v>
      </x:c>
      <x:c r="AL169" s="234" t="inlineStr">
        <x:is>
          <x:t xml:space="preserve">SPIRALS AND PETALS - CICADA</x:t>
        </x:is>
      </x:c>
      <x:c r="AM169" s="234" t="inlineStr">
        <x:is>
          <x:t xml:space="preserve">0</x:t>
        </x:is>
      </x:c>
      <x:c r="AN169" s="234" t="inlineStr">
        <x:is>
          <x:t xml:space="preserve">8</x:t>
        </x:is>
      </x:c>
      <x:c r="AO169" s="234" t="inlineStr">
        <x:is>
          <x:t xml:space="preserve">0</x:t>
        </x:is>
      </x:c>
      <x:c r="AP169" s="234" t="inlineStr">
        <x:is>
          <x:t xml:space="preserve">LEFT AND RIGHT OF THE PAGE  - CICADA SITS AT BOTTOM OF PAGE</x:t>
        </x:is>
      </x:c>
      <x:c r="AQ169" s="234" t="inlineStr">
        <x:is>
          <x:t xml:space="preserve">0</x:t>
        </x:is>
      </x:c>
      <x:c r="AR169" s="234" t="inlineStr">
        <x:is>
          <x:t xml:space="preserve">SPIRAL AND PETS ON THE RIGHT SIDE HAVE 5 FULL BLACK PETALS BUT ON THE LEFT SIDE THERE ARE 2 WHITE AND 3 BLACK  - CICADA SITS AT BOTTOM OF PAGE</x:t>
        </x:is>
      </x:c>
      <x:c r="AS169" s="234" t="n"/>
      <x:c r="AT169" s="234" t="inlineStr">
        <x:is>
          <x:t xml:space="preserve">POPULATED_SOURCE_RECORD</x:t>
        </x:is>
      </x:c>
      <x:c r="AU169" s="234" t="inlineStr">
        <x:is>
          <x:t xml:space="preserve">NO_ANNOTATED_IMAGE_IN_ANNOTATED_REPOSITORY</x:t>
        </x:is>
      </x:c>
    </x:row>
    <x:row r="170" s="232" customFormat="1" ht="32" customHeight="1">
      <x:c r="A170" s="234" t="n">
        <x:v>71</x:v>
      </x:c>
      <x:c r="B170" s="234" t="n"/>
      <x:c r="C170" s="234" t="inlineStr">
        <x:is>
          <x:t xml:space="preserve">LP071-F90</x:t>
        </x:is>
      </x:c>
      <x:c r="D170" s="234" t="inlineStr">
        <x:is>
          <x:t xml:space="preserve">CSV source spreadsheet; feature-level representation</x:t>
        </x:is>
      </x:c>
      <x:c r="E170" s="234" t="n"/>
      <x:c r="F170" s="234" t="n"/>
      <x:c r="G170" s="234" t="inlineStr">
        <x:is>
          <x:t xml:space="preserve">paired spiral/petal motif (page-level)</x:t>
        </x:is>
      </x:c>
      <x:c r="H170" s="234" t="inlineStr">
        <x:is>
          <x:t xml:space="preserve">Source CSV visual-object label: SPIRALS AND PETALS. Source note: SPIRAL AND PETS ON THE RIGHT SIDE HAVE 5 FULL BLACK PETALS BUT ON THE LEFT SIDE THERE ARE 2 WHITE AND 3 BLACK</x:t>
        </x:is>
      </x:c>
      <x:c r="I170" s="234" t="n"/>
      <x:c r="J170" s="234" t="n"/>
      <x:c r="K170" s="234" t="n"/>
      <x:c r="L170" s="234" t="n"/>
      <x:c r="M170" s="234" t="n"/>
      <x:c r="N170" s="234" t="n"/>
      <x:c r="O170" s="234" t="n"/>
      <x:c r="P170" s="234" t="n"/>
      <x:c r="Q170" s="234" t="inlineStr">
        <x:is>
          <x:t xml:space="preserve">left and right of page</x:t>
        </x:is>
      </x:c>
      <x:c r="R170" s="234" t="n"/>
      <x:c r="S170" s="234" t="n"/>
      <x:c r="T170" s="234" t="n"/>
      <x:c r="U170" s="234" t="n"/>
      <x:c r="V170" s="234" t="n"/>
      <x:c r="W170" s="234" t="n"/>
      <x:c r="X170" s="234" t="inlineStr">
        <x:is>
          <x:t xml:space="preserve">Both margins beside central text; page-level motif summary</x:t>
        </x:is>
      </x:c>
      <x:c r="Y170" s="234" t="n"/>
      <x:c r="Z170" s="234" t="inlineStr">
        <x:is>
          <x:t xml:space="preserve">medium</x:t>
        </x:is>
      </x:c>
      <x:c r="AA170" s="234" t="inlineStr">
        <x:is>
          <x:t xml:space="preserve">CSV_RECORDED_NOT_IMAGE_VERIFIED</x:t>
        </x:is>
      </x:c>
      <x:c r="AB170" s="234" t="inlineStr">
        <x:is>
          <x:t xml:space="preserve">https://github.com/mrroot01011001/Cicada-3301-/tree/main/liber-primus/pages</x:t>
        </x:is>
      </x:c>
      <x:c r="AC170" s="234" t="n"/>
      <x:c r="AD170" s="234" t="inlineStr">
        <x:is>
          <x:t xml:space="preserve">Composite motif row retained alongside left/right component rows. Page-level counts in source fields are context, not counts to sum across every feature row.</x:t>
        </x:is>
      </x:c>
      <x:c r="AE170" s="234" t="n"/>
      <x:c r="AF170" s="234" t="n"/>
      <x:c r="AG170" s="234" t="n"/>
      <x:c r="AH170" s="234" t="inlineStr">
        <x:is>
          <x:t xml:space="preserve">single_page</x:t>
        </x:is>
      </x:c>
      <x:c r="AI170" s="234" t="inlineStr">
        <x:is>
          <x:t xml:space="preserve">71.JPG</x:t>
        </x:is>
      </x:c>
      <x:c r="AJ170" s="234" t="inlineStr">
        <x:is>
          <x:t xml:space="preserve">CSV-D039</x:t>
        </x:is>
      </x:c>
      <x:c r="AK170" s="234" t="n">
        <x:v>39</x:v>
      </x:c>
      <x:c r="AL170" s="234" t="inlineStr">
        <x:is>
          <x:t xml:space="preserve">SPIRALS AND PETALS</x:t>
        </x:is>
      </x:c>
      <x:c r="AM170" s="234" t="inlineStr">
        <x:is>
          <x:t xml:space="preserve">0</x:t>
        </x:is>
      </x:c>
      <x:c r="AN170" s="234" t="inlineStr">
        <x:is>
          <x:t xml:space="preserve">8</x:t>
        </x:is>
      </x:c>
      <x:c r="AO170" s="234" t="inlineStr">
        <x:is>
          <x:t xml:space="preserve">0</x:t>
        </x:is>
      </x:c>
      <x:c r="AP170" s="234" t="inlineStr">
        <x:is>
          <x:t xml:space="preserve">LEFT AND RIGHT OF THE PAGE</x:t>
        </x:is>
      </x:c>
      <x:c r="AQ170" s="234" t="inlineStr">
        <x:is>
          <x:t xml:space="preserve">0</x:t>
        </x:is>
      </x:c>
      <x:c r="AR170" s="234" t="inlineStr">
        <x:is>
          <x:t xml:space="preserve">SPIRAL AND PETS ON THE RIGHT SIDE HAVE 5 FULL BLACK PETALS BUT ON THE LEFT SIDE THERE ARE 2 WHITE AND 3 BLACK</x:t>
        </x:is>
      </x:c>
      <x:c r="AS170" s="234" t="n"/>
      <x:c r="AT170" s="234" t="inlineStr">
        <x:is>
          <x:t xml:space="preserve">POPULATED_SOURCE_RECORD</x:t>
        </x:is>
      </x:c>
      <x:c r="AU170" s="234" t="inlineStr">
        <x:is>
          <x:t xml:space="preserve">NO_ANNOTATED_IMAGE_IN_ANNOTATED_REPOSITORY</x:t>
        </x:is>
      </x:c>
    </x:row>
    <x:row r="171" s="232" customFormat="1" ht="32" customHeight="1">
      <x:c r="A171" s="234" t="n">
        <x:v>71</x:v>
      </x:c>
      <x:c r="B171" s="234" t="n"/>
      <x:c r="C171" s="234" t="inlineStr">
        <x:is>
          <x:t xml:space="preserve">LP071-F91</x:t>
        </x:is>
      </x:c>
      <x:c r="D171" s="234" t="inlineStr">
        <x:is>
          <x:t xml:space="preserve">CSV source spreadsheet; feature-level representation</x:t>
        </x:is>
      </x:c>
      <x:c r="E171" s="234" t="n"/>
      <x:c r="F171" s="234" t="n"/>
      <x:c r="G171" s="234" t="inlineStr">
        <x:is>
          <x:t xml:space="preserve">left-side petal group</x:t>
        </x:is>
      </x:c>
      <x:c r="H171" s="234" t="inlineStr">
        <x:is>
          <x:t xml:space="preserve">Source CSV reports two white/unfilled petals and three black/filled petals on the left-side spiral/petal motif.</x:t>
        </x:is>
      </x:c>
      <x:c r="I171" s="234" t="n"/>
      <x:c r="J171" s="234" t="n"/>
      <x:c r="K171" s="234" t="n"/>
      <x:c r="L171" s="234" t="n"/>
      <x:c r="M171" s="234" t="n"/>
      <x:c r="N171" s="234" t="n"/>
      <x:c r="O171" s="234" t="n"/>
      <x:c r="P171" s="234" t="n"/>
      <x:c r="Q171" s="234" t="inlineStr">
        <x:is>
          <x:t xml:space="preserve">left side of page</x:t>
        </x:is>
      </x:c>
      <x:c r="R171" s="234" t="n"/>
      <x:c r="S171" s="234" t="n"/>
      <x:c r="T171" s="234" t="n"/>
      <x:c r="U171" s="234" t="n"/>
      <x:c r="V171" s="234" t="n"/>
      <x:c r="W171" s="234" t="n"/>
      <x:c r="X171" s="234" t="inlineStr">
        <x:is>
          <x:t xml:space="preserve">left spiral/petal decoration</x:t>
        </x:is>
      </x:c>
      <x:c r="Y171" s="234" t="n"/>
      <x:c r="Z171" s="234" t="inlineStr">
        <x:is>
          <x:t xml:space="preserve">medium</x:t>
        </x:is>
      </x:c>
      <x:c r="AA171" s="234" t="inlineStr">
        <x:is>
          <x:t xml:space="preserve">CSV_RECORDED_NOT_IMAGE_VERIFIED</x:t>
        </x:is>
      </x:c>
      <x:c r="AB171" s="234" t="inlineStr">
        <x:is>
          <x:t xml:space="preserve">https://github.com/mrroot01011001/Cicada-3301-/tree/main/liber-primus/pages</x:t>
        </x:is>
      </x:c>
      <x:c r="AC171" s="234" t="n"/>
      <x:c r="AD171" s="234" t="inlineStr">
        <x:is>
          <x:t xml:space="preserve">Petal counts and filled/unfilled distinctions are preserved from the source notes, not independently counted from image coordinates.</x:t>
        </x:is>
      </x:c>
      <x:c r="AE171" s="234" t="n">
        <x:v>5</x:v>
      </x:c>
      <x:c r="AF171" s="234" t="n">
        <x:v>3</x:v>
      </x:c>
      <x:c r="AG171" s="234" t="n">
        <x:v>2</x:v>
      </x:c>
      <x:c r="AH171" s="234" t="inlineStr">
        <x:is>
          <x:t xml:space="preserve">single_page</x:t>
        </x:is>
      </x:c>
      <x:c r="AI171" s="234" t="inlineStr">
        <x:is>
          <x:t xml:space="preserve">71.JPG</x:t>
        </x:is>
      </x:c>
      <x:c r="AJ171" s="234" t="inlineStr">
        <x:is>
          <x:t xml:space="preserve">CSV-D039</x:t>
        </x:is>
      </x:c>
      <x:c r="AK171" s="234" t="n">
        <x:v>39</x:v>
      </x:c>
      <x:c r="AL171" s="234" t="inlineStr">
        <x:is>
          <x:t xml:space="preserve">SPIRALS AND PETALS</x:t>
        </x:is>
      </x:c>
      <x:c r="AM171" s="234" t="inlineStr">
        <x:is>
          <x:t xml:space="preserve">0</x:t>
        </x:is>
      </x:c>
      <x:c r="AN171" s="234" t="inlineStr">
        <x:is>
          <x:t xml:space="preserve">8</x:t>
        </x:is>
      </x:c>
      <x:c r="AO171" s="234" t="inlineStr">
        <x:is>
          <x:t xml:space="preserve">0</x:t>
        </x:is>
      </x:c>
      <x:c r="AP171" s="234" t="inlineStr">
        <x:is>
          <x:t xml:space="preserve">LEFT AND RIGHT OF THE PAGE</x:t>
        </x:is>
      </x:c>
      <x:c r="AQ171" s="234" t="inlineStr">
        <x:is>
          <x:t xml:space="preserve">0</x:t>
        </x:is>
      </x:c>
      <x:c r="AR171" s="234" t="inlineStr">
        <x:is>
          <x:t xml:space="preserve">SPIRAL AND PETS ON THE RIGHT SIDE HAVE 5 FULL BLACK PETALS BUT ON THE LEFT SIDE THERE ARE 2 WHITE AND 3 BLACK</x:t>
        </x:is>
      </x:c>
      <x:c r="AS171" s="234" t="n"/>
      <x:c r="AT171" s="234" t="inlineStr">
        <x:is>
          <x:t xml:space="preserve">POPULATED_SOURCE_RECORD</x:t>
        </x:is>
      </x:c>
      <x:c r="AU171" s="234" t="inlineStr">
        <x:is>
          <x:t xml:space="preserve">NO_ANNOTATED_IMAGE_IN_ANNOTATED_REPOSITORY</x:t>
        </x:is>
      </x:c>
    </x:row>
    <x:row r="172" s="232" customFormat="1" ht="32" customHeight="1">
      <x:c r="A172" s="234" t="n">
        <x:v>71</x:v>
      </x:c>
      <x:c r="B172" s="234" t="n"/>
      <x:c r="C172" s="234" t="inlineStr">
        <x:is>
          <x:t xml:space="preserve">LP071-F92</x:t>
        </x:is>
      </x:c>
      <x:c r="D172" s="234" t="inlineStr">
        <x:is>
          <x:t xml:space="preserve">CSV source spreadsheet; feature-level representation</x:t>
        </x:is>
      </x:c>
      <x:c r="E172" s="234" t="n"/>
      <x:c r="F172" s="234" t="n"/>
      <x:c r="G172" s="234" t="inlineStr">
        <x:is>
          <x:t xml:space="preserve">right-side petal group</x:t>
        </x:is>
      </x:c>
      <x:c r="H172" s="234" t="inlineStr">
        <x:is>
          <x:t xml:space="preserve">Source CSV reports five fully black/filled petals on the right-side spiral/petal motif.</x:t>
        </x:is>
      </x:c>
      <x:c r="I172" s="234" t="n"/>
      <x:c r="J172" s="234" t="n"/>
      <x:c r="K172" s="234" t="n"/>
      <x:c r="L172" s="234" t="n"/>
      <x:c r="M172" s="234" t="n"/>
      <x:c r="N172" s="234" t="n"/>
      <x:c r="O172" s="234" t="n"/>
      <x:c r="P172" s="234" t="n"/>
      <x:c r="Q172" s="234" t="inlineStr">
        <x:is>
          <x:t xml:space="preserve">right side of page</x:t>
        </x:is>
      </x:c>
      <x:c r="R172" s="234" t="n"/>
      <x:c r="S172" s="234" t="n"/>
      <x:c r="T172" s="234" t="n"/>
      <x:c r="U172" s="234" t="n"/>
      <x:c r="V172" s="234" t="n"/>
      <x:c r="W172" s="234" t="n"/>
      <x:c r="X172" s="234" t="inlineStr">
        <x:is>
          <x:t xml:space="preserve">right spiral/petal decoration</x:t>
        </x:is>
      </x:c>
      <x:c r="Y172" s="234" t="n"/>
      <x:c r="Z172" s="234" t="inlineStr">
        <x:is>
          <x:t xml:space="preserve">medium</x:t>
        </x:is>
      </x:c>
      <x:c r="AA172" s="234" t="inlineStr">
        <x:is>
          <x:t xml:space="preserve">CSV_RECORDED_NOT_IMAGE_VERIFIED</x:t>
        </x:is>
      </x:c>
      <x:c r="AB172" s="234" t="inlineStr">
        <x:is>
          <x:t xml:space="preserve">https://github.com/mrroot01011001/Cicada-3301-/tree/main/liber-primus/pages</x:t>
        </x:is>
      </x:c>
      <x:c r="AC172" s="234" t="n"/>
      <x:c r="AD172" s="234" t="inlineStr">
        <x:is>
          <x:t xml:space="preserve">The zero unfilled petals is implied by the source's '5 full black petals' description; verify visually before treating this as a measured count.</x:t>
        </x:is>
      </x:c>
      <x:c r="AE172" s="234" t="n">
        <x:v>5</x:v>
      </x:c>
      <x:c r="AF172" s="234" t="n">
        <x:v>5</x:v>
      </x:c>
      <x:c r="AG172" s="234" t="n">
        <x:v>0</x:v>
      </x:c>
      <x:c r="AH172" s="234" t="inlineStr">
        <x:is>
          <x:t xml:space="preserve">single_page</x:t>
        </x:is>
      </x:c>
      <x:c r="AI172" s="234" t="inlineStr">
        <x:is>
          <x:t xml:space="preserve">71.JPG</x:t>
        </x:is>
      </x:c>
      <x:c r="AJ172" s="234" t="inlineStr">
        <x:is>
          <x:t xml:space="preserve">CSV-D039</x:t>
        </x:is>
      </x:c>
      <x:c r="AK172" s="234" t="n">
        <x:v>39</x:v>
      </x:c>
      <x:c r="AL172" s="234" t="inlineStr">
        <x:is>
          <x:t xml:space="preserve">SPIRALS AND PETALS</x:t>
        </x:is>
      </x:c>
      <x:c r="AM172" s="234" t="inlineStr">
        <x:is>
          <x:t xml:space="preserve">0</x:t>
        </x:is>
      </x:c>
      <x:c r="AN172" s="234" t="inlineStr">
        <x:is>
          <x:t xml:space="preserve">8</x:t>
        </x:is>
      </x:c>
      <x:c r="AO172" s="234" t="inlineStr">
        <x:is>
          <x:t xml:space="preserve">0</x:t>
        </x:is>
      </x:c>
      <x:c r="AP172" s="234" t="inlineStr">
        <x:is>
          <x:t xml:space="preserve">LEFT AND RIGHT OF THE PAGE</x:t>
        </x:is>
      </x:c>
      <x:c r="AQ172" s="234" t="inlineStr">
        <x:is>
          <x:t xml:space="preserve">0</x:t>
        </x:is>
      </x:c>
      <x:c r="AR172" s="234" t="inlineStr">
        <x:is>
          <x:t xml:space="preserve">SPIRAL AND PETS ON THE RIGHT SIDE HAVE 5 FULL BLACK PETALS BUT ON THE LEFT SIDE THERE ARE 2 WHITE AND 3 BLACK</x:t>
        </x:is>
      </x:c>
      <x:c r="AS172" s="234" t="n"/>
      <x:c r="AT172" s="234" t="inlineStr">
        <x:is>
          <x:t xml:space="preserve">POPULATED_SOURCE_RECORD</x:t>
        </x:is>
      </x:c>
      <x:c r="AU172" s="234" t="inlineStr">
        <x:is>
          <x:t xml:space="preserve">NO_ANNOTATED_IMAGE_IN_ANNOTATED_REPOSITORY</x:t>
        </x:is>
      </x:c>
    </x:row>
    <x:row r="173" s="232" customFormat="1" ht="32" customHeight="1">
      <x:c r="A173" s="234" t="n">
        <x:v>71</x:v>
      </x:c>
      <x:c r="B173" s="234" t="n"/>
      <x:c r="C173" s="234" t="inlineStr">
        <x:is>
          <x:t xml:space="preserve">LP071-F93</x:t>
        </x:is>
      </x:c>
      <x:c r="D173" s="234" t="inlineStr">
        <x:is>
          <x:t xml:space="preserve">CSV source spreadsheet; feature-level representation</x:t>
        </x:is>
      </x:c>
      <x:c r="E173" s="234" t="n"/>
      <x:c r="F173" s="234" t="n"/>
      <x:c r="G173" s="234" t="inlineStr">
        <x:is>
          <x:t xml:space="preserve">left-side plant/root/spiral ornament</x:t>
        </x:is>
      </x:c>
      <x:c r="H173" s="234" t="inlineStr">
        <x:is>
          <x:t xml:space="preserve">Source CSV lists paired spiral/petal artwork on both sides. This row records the left-side motif as a separate spatial feature; detailed branches, roots, and endpoints have not been measured.</x:t>
        </x:is>
      </x:c>
      <x:c r="I173" s="234" t="n"/>
      <x:c r="J173" s="234" t="n"/>
      <x:c r="K173" s="234" t="n"/>
      <x:c r="L173" s="234" t="n"/>
      <x:c r="M173" s="234" t="n"/>
      <x:c r="N173" s="234" t="n"/>
      <x:c r="O173" s="234" t="n"/>
      <x:c r="P173" s="234" t="n"/>
      <x:c r="Q173" s="234" t="inlineStr">
        <x:is>
          <x:t xml:space="preserve">left side of page</x:t>
        </x:is>
      </x:c>
      <x:c r="R173" s="234" t="n"/>
      <x:c r="S173" s="234" t="n"/>
      <x:c r="T173" s="234" t="n"/>
      <x:c r="U173" s="234" t="n"/>
      <x:c r="V173" s="234" t="n"/>
      <x:c r="W173" s="234" t="n"/>
      <x:c r="X173" s="234" t="inlineStr">
        <x:is>
          <x:t xml:space="preserve">left margin beside glyph block</x:t>
        </x:is>
      </x:c>
      <x:c r="Y173" s="234" t="n"/>
      <x:c r="Z173" s="234" t="inlineStr">
        <x:is>
          <x:t xml:space="preserve">medium</x:t>
        </x:is>
      </x:c>
      <x:c r="AA173" s="234" t="inlineStr">
        <x:is>
          <x:t xml:space="preserve">CSV_RECORDED_NOT_IMAGE_VERIFIED</x:t>
        </x:is>
      </x:c>
      <x:c r="AB173" s="234" t="inlineStr">
        <x:is>
          <x:t xml:space="preserve">https://github.com/mrroot01011001/Cicada-3301-/tree/main/liber-primus/pages</x:t>
        </x:is>
      </x:c>
      <x:c r="AC173" s="234" t="n"/>
      <x:c r="AD173" s="234" t="inlineStr">
        <x:is>
          <x:t xml:space="preserve">No corresponding annotated image is present in the annotated-pages repository; retain source observation without adding unverified geometry.</x:t>
        </x:is>
      </x:c>
      <x:c r="AE173" s="234" t="n"/>
      <x:c r="AF173" s="234" t="n"/>
      <x:c r="AG173" s="234" t="n"/>
      <x:c r="AH173" s="234" t="inlineStr">
        <x:is>
          <x:t xml:space="preserve">single_page</x:t>
        </x:is>
      </x:c>
      <x:c r="AI173" s="234" t="inlineStr">
        <x:is>
          <x:t xml:space="preserve">71.JPG</x:t>
        </x:is>
      </x:c>
      <x:c r="AJ173" s="234" t="inlineStr">
        <x:is>
          <x:t xml:space="preserve">CSV-D039</x:t>
        </x:is>
      </x:c>
      <x:c r="AK173" s="234" t="n">
        <x:v>39</x:v>
      </x:c>
      <x:c r="AL173" s="234" t="inlineStr">
        <x:is>
          <x:t xml:space="preserve">SPIRALS AND PETALS</x:t>
        </x:is>
      </x:c>
      <x:c r="AM173" s="234" t="inlineStr">
        <x:is>
          <x:t xml:space="preserve">0</x:t>
        </x:is>
      </x:c>
      <x:c r="AN173" s="234" t="inlineStr">
        <x:is>
          <x:t xml:space="preserve">8</x:t>
        </x:is>
      </x:c>
      <x:c r="AO173" s="234" t="inlineStr">
        <x:is>
          <x:t xml:space="preserve">0</x:t>
        </x:is>
      </x:c>
      <x:c r="AP173" s="234" t="inlineStr">
        <x:is>
          <x:t xml:space="preserve">LEFT AND RIGHT OF THE PAGE</x:t>
        </x:is>
      </x:c>
      <x:c r="AQ173" s="234" t="inlineStr">
        <x:is>
          <x:t xml:space="preserve">0</x:t>
        </x:is>
      </x:c>
      <x:c r="AR173" s="234" t="inlineStr">
        <x:is>
          <x:t xml:space="preserve">SPIRAL AND PETS ON THE RIGHT SIDE HAVE 5 FULL BLACK PETALS BUT ON THE LEFT SIDE THERE ARE 2 WHITE AND 3 BLACK</x:t>
        </x:is>
      </x:c>
      <x:c r="AS173" s="234" t="n"/>
      <x:c r="AT173" s="234" t="inlineStr">
        <x:is>
          <x:t xml:space="preserve">POPULATED_SOURCE_RECORD</x:t>
        </x:is>
      </x:c>
      <x:c r="AU173" s="234" t="inlineStr">
        <x:is>
          <x:t xml:space="preserve">NO_ANNOTATED_IMAGE_IN_ANNOTATED_REPOSITORY</x:t>
        </x:is>
      </x:c>
    </x:row>
    <x:row r="174" s="232" customFormat="1" ht="32" customHeight="1">
      <x:c r="A174" s="234" t="n">
        <x:v>71</x:v>
      </x:c>
      <x:c r="B174" s="234" t="n"/>
      <x:c r="C174" s="234" t="inlineStr">
        <x:is>
          <x:t xml:space="preserve">LP071-F94</x:t>
        </x:is>
      </x:c>
      <x:c r="D174" s="234" t="inlineStr">
        <x:is>
          <x:t xml:space="preserve">CSV source spreadsheet; feature-level representation</x:t>
        </x:is>
      </x:c>
      <x:c r="E174" s="234" t="n"/>
      <x:c r="F174" s="234" t="n"/>
      <x:c r="G174" s="234" t="inlineStr">
        <x:is>
          <x:t xml:space="preserve">right-side plant/root/spiral ornament</x:t>
        </x:is>
      </x:c>
      <x:c r="H174" s="234" t="inlineStr">
        <x:is>
          <x:t xml:space="preserve">Source CSV lists paired spiral/petal artwork on both sides. This row records the right-side motif as a separate spatial feature; detailed branches, roots, and endpoints have not been measured.</x:t>
        </x:is>
      </x:c>
      <x:c r="I174" s="234" t="n"/>
      <x:c r="J174" s="234" t="n"/>
      <x:c r="K174" s="234" t="n"/>
      <x:c r="L174" s="234" t="n"/>
      <x:c r="M174" s="234" t="n"/>
      <x:c r="N174" s="234" t="n"/>
      <x:c r="O174" s="234" t="n"/>
      <x:c r="P174" s="234" t="n"/>
      <x:c r="Q174" s="234" t="inlineStr">
        <x:is>
          <x:t xml:space="preserve">right side of page</x:t>
        </x:is>
      </x:c>
      <x:c r="R174" s="234" t="n"/>
      <x:c r="S174" s="234" t="n"/>
      <x:c r="T174" s="234" t="n"/>
      <x:c r="U174" s="234" t="n"/>
      <x:c r="V174" s="234" t="n"/>
      <x:c r="W174" s="234" t="n"/>
      <x:c r="X174" s="234" t="inlineStr">
        <x:is>
          <x:t xml:space="preserve">right margin beside glyph block</x:t>
        </x:is>
      </x:c>
      <x:c r="Y174" s="234" t="n"/>
      <x:c r="Z174" s="234" t="inlineStr">
        <x:is>
          <x:t xml:space="preserve">medium</x:t>
        </x:is>
      </x:c>
      <x:c r="AA174" s="234" t="inlineStr">
        <x:is>
          <x:t xml:space="preserve">CSV_RECORDED_NOT_IMAGE_VERIFIED</x:t>
        </x:is>
      </x:c>
      <x:c r="AB174" s="234" t="inlineStr">
        <x:is>
          <x:t xml:space="preserve">https://github.com/mrroot01011001/Cicada-3301-/tree/main/liber-primus/pages</x:t>
        </x:is>
      </x:c>
      <x:c r="AC174" s="234" t="n"/>
      <x:c r="AD174" s="234" t="inlineStr">
        <x:is>
          <x:t xml:space="preserve">No corresponding annotated image is present in the annotated-pages repository; retain source observation without adding unverified geometry.</x:t>
        </x:is>
      </x:c>
      <x:c r="AE174" s="234" t="n"/>
      <x:c r="AF174" s="234" t="n"/>
      <x:c r="AG174" s="234" t="n"/>
      <x:c r="AH174" s="234" t="inlineStr">
        <x:is>
          <x:t xml:space="preserve">single_page</x:t>
        </x:is>
      </x:c>
      <x:c r="AI174" s="234" t="inlineStr">
        <x:is>
          <x:t xml:space="preserve">71.JPG</x:t>
        </x:is>
      </x:c>
      <x:c r="AJ174" s="234" t="inlineStr">
        <x:is>
          <x:t xml:space="preserve">CSV-D039</x:t>
        </x:is>
      </x:c>
      <x:c r="AK174" s="234" t="n">
        <x:v>39</x:v>
      </x:c>
      <x:c r="AL174" s="234" t="inlineStr">
        <x:is>
          <x:t xml:space="preserve">SPIRALS AND PETALS</x:t>
        </x:is>
      </x:c>
      <x:c r="AM174" s="234" t="inlineStr">
        <x:is>
          <x:t xml:space="preserve">0</x:t>
        </x:is>
      </x:c>
      <x:c r="AN174" s="234" t="inlineStr">
        <x:is>
          <x:t xml:space="preserve">8</x:t>
        </x:is>
      </x:c>
      <x:c r="AO174" s="234" t="inlineStr">
        <x:is>
          <x:t xml:space="preserve">0</x:t>
        </x:is>
      </x:c>
      <x:c r="AP174" s="234" t="inlineStr">
        <x:is>
          <x:t xml:space="preserve">LEFT AND RIGHT OF THE PAGE</x:t>
        </x:is>
      </x:c>
      <x:c r="AQ174" s="234" t="inlineStr">
        <x:is>
          <x:t xml:space="preserve">0</x:t>
        </x:is>
      </x:c>
      <x:c r="AR174" s="234" t="inlineStr">
        <x:is>
          <x:t xml:space="preserve">SPIRAL AND PETS ON THE RIGHT SIDE HAVE 5 FULL BLACK PETALS BUT ON THE LEFT SIDE THERE ARE 2 WHITE AND 3 BLACK</x:t>
        </x:is>
      </x:c>
      <x:c r="AS174" s="234" t="n"/>
      <x:c r="AT174" s="234" t="inlineStr">
        <x:is>
          <x:t xml:space="preserve">POPULATED_SOURCE_RECORD</x:t>
        </x:is>
      </x:c>
      <x:c r="AU174" s="234" t="inlineStr">
        <x:is>
          <x:t xml:space="preserve">NO_ANNOTATED_IMAGE_IN_ANNOTATED_REPOSITORY</x:t>
        </x:is>
      </x:c>
    </x:row>
    <x:row r="175" s="232" customFormat="1" ht="32" customHeight="1">
      <x:c r="A175" s="234" t="n">
        <x:v>71</x:v>
      </x:c>
      <x:c r="B175" s="234" t="n"/>
      <x:c r="C175" s="234" t="inlineStr">
        <x:is>
          <x:t xml:space="preserve">LP071-F95</x:t>
        </x:is>
      </x:c>
      <x:c r="D175" s="234" t="inlineStr">
        <x:is>
          <x:t xml:space="preserve">CSV source spreadsheet; feature-level representation</x:t>
        </x:is>
      </x:c>
      <x:c r="E175" s="234" t="n"/>
      <x:c r="F175" s="234" t="n"/>
      <x:c r="G175" s="234" t="inlineStr">
        <x:is>
          <x:t xml:space="preserve">external dot count (page aggregate; cluster positions unknown)</x:t>
        </x:is>
      </x:c>
      <x:c r="H175" s="234" t="inlineStr">
        <x:is>
          <x:t xml:space="preserve">Source CSV records eight external dots for this page's paired spiral/petal decoration; individual cluster positions are not separately recorded in the source row.</x:t>
        </x:is>
      </x:c>
      <x:c r="I175" s="234" t="n">
        <x:v>8</x:v>
      </x:c>
      <x:c r="J175" s="234" t="n"/>
      <x:c r="K175" s="234" t="n">
        <x:v>8</x:v>
      </x:c>
      <x:c r="L175" s="234" t="n"/>
      <x:c r="M175" s="234" t="n"/>
      <x:c r="N175" s="234" t="n"/>
      <x:c r="O175" s="234" t="n"/>
      <x:c r="P175" s="234" t="n"/>
      <x:c r="Q175" s="234" t="inlineStr">
        <x:is>
          <x:t xml:space="preserve">left and right of page</x:t>
        </x:is>
      </x:c>
      <x:c r="R175" s="234" t="n"/>
      <x:c r="S175" s="234" t="n"/>
      <x:c r="T175" s="234" t="n"/>
      <x:c r="U175" s="234" t="n"/>
      <x:c r="V175" s="234" t="n"/>
      <x:c r="W175" s="234" t="n"/>
      <x:c r="X175" s="234" t="inlineStr">
        <x:is>
          <x:t xml:space="preserve">Paired spiral/petal decoration; cluster allocation unknown</x:t>
        </x:is>
      </x:c>
      <x:c r="Y175" s="234" t="n"/>
      <x:c r="Z175" s="234" t="inlineStr">
        <x:is>
          <x:t xml:space="preserve">medium</x:t>
        </x:is>
      </x:c>
      <x:c r="AA175" s="234" t="inlineStr">
        <x:is>
          <x:t xml:space="preserve">CSV_RECORDED_NOT_IMAGE_VERIFIED</x:t>
        </x:is>
      </x:c>
      <x:c r="AB175" s="234" t="inlineStr">
        <x:is>
          <x:t xml:space="preserve">https://github.com/mrroot01011001/Cicada-3301-/tree/main/liber-primus/pages</x:t>
        </x:is>
      </x:c>
      <x:c r="AC175" s="234" t="n"/>
      <x:c r="AD175" s="234" t="inlineStr">
        <x:is>
          <x:t xml:space="preserve">Do not infer an exact left/right split from this aggregate; pages 57 and 68 have separate annotated dot-cluster records.</x:t>
        </x:is>
      </x:c>
      <x:c r="AE175" s="234" t="n"/>
      <x:c r="AF175" s="234" t="n"/>
      <x:c r="AG175" s="234" t="n"/>
      <x:c r="AH175" s="234" t="inlineStr">
        <x:is>
          <x:t xml:space="preserve">single_page</x:t>
        </x:is>
      </x:c>
      <x:c r="AI175" s="234" t="inlineStr">
        <x:is>
          <x:t xml:space="preserve">71.JPG</x:t>
        </x:is>
      </x:c>
      <x:c r="AJ175" s="234" t="inlineStr">
        <x:is>
          <x:t xml:space="preserve">CSV-D039</x:t>
        </x:is>
      </x:c>
      <x:c r="AK175" s="234" t="n">
        <x:v>39</x:v>
      </x:c>
      <x:c r="AL175" s="234" t="inlineStr">
        <x:is>
          <x:t xml:space="preserve">SPIRALS AND PETALS</x:t>
        </x:is>
      </x:c>
      <x:c r="AM175" s="234" t="inlineStr">
        <x:is>
          <x:t xml:space="preserve">0</x:t>
        </x:is>
      </x:c>
      <x:c r="AN175" s="234" t="inlineStr">
        <x:is>
          <x:t xml:space="preserve">8</x:t>
        </x:is>
      </x:c>
      <x:c r="AO175" s="234" t="inlineStr">
        <x:is>
          <x:t xml:space="preserve">0</x:t>
        </x:is>
      </x:c>
      <x:c r="AP175" s="234" t="inlineStr">
        <x:is>
          <x:t xml:space="preserve">LEFT AND RIGHT OF THE PAGE</x:t>
        </x:is>
      </x:c>
      <x:c r="AQ175" s="234" t="inlineStr">
        <x:is>
          <x:t xml:space="preserve">0</x:t>
        </x:is>
      </x:c>
      <x:c r="AR175" s="234" t="inlineStr">
        <x:is>
          <x:t xml:space="preserve">SPIRAL AND PETS ON THE RIGHT SIDE HAVE 5 FULL BLACK PETALS BUT ON THE LEFT SIDE THERE ARE 2 WHITE AND 3 BLACK</x:t>
        </x:is>
      </x:c>
      <x:c r="AS175" s="234" t="n"/>
      <x:c r="AT175" s="234" t="inlineStr">
        <x:is>
          <x:t xml:space="preserve">POPULATED_SOURCE_RECORD</x:t>
        </x:is>
      </x:c>
      <x:c r="AU175" s="234" t="inlineStr">
        <x:is>
          <x:t xml:space="preserve">NO_ANNOTATED_IMAGE_IN_ANNOTATED_REPOSITORY</x:t>
        </x:is>
      </x:c>
    </x:row>
    <x:row r="176" s="232" customFormat="1" ht="32" customHeight="1">
      <x:c r="A176" s="234" t="n">
        <x:v>72</x:v>
      </x:c>
      <x:c r="B176" s="234" t="n"/>
      <x:c r="C176" s="234" t="inlineStr">
        <x:is>
          <x:t xml:space="preserve">LP072-F90</x:t>
        </x:is>
      </x:c>
      <x:c r="D176" s="234" t="inlineStr">
        <x:is>
          <x:t xml:space="preserve">CSV source spreadsheet; feature-level representation</x:t>
        </x:is>
      </x:c>
      <x:c r="E176" s="234" t="n"/>
      <x:c r="F176" s="234" t="n"/>
      <x:c r="G176" s="234" t="inlineStr">
        <x:is>
          <x:t xml:space="preserve">paired spiral/petal motif (page-level)</x:t>
        </x:is>
      </x:c>
      <x:c r="H176" s="234" t="inlineStr">
        <x:is>
          <x:t xml:space="preserve">Source CSV visual-object label: SPIRALS AND PETALS  - CICADA - DEAD OAK TREE. Source note: SPIRAL AND PETS ON THE RIGHT SIDE HAVE 5 FULL BLACK PETALS BUT ON THE LEFT SIDE THERE ARE 2 WHITE AND 3 BLACK - CICADA SITS AT BOTTOM OF PAGE  -BETWEEN THE GLYPHS AND THE CICADA IS A ALL WHITE DEAD OAK TREE</x:t>
        </x:is>
      </x:c>
      <x:c r="I176" s="234" t="n"/>
      <x:c r="J176" s="234" t="n"/>
      <x:c r="K176" s="234" t="n"/>
      <x:c r="L176" s="234" t="n"/>
      <x:c r="M176" s="234" t="n"/>
      <x:c r="N176" s="234" t="n"/>
      <x:c r="O176" s="234" t="n"/>
      <x:c r="P176" s="234" t="n"/>
      <x:c r="Q176" s="234" t="inlineStr">
        <x:is>
          <x:t xml:space="preserve">left and right of page</x:t>
        </x:is>
      </x:c>
      <x:c r="R176" s="234" t="n"/>
      <x:c r="S176" s="234" t="n"/>
      <x:c r="T176" s="234" t="n"/>
      <x:c r="U176" s="234" t="n"/>
      <x:c r="V176" s="234" t="n"/>
      <x:c r="W176" s="234" t="n"/>
      <x:c r="X176" s="234" t="inlineStr">
        <x:is>
          <x:t xml:space="preserve">Both margins beside central text; page-level motif summary</x:t>
        </x:is>
      </x:c>
      <x:c r="Y176" s="234" t="n"/>
      <x:c r="Z176" s="234" t="inlineStr">
        <x:is>
          <x:t xml:space="preserve">medium</x:t>
        </x:is>
      </x:c>
      <x:c r="AA176" s="234" t="inlineStr">
        <x:is>
          <x:t xml:space="preserve">CSV_RECORDED_NOT_IMAGE_VERIFIED</x:t>
        </x:is>
      </x:c>
      <x:c r="AB176" s="234" t="inlineStr">
        <x:is>
          <x:t xml:space="preserve">https://github.com/mrroot01011001/Cicada-3301-/tree/main/liber-primus/pages</x:t>
        </x:is>
      </x:c>
      <x:c r="AC176" s="234" t="n"/>
      <x:c r="AD176" s="234" t="inlineStr">
        <x:is>
          <x:t xml:space="preserve">Composite motif row retained alongside left/right component rows. Page-level counts in source fields are context, not counts to sum across every feature row.</x:t>
        </x:is>
      </x:c>
      <x:c r="AE176" s="234" t="n"/>
      <x:c r="AF176" s="234" t="n"/>
      <x:c r="AG176" s="234" t="n"/>
      <x:c r="AH176" s="234" t="inlineStr">
        <x:is>
          <x:t xml:space="preserve">single_page</x:t>
        </x:is>
      </x:c>
      <x:c r="AI176" s="234" t="inlineStr">
        <x:is>
          <x:t xml:space="preserve">72.JPG</x:t>
        </x:is>
      </x:c>
      <x:c r="AJ176" s="234" t="inlineStr">
        <x:is>
          <x:t xml:space="preserve">CSV-D040</x:t>
        </x:is>
      </x:c>
      <x:c r="AK176" s="234" t="n">
        <x:v>40</x:v>
      </x:c>
      <x:c r="AL176" s="234" t="inlineStr">
        <x:is>
          <x:t xml:space="preserve">SPIRALS AND PETALS  - CICADA - DEAD OAK TREE</x:t>
        </x:is>
      </x:c>
      <x:c r="AM176" s="234" t="inlineStr">
        <x:is>
          <x:t xml:space="preserve">0</x:t>
        </x:is>
      </x:c>
      <x:c r="AN176" s="234" t="inlineStr">
        <x:is>
          <x:t xml:space="preserve">8</x:t>
        </x:is>
      </x:c>
      <x:c r="AO176" s="234" t="inlineStr">
        <x:is>
          <x:t xml:space="preserve">0</x:t>
        </x:is>
      </x:c>
      <x:c r="AP176" s="234" t="inlineStr">
        <x:is>
          <x:t xml:space="preserve">LEFT AND RIGHT OF THE PAGE  - CICADA SITS AT BOTTOM OF PAGE -  MIDDLE OF PAGE IS DEAD OAK TREE</x:t>
        </x:is>
      </x:c>
      <x:c r="AQ176" s="234" t="inlineStr">
        <x:is>
          <x:t xml:space="preserve">0</x:t>
        </x:is>
      </x:c>
      <x:c r="AR176" s="234" t="inlineStr">
        <x:is>
          <x:t xml:space="preserve">SPIRAL AND PETS ON THE RIGHT SIDE HAVE 5 FULL BLACK PETALS BUT ON THE LEFT SIDE THERE ARE 2 WHITE AND 3 BLACK - CICADA SITS AT BOTTOM OF PAGE  -BETWEEN THE GLYPHS AND THE CICADA IS A ALL WHITE DEAD OAK TREE</x:t>
        </x:is>
      </x:c>
      <x:c r="AS176" s="234" t="n"/>
      <x:c r="AT176" s="234" t="inlineStr">
        <x:is>
          <x:t xml:space="preserve">POPULATED_SOURCE_RECORD</x:t>
        </x:is>
      </x:c>
      <x:c r="AU176" s="234" t="inlineStr">
        <x:is>
          <x:t xml:space="preserve">NO_ANNOTATED_IMAGE_IN_ANNOTATED_REPOSITORY</x:t>
        </x:is>
      </x:c>
    </x:row>
    <x:row r="177" s="232" customFormat="1" ht="32" customHeight="1">
      <x:c r="A177" s="234" t="n">
        <x:v>72</x:v>
      </x:c>
      <x:c r="B177" s="234" t="n"/>
      <x:c r="C177" s="234" t="inlineStr">
        <x:is>
          <x:t xml:space="preserve">LP072-F91</x:t>
        </x:is>
      </x:c>
      <x:c r="D177" s="234" t="inlineStr">
        <x:is>
          <x:t xml:space="preserve">CSV source spreadsheet; feature-level representation</x:t>
        </x:is>
      </x:c>
      <x:c r="E177" s="234" t="n"/>
      <x:c r="F177" s="234" t="n"/>
      <x:c r="G177" s="234" t="inlineStr">
        <x:is>
          <x:t xml:space="preserve">left-side petal group</x:t>
        </x:is>
      </x:c>
      <x:c r="H177" s="234" t="inlineStr">
        <x:is>
          <x:t xml:space="preserve">Source CSV reports two white/unfilled petals and three black/filled petals on the left-side spiral/petal motif.</x:t>
        </x:is>
      </x:c>
      <x:c r="I177" s="234" t="n"/>
      <x:c r="J177" s="234" t="n"/>
      <x:c r="K177" s="234" t="n"/>
      <x:c r="L177" s="234" t="n"/>
      <x:c r="M177" s="234" t="n"/>
      <x:c r="N177" s="234" t="n"/>
      <x:c r="O177" s="234" t="n"/>
      <x:c r="P177" s="234" t="n"/>
      <x:c r="Q177" s="234" t="inlineStr">
        <x:is>
          <x:t xml:space="preserve">left side of page</x:t>
        </x:is>
      </x:c>
      <x:c r="R177" s="234" t="n"/>
      <x:c r="S177" s="234" t="n"/>
      <x:c r="T177" s="234" t="n"/>
      <x:c r="U177" s="234" t="n"/>
      <x:c r="V177" s="234" t="n"/>
      <x:c r="W177" s="234" t="n"/>
      <x:c r="X177" s="234" t="inlineStr">
        <x:is>
          <x:t xml:space="preserve">left spiral/petal decoration</x:t>
        </x:is>
      </x:c>
      <x:c r="Y177" s="234" t="n"/>
      <x:c r="Z177" s="234" t="inlineStr">
        <x:is>
          <x:t xml:space="preserve">medium</x:t>
        </x:is>
      </x:c>
      <x:c r="AA177" s="234" t="inlineStr">
        <x:is>
          <x:t xml:space="preserve">CSV_RECORDED_NOT_IMAGE_VERIFIED</x:t>
        </x:is>
      </x:c>
      <x:c r="AB177" s="234" t="inlineStr">
        <x:is>
          <x:t xml:space="preserve">https://github.com/mrroot01011001/Cicada-3301-/tree/main/liber-primus/pages</x:t>
        </x:is>
      </x:c>
      <x:c r="AC177" s="234" t="n"/>
      <x:c r="AD177" s="234" t="inlineStr">
        <x:is>
          <x:t xml:space="preserve">Petal counts and filled/unfilled distinctions are preserved from the source notes, not independently counted from image coordinates.</x:t>
        </x:is>
      </x:c>
      <x:c r="AE177" s="234" t="n">
        <x:v>5</x:v>
      </x:c>
      <x:c r="AF177" s="234" t="n">
        <x:v>3</x:v>
      </x:c>
      <x:c r="AG177" s="234" t="n">
        <x:v>2</x:v>
      </x:c>
      <x:c r="AH177" s="234" t="inlineStr">
        <x:is>
          <x:t xml:space="preserve">single_page</x:t>
        </x:is>
      </x:c>
      <x:c r="AI177" s="234" t="inlineStr">
        <x:is>
          <x:t xml:space="preserve">72.JPG</x:t>
        </x:is>
      </x:c>
      <x:c r="AJ177" s="234" t="inlineStr">
        <x:is>
          <x:t xml:space="preserve">CSV-D040</x:t>
        </x:is>
      </x:c>
      <x:c r="AK177" s="234" t="n">
        <x:v>40</x:v>
      </x:c>
      <x:c r="AL177" s="234" t="inlineStr">
        <x:is>
          <x:t xml:space="preserve">SPIRALS AND PETALS  - CICADA - DEAD OAK TREE</x:t>
        </x:is>
      </x:c>
      <x:c r="AM177" s="234" t="inlineStr">
        <x:is>
          <x:t xml:space="preserve">0</x:t>
        </x:is>
      </x:c>
      <x:c r="AN177" s="234" t="inlineStr">
        <x:is>
          <x:t xml:space="preserve">8</x:t>
        </x:is>
      </x:c>
      <x:c r="AO177" s="234" t="inlineStr">
        <x:is>
          <x:t xml:space="preserve">0</x:t>
        </x:is>
      </x:c>
      <x:c r="AP177" s="234" t="inlineStr">
        <x:is>
          <x:t xml:space="preserve">LEFT AND RIGHT OF THE PAGE  - CICADA SITS AT BOTTOM OF PAGE -  MIDDLE OF PAGE IS DEAD OAK TREE</x:t>
        </x:is>
      </x:c>
      <x:c r="AQ177" s="234" t="inlineStr">
        <x:is>
          <x:t xml:space="preserve">0</x:t>
        </x:is>
      </x:c>
      <x:c r="AR177" s="234" t="inlineStr">
        <x:is>
          <x:t xml:space="preserve">SPIRAL AND PETS ON THE RIGHT SIDE HAVE 5 FULL BLACK PETALS BUT ON THE LEFT SIDE THERE ARE 2 WHITE AND 3 BLACK - CICADA SITS AT BOTTOM OF PAGE  -BETWEEN THE GLYPHS AND THE CICADA IS A ALL WHITE DEAD OAK TREE</x:t>
        </x:is>
      </x:c>
      <x:c r="AS177" s="234" t="n"/>
      <x:c r="AT177" s="234" t="inlineStr">
        <x:is>
          <x:t xml:space="preserve">POPULATED_SOURCE_RECORD</x:t>
        </x:is>
      </x:c>
      <x:c r="AU177" s="234" t="inlineStr">
        <x:is>
          <x:t xml:space="preserve">NO_ANNOTATED_IMAGE_IN_ANNOTATED_REPOSITORY</x:t>
        </x:is>
      </x:c>
    </x:row>
    <x:row r="178" s="232" customFormat="1" ht="32" customHeight="1">
      <x:c r="A178" s="234" t="n">
        <x:v>72</x:v>
      </x:c>
      <x:c r="B178" s="234" t="n"/>
      <x:c r="C178" s="234" t="inlineStr">
        <x:is>
          <x:t xml:space="preserve">LP072-F92</x:t>
        </x:is>
      </x:c>
      <x:c r="D178" s="234" t="inlineStr">
        <x:is>
          <x:t xml:space="preserve">CSV source spreadsheet; feature-level representation</x:t>
        </x:is>
      </x:c>
      <x:c r="E178" s="234" t="n"/>
      <x:c r="F178" s="234" t="n"/>
      <x:c r="G178" s="234" t="inlineStr">
        <x:is>
          <x:t xml:space="preserve">right-side petal group</x:t>
        </x:is>
      </x:c>
      <x:c r="H178" s="234" t="inlineStr">
        <x:is>
          <x:t xml:space="preserve">Source CSV reports five fully black/filled petals on the right-side spiral/petal motif.</x:t>
        </x:is>
      </x:c>
      <x:c r="I178" s="234" t="n"/>
      <x:c r="J178" s="234" t="n"/>
      <x:c r="K178" s="234" t="n"/>
      <x:c r="L178" s="234" t="n"/>
      <x:c r="M178" s="234" t="n"/>
      <x:c r="N178" s="234" t="n"/>
      <x:c r="O178" s="234" t="n"/>
      <x:c r="P178" s="234" t="n"/>
      <x:c r="Q178" s="234" t="inlineStr">
        <x:is>
          <x:t xml:space="preserve">right side of page</x:t>
        </x:is>
      </x:c>
      <x:c r="R178" s="234" t="n"/>
      <x:c r="S178" s="234" t="n"/>
      <x:c r="T178" s="234" t="n"/>
      <x:c r="U178" s="234" t="n"/>
      <x:c r="V178" s="234" t="n"/>
      <x:c r="W178" s="234" t="n"/>
      <x:c r="X178" s="234" t="inlineStr">
        <x:is>
          <x:t xml:space="preserve">right spiral/petal decoration</x:t>
        </x:is>
      </x:c>
      <x:c r="Y178" s="234" t="n"/>
      <x:c r="Z178" s="234" t="inlineStr">
        <x:is>
          <x:t xml:space="preserve">medium</x:t>
        </x:is>
      </x:c>
      <x:c r="AA178" s="234" t="inlineStr">
        <x:is>
          <x:t xml:space="preserve">CSV_RECORDED_NOT_IMAGE_VERIFIED</x:t>
        </x:is>
      </x:c>
      <x:c r="AB178" s="234" t="inlineStr">
        <x:is>
          <x:t xml:space="preserve">https://github.com/mrroot01011001/Cicada-3301-/tree/main/liber-primus/pages</x:t>
        </x:is>
      </x:c>
      <x:c r="AC178" s="234" t="n"/>
      <x:c r="AD178" s="234" t="inlineStr">
        <x:is>
          <x:t xml:space="preserve">The zero unfilled petals is implied by the source's '5 full black petals' description; verify visually before treating this as a measured count.</x:t>
        </x:is>
      </x:c>
      <x:c r="AE178" s="234" t="n">
        <x:v>5</x:v>
      </x:c>
      <x:c r="AF178" s="234" t="n">
        <x:v>5</x:v>
      </x:c>
      <x:c r="AG178" s="234" t="n">
        <x:v>0</x:v>
      </x:c>
      <x:c r="AH178" s="234" t="inlineStr">
        <x:is>
          <x:t xml:space="preserve">single_page</x:t>
        </x:is>
      </x:c>
      <x:c r="AI178" s="234" t="inlineStr">
        <x:is>
          <x:t xml:space="preserve">72.JPG</x:t>
        </x:is>
      </x:c>
      <x:c r="AJ178" s="234" t="inlineStr">
        <x:is>
          <x:t xml:space="preserve">CSV-D040</x:t>
        </x:is>
      </x:c>
      <x:c r="AK178" s="234" t="n">
        <x:v>40</x:v>
      </x:c>
      <x:c r="AL178" s="234" t="inlineStr">
        <x:is>
          <x:t xml:space="preserve">SPIRALS AND PETALS  - CICADA - DEAD OAK TREE</x:t>
        </x:is>
      </x:c>
      <x:c r="AM178" s="234" t="inlineStr">
        <x:is>
          <x:t xml:space="preserve">0</x:t>
        </x:is>
      </x:c>
      <x:c r="AN178" s="234" t="inlineStr">
        <x:is>
          <x:t xml:space="preserve">8</x:t>
        </x:is>
      </x:c>
      <x:c r="AO178" s="234" t="inlineStr">
        <x:is>
          <x:t xml:space="preserve">0</x:t>
        </x:is>
      </x:c>
      <x:c r="AP178" s="234" t="inlineStr">
        <x:is>
          <x:t xml:space="preserve">LEFT AND RIGHT OF THE PAGE  - CICADA SITS AT BOTTOM OF PAGE -  MIDDLE OF PAGE IS DEAD OAK TREE</x:t>
        </x:is>
      </x:c>
      <x:c r="AQ178" s="234" t="inlineStr">
        <x:is>
          <x:t xml:space="preserve">0</x:t>
        </x:is>
      </x:c>
      <x:c r="AR178" s="234" t="inlineStr">
        <x:is>
          <x:t xml:space="preserve">SPIRAL AND PETS ON THE RIGHT SIDE HAVE 5 FULL BLACK PETALS BUT ON THE LEFT SIDE THERE ARE 2 WHITE AND 3 BLACK - CICADA SITS AT BOTTOM OF PAGE  -BETWEEN THE GLYPHS AND THE CICADA IS A ALL WHITE DEAD OAK TREE</x:t>
        </x:is>
      </x:c>
      <x:c r="AS178" s="234" t="n"/>
      <x:c r="AT178" s="234" t="inlineStr">
        <x:is>
          <x:t xml:space="preserve">POPULATED_SOURCE_RECORD</x:t>
        </x:is>
      </x:c>
      <x:c r="AU178" s="234" t="inlineStr">
        <x:is>
          <x:t xml:space="preserve">NO_ANNOTATED_IMAGE_IN_ANNOTATED_REPOSITORY</x:t>
        </x:is>
      </x:c>
    </x:row>
    <x:row r="179" s="232" customFormat="1" ht="32" customHeight="1">
      <x:c r="A179" s="234" t="n">
        <x:v>72</x:v>
      </x:c>
      <x:c r="B179" s="234" t="n"/>
      <x:c r="C179" s="234" t="inlineStr">
        <x:is>
          <x:t xml:space="preserve">LP072-F93</x:t>
        </x:is>
      </x:c>
      <x:c r="D179" s="234" t="inlineStr">
        <x:is>
          <x:t xml:space="preserve">CSV source spreadsheet; feature-level representation</x:t>
        </x:is>
      </x:c>
      <x:c r="E179" s="234" t="n"/>
      <x:c r="F179" s="234" t="n"/>
      <x:c r="G179" s="234" t="inlineStr">
        <x:is>
          <x:t xml:space="preserve">left-side plant/root/spiral ornament</x:t>
        </x:is>
      </x:c>
      <x:c r="H179" s="234" t="inlineStr">
        <x:is>
          <x:t xml:space="preserve">Source CSV lists paired spiral/petal artwork on both sides. This row records the left-side motif as a separate spatial feature; detailed branches, roots, and endpoints have not been measured.</x:t>
        </x:is>
      </x:c>
      <x:c r="I179" s="234" t="n"/>
      <x:c r="J179" s="234" t="n"/>
      <x:c r="K179" s="234" t="n"/>
      <x:c r="L179" s="234" t="n"/>
      <x:c r="M179" s="234" t="n"/>
      <x:c r="N179" s="234" t="n"/>
      <x:c r="O179" s="234" t="n"/>
      <x:c r="P179" s="234" t="n"/>
      <x:c r="Q179" s="234" t="inlineStr">
        <x:is>
          <x:t xml:space="preserve">left side of page</x:t>
        </x:is>
      </x:c>
      <x:c r="R179" s="234" t="n"/>
      <x:c r="S179" s="234" t="n"/>
      <x:c r="T179" s="234" t="n"/>
      <x:c r="U179" s="234" t="n"/>
      <x:c r="V179" s="234" t="n"/>
      <x:c r="W179" s="234" t="n"/>
      <x:c r="X179" s="234" t="inlineStr">
        <x:is>
          <x:t xml:space="preserve">left margin beside glyph block</x:t>
        </x:is>
      </x:c>
      <x:c r="Y179" s="234" t="n"/>
      <x:c r="Z179" s="234" t="inlineStr">
        <x:is>
          <x:t xml:space="preserve">medium</x:t>
        </x:is>
      </x:c>
      <x:c r="AA179" s="234" t="inlineStr">
        <x:is>
          <x:t xml:space="preserve">CSV_RECORDED_NOT_IMAGE_VERIFIED</x:t>
        </x:is>
      </x:c>
      <x:c r="AB179" s="234" t="inlineStr">
        <x:is>
          <x:t xml:space="preserve">https://github.com/mrroot01011001/Cicada-3301-/tree/main/liber-primus/pages</x:t>
        </x:is>
      </x:c>
      <x:c r="AC179" s="234" t="n"/>
      <x:c r="AD179" s="234" t="inlineStr">
        <x:is>
          <x:t xml:space="preserve">No corresponding annotated image is present in the annotated-pages repository; retain source observation without adding unverified geometry.</x:t>
        </x:is>
      </x:c>
      <x:c r="AE179" s="234" t="n"/>
      <x:c r="AF179" s="234" t="n"/>
      <x:c r="AG179" s="234" t="n"/>
      <x:c r="AH179" s="234" t="inlineStr">
        <x:is>
          <x:t xml:space="preserve">single_page</x:t>
        </x:is>
      </x:c>
      <x:c r="AI179" s="234" t="inlineStr">
        <x:is>
          <x:t xml:space="preserve">72.JPG</x:t>
        </x:is>
      </x:c>
      <x:c r="AJ179" s="234" t="inlineStr">
        <x:is>
          <x:t xml:space="preserve">CSV-D040</x:t>
        </x:is>
      </x:c>
      <x:c r="AK179" s="234" t="n">
        <x:v>40</x:v>
      </x:c>
      <x:c r="AL179" s="234" t="inlineStr">
        <x:is>
          <x:t xml:space="preserve">SPIRALS AND PETALS  - CICADA - DEAD OAK TREE</x:t>
        </x:is>
      </x:c>
      <x:c r="AM179" s="234" t="inlineStr">
        <x:is>
          <x:t xml:space="preserve">0</x:t>
        </x:is>
      </x:c>
      <x:c r="AN179" s="234" t="inlineStr">
        <x:is>
          <x:t xml:space="preserve">8</x:t>
        </x:is>
      </x:c>
      <x:c r="AO179" s="234" t="inlineStr">
        <x:is>
          <x:t xml:space="preserve">0</x:t>
        </x:is>
      </x:c>
      <x:c r="AP179" s="234" t="inlineStr">
        <x:is>
          <x:t xml:space="preserve">LEFT AND RIGHT OF THE PAGE  - CICADA SITS AT BOTTOM OF PAGE -  MIDDLE OF PAGE IS DEAD OAK TREE</x:t>
        </x:is>
      </x:c>
      <x:c r="AQ179" s="234" t="inlineStr">
        <x:is>
          <x:t xml:space="preserve">0</x:t>
        </x:is>
      </x:c>
      <x:c r="AR179" s="234" t="inlineStr">
        <x:is>
          <x:t xml:space="preserve">SPIRAL AND PETS ON THE RIGHT SIDE HAVE 5 FULL BLACK PETALS BUT ON THE LEFT SIDE THERE ARE 2 WHITE AND 3 BLACK - CICADA SITS AT BOTTOM OF PAGE  -BETWEEN THE GLYPHS AND THE CICADA IS A ALL WHITE DEAD OAK TREE</x:t>
        </x:is>
      </x:c>
      <x:c r="AS179" s="234" t="n"/>
      <x:c r="AT179" s="234" t="inlineStr">
        <x:is>
          <x:t xml:space="preserve">POPULATED_SOURCE_RECORD</x:t>
        </x:is>
      </x:c>
      <x:c r="AU179" s="234" t="inlineStr">
        <x:is>
          <x:t xml:space="preserve">NO_ANNOTATED_IMAGE_IN_ANNOTATED_REPOSITORY</x:t>
        </x:is>
      </x:c>
    </x:row>
    <x:row r="180" s="232" customFormat="1" ht="32" customHeight="1">
      <x:c r="A180" s="234" t="n">
        <x:v>72</x:v>
      </x:c>
      <x:c r="B180" s="234" t="n"/>
      <x:c r="C180" s="234" t="inlineStr">
        <x:is>
          <x:t xml:space="preserve">LP072-F94</x:t>
        </x:is>
      </x:c>
      <x:c r="D180" s="234" t="inlineStr">
        <x:is>
          <x:t xml:space="preserve">CSV source spreadsheet; feature-level representation</x:t>
        </x:is>
      </x:c>
      <x:c r="E180" s="234" t="n"/>
      <x:c r="F180" s="234" t="n"/>
      <x:c r="G180" s="234" t="inlineStr">
        <x:is>
          <x:t xml:space="preserve">right-side plant/root/spiral ornament</x:t>
        </x:is>
      </x:c>
      <x:c r="H180" s="234" t="inlineStr">
        <x:is>
          <x:t xml:space="preserve">Source CSV lists paired spiral/petal artwork on both sides. This row records the right-side motif as a separate spatial feature; detailed branches, roots, and endpoints have not been measured.</x:t>
        </x:is>
      </x:c>
      <x:c r="I180" s="234" t="n"/>
      <x:c r="J180" s="234" t="n"/>
      <x:c r="K180" s="234" t="n"/>
      <x:c r="L180" s="234" t="n"/>
      <x:c r="M180" s="234" t="n"/>
      <x:c r="N180" s="234" t="n"/>
      <x:c r="O180" s="234" t="n"/>
      <x:c r="P180" s="234" t="n"/>
      <x:c r="Q180" s="234" t="inlineStr">
        <x:is>
          <x:t xml:space="preserve">right side of page</x:t>
        </x:is>
      </x:c>
      <x:c r="R180" s="234" t="n"/>
      <x:c r="S180" s="234" t="n"/>
      <x:c r="T180" s="234" t="n"/>
      <x:c r="U180" s="234" t="n"/>
      <x:c r="V180" s="234" t="n"/>
      <x:c r="W180" s="234" t="n"/>
      <x:c r="X180" s="234" t="inlineStr">
        <x:is>
          <x:t xml:space="preserve">right margin beside glyph block</x:t>
        </x:is>
      </x:c>
      <x:c r="Y180" s="234" t="n"/>
      <x:c r="Z180" s="234" t="inlineStr">
        <x:is>
          <x:t xml:space="preserve">medium</x:t>
        </x:is>
      </x:c>
      <x:c r="AA180" s="234" t="inlineStr">
        <x:is>
          <x:t xml:space="preserve">CSV_RECORDED_NOT_IMAGE_VERIFIED</x:t>
        </x:is>
      </x:c>
      <x:c r="AB180" s="234" t="inlineStr">
        <x:is>
          <x:t xml:space="preserve">https://github.com/mrroot01011001/Cicada-3301-/tree/main/liber-primus/pages</x:t>
        </x:is>
      </x:c>
      <x:c r="AC180" s="234" t="n"/>
      <x:c r="AD180" s="234" t="inlineStr">
        <x:is>
          <x:t xml:space="preserve">No corresponding annotated image is present in the annotated-pages repository; retain source observation without adding unverified geometry.</x:t>
        </x:is>
      </x:c>
      <x:c r="AE180" s="234" t="n"/>
      <x:c r="AF180" s="234" t="n"/>
      <x:c r="AG180" s="234" t="n"/>
      <x:c r="AH180" s="234" t="inlineStr">
        <x:is>
          <x:t xml:space="preserve">single_page</x:t>
        </x:is>
      </x:c>
      <x:c r="AI180" s="234" t="inlineStr">
        <x:is>
          <x:t xml:space="preserve">72.JPG</x:t>
        </x:is>
      </x:c>
      <x:c r="AJ180" s="234" t="inlineStr">
        <x:is>
          <x:t xml:space="preserve">CSV-D040</x:t>
        </x:is>
      </x:c>
      <x:c r="AK180" s="234" t="n">
        <x:v>40</x:v>
      </x:c>
      <x:c r="AL180" s="234" t="inlineStr">
        <x:is>
          <x:t xml:space="preserve">SPIRALS AND PETALS  - CICADA - DEAD OAK TREE</x:t>
        </x:is>
      </x:c>
      <x:c r="AM180" s="234" t="inlineStr">
        <x:is>
          <x:t xml:space="preserve">0</x:t>
        </x:is>
      </x:c>
      <x:c r="AN180" s="234" t="inlineStr">
        <x:is>
          <x:t xml:space="preserve">8</x:t>
        </x:is>
      </x:c>
      <x:c r="AO180" s="234" t="inlineStr">
        <x:is>
          <x:t xml:space="preserve">0</x:t>
        </x:is>
      </x:c>
      <x:c r="AP180" s="234" t="inlineStr">
        <x:is>
          <x:t xml:space="preserve">LEFT AND RIGHT OF THE PAGE  - CICADA SITS AT BOTTOM OF PAGE -  MIDDLE OF PAGE IS DEAD OAK TREE</x:t>
        </x:is>
      </x:c>
      <x:c r="AQ180" s="234" t="inlineStr">
        <x:is>
          <x:t xml:space="preserve">0</x:t>
        </x:is>
      </x:c>
      <x:c r="AR180" s="234" t="inlineStr">
        <x:is>
          <x:t xml:space="preserve">SPIRAL AND PETS ON THE RIGHT SIDE HAVE 5 FULL BLACK PETALS BUT ON THE LEFT SIDE THERE ARE 2 WHITE AND 3 BLACK - CICADA SITS AT BOTTOM OF PAGE  -BETWEEN THE GLYPHS AND THE CICADA IS A ALL WHITE DEAD OAK TREE</x:t>
        </x:is>
      </x:c>
      <x:c r="AS180" s="234" t="n"/>
      <x:c r="AT180" s="234" t="inlineStr">
        <x:is>
          <x:t xml:space="preserve">POPULATED_SOURCE_RECORD</x:t>
        </x:is>
      </x:c>
      <x:c r="AU180" s="234" t="inlineStr">
        <x:is>
          <x:t xml:space="preserve">NO_ANNOTATED_IMAGE_IN_ANNOTATED_REPOSITORY</x:t>
        </x:is>
      </x:c>
    </x:row>
    <x:row r="181" s="232" customFormat="1" ht="32" customHeight="1">
      <x:c r="A181" s="234" t="n">
        <x:v>72</x:v>
      </x:c>
      <x:c r="B181" s="234" t="n"/>
      <x:c r="C181" s="234" t="inlineStr">
        <x:is>
          <x:t xml:space="preserve">LP072-F95</x:t>
        </x:is>
      </x:c>
      <x:c r="D181" s="234" t="inlineStr">
        <x:is>
          <x:t xml:space="preserve">CSV source spreadsheet; feature-level representation</x:t>
        </x:is>
      </x:c>
      <x:c r="E181" s="234" t="n"/>
      <x:c r="F181" s="234" t="n"/>
      <x:c r="G181" s="234" t="inlineStr">
        <x:is>
          <x:t xml:space="preserve">external dot count (page aggregate; cluster positions unknown)</x:t>
        </x:is>
      </x:c>
      <x:c r="H181" s="234" t="inlineStr">
        <x:is>
          <x:t xml:space="preserve">Source CSV records eight external dots for this page's paired spiral/petal decoration; individual cluster positions are not separately recorded in the source row.</x:t>
        </x:is>
      </x:c>
      <x:c r="I181" s="234" t="n">
        <x:v>8</x:v>
      </x:c>
      <x:c r="J181" s="234" t="n"/>
      <x:c r="K181" s="234" t="n">
        <x:v>8</x:v>
      </x:c>
      <x:c r="L181" s="234" t="n"/>
      <x:c r="M181" s="234" t="n"/>
      <x:c r="N181" s="234" t="n"/>
      <x:c r="O181" s="234" t="n"/>
      <x:c r="P181" s="234" t="n"/>
      <x:c r="Q181" s="234" t="inlineStr">
        <x:is>
          <x:t xml:space="preserve">left and right of page</x:t>
        </x:is>
      </x:c>
      <x:c r="R181" s="234" t="n"/>
      <x:c r="S181" s="234" t="n"/>
      <x:c r="T181" s="234" t="n"/>
      <x:c r="U181" s="234" t="n"/>
      <x:c r="V181" s="234" t="n"/>
      <x:c r="W181" s="234" t="n"/>
      <x:c r="X181" s="234" t="inlineStr">
        <x:is>
          <x:t xml:space="preserve">Paired spiral/petal decoration; cluster allocation unknown</x:t>
        </x:is>
      </x:c>
      <x:c r="Y181" s="234" t="n"/>
      <x:c r="Z181" s="234" t="inlineStr">
        <x:is>
          <x:t xml:space="preserve">medium</x:t>
        </x:is>
      </x:c>
      <x:c r="AA181" s="234" t="inlineStr">
        <x:is>
          <x:t xml:space="preserve">CSV_RECORDED_NOT_IMAGE_VERIFIED</x:t>
        </x:is>
      </x:c>
      <x:c r="AB181" s="234" t="inlineStr">
        <x:is>
          <x:t xml:space="preserve">https://github.com/mrroot01011001/Cicada-3301-/tree/main/liber-primus/pages</x:t>
        </x:is>
      </x:c>
      <x:c r="AC181" s="234" t="n"/>
      <x:c r="AD181" s="234" t="inlineStr">
        <x:is>
          <x:t xml:space="preserve">Do not infer an exact left/right split from this aggregate; pages 57 and 68 have separate annotated dot-cluster records.</x:t>
        </x:is>
      </x:c>
      <x:c r="AE181" s="234" t="n"/>
      <x:c r="AF181" s="234" t="n"/>
      <x:c r="AG181" s="234" t="n"/>
      <x:c r="AH181" s="234" t="inlineStr">
        <x:is>
          <x:t xml:space="preserve">single_page</x:t>
        </x:is>
      </x:c>
      <x:c r="AI181" s="234" t="inlineStr">
        <x:is>
          <x:t xml:space="preserve">72.JPG</x:t>
        </x:is>
      </x:c>
      <x:c r="AJ181" s="234" t="inlineStr">
        <x:is>
          <x:t xml:space="preserve">CSV-D040</x:t>
        </x:is>
      </x:c>
      <x:c r="AK181" s="234" t="n">
        <x:v>40</x:v>
      </x:c>
      <x:c r="AL181" s="234" t="inlineStr">
        <x:is>
          <x:t xml:space="preserve">SPIRALS AND PETALS  - CICADA - DEAD OAK TREE</x:t>
        </x:is>
      </x:c>
      <x:c r="AM181" s="234" t="inlineStr">
        <x:is>
          <x:t xml:space="preserve">0</x:t>
        </x:is>
      </x:c>
      <x:c r="AN181" s="234" t="inlineStr">
        <x:is>
          <x:t xml:space="preserve">8</x:t>
        </x:is>
      </x:c>
      <x:c r="AO181" s="234" t="inlineStr">
        <x:is>
          <x:t xml:space="preserve">0</x:t>
        </x:is>
      </x:c>
      <x:c r="AP181" s="234" t="inlineStr">
        <x:is>
          <x:t xml:space="preserve">LEFT AND RIGHT OF THE PAGE  - CICADA SITS AT BOTTOM OF PAGE -  MIDDLE OF PAGE IS DEAD OAK TREE</x:t>
        </x:is>
      </x:c>
      <x:c r="AQ181" s="234" t="inlineStr">
        <x:is>
          <x:t xml:space="preserve">0</x:t>
        </x:is>
      </x:c>
      <x:c r="AR181" s="234" t="inlineStr">
        <x:is>
          <x:t xml:space="preserve">SPIRAL AND PETS ON THE RIGHT SIDE HAVE 5 FULL BLACK PETALS BUT ON THE LEFT SIDE THERE ARE 2 WHITE AND 3 BLACK - CICADA SITS AT BOTTOM OF PAGE  -BETWEEN THE GLYPHS AND THE CICADA IS A ALL WHITE DEAD OAK TREE</x:t>
        </x:is>
      </x:c>
      <x:c r="AS181" s="234" t="n"/>
      <x:c r="AT181" s="234" t="inlineStr">
        <x:is>
          <x:t xml:space="preserve">POPULATED_SOURCE_RECORD</x:t>
        </x:is>
      </x:c>
      <x:c r="AU181" s="234" t="inlineStr">
        <x:is>
          <x:t xml:space="preserve">NO_ANNOTATED_IMAGE_IN_ANNOTATED_REPOSITORY</x:t>
        </x:is>
      </x:c>
    </x:row>
    <x:row r="182" s="232" customFormat="1" ht="32" customHeight="1">
      <x:c r="A182" s="234" t="n">
        <x:v>72</x:v>
      </x:c>
      <x:c r="B182" s="234" t="n"/>
      <x:c r="C182" s="234" t="inlineStr">
        <x:is>
          <x:t xml:space="preserve">LP072-F96</x:t>
        </x:is>
      </x:c>
      <x:c r="D182" s="234" t="inlineStr">
        <x:is>
          <x:t xml:space="preserve">CSV source spreadsheet; feature-level representation</x:t>
        </x:is>
      </x:c>
      <x:c r="E182" s="234" t="n"/>
      <x:c r="F182" s="234" t="n"/>
      <x:c r="G182" s="234" t="inlineStr">
        <x:is>
          <x:t xml:space="preserve">cicada illustration</x:t>
        </x:is>
      </x:c>
      <x:c r="H182" s="234" t="inlineStr">
        <x:is>
          <x:t xml:space="preserve">Source CSV notes that a cicada sits at the bottom of the page.</x:t>
        </x:is>
      </x:c>
      <x:c r="I182" s="234" t="n"/>
      <x:c r="J182" s="234" t="n"/>
      <x:c r="K182" s="234" t="n"/>
      <x:c r="L182" s="234" t="n"/>
      <x:c r="M182" s="234" t="n"/>
      <x:c r="N182" s="234" t="n"/>
      <x:c r="O182" s="234" t="n"/>
      <x:c r="P182" s="234" t="n"/>
      <x:c r="Q182" s="234" t="n"/>
      <x:c r="R182" s="234" t="n"/>
      <x:c r="S182" s="234" t="n"/>
      <x:c r="T182" s="234" t="n"/>
      <x:c r="U182" s="234" t="n"/>
      <x:c r="V182" s="234" t="n"/>
      <x:c r="W182" s="234" t="n"/>
      <x:c r="X182" s="234" t="inlineStr">
        <x:is>
          <x:t xml:space="preserve">bottom of page below text</x:t>
        </x:is>
      </x:c>
      <x:c r="Y182" s="234" t="n"/>
      <x:c r="Z182" s="234" t="inlineStr">
        <x:is>
          <x:t xml:space="preserve">medium</x:t>
        </x:is>
      </x:c>
      <x:c r="AA182" s="234" t="inlineStr">
        <x:is>
          <x:t xml:space="preserve">CSV_RECORDED_NOT_IMAGE_VERIFIED</x:t>
        </x:is>
      </x:c>
      <x:c r="AB182" s="234" t="inlineStr">
        <x:is>
          <x:t xml:space="preserve">https://github.com/mrroot01011001/Cicada-3301-/tree/main/liber-primus/pages</x:t>
        </x:is>
      </x:c>
      <x:c r="AC182" s="234" t="n"/>
      <x:c r="AD182" s="234" t="inlineStr">
        <x:is>
          <x:t xml:space="preserve">Component separated from the paired spiral/petal motif because the source specifies a distinct lower-page cicada.</x:t>
        </x:is>
      </x:c>
      <x:c r="AE182" s="234" t="n"/>
      <x:c r="AF182" s="234" t="n"/>
      <x:c r="AG182" s="234" t="n"/>
      <x:c r="AH182" s="234" t="inlineStr">
        <x:is>
          <x:t xml:space="preserve">single_page</x:t>
        </x:is>
      </x:c>
      <x:c r="AI182" s="234" t="inlineStr">
        <x:is>
          <x:t xml:space="preserve">72.JPG</x:t>
        </x:is>
      </x:c>
      <x:c r="AJ182" s="234" t="inlineStr">
        <x:is>
          <x:t xml:space="preserve">CSV-D040</x:t>
        </x:is>
      </x:c>
      <x:c r="AK182" s="234" t="n">
        <x:v>40</x:v>
      </x:c>
      <x:c r="AL182" s="234" t="inlineStr">
        <x:is>
          <x:t xml:space="preserve">SPIRALS AND PETALS  - CICADA - DEAD OAK TREE</x:t>
        </x:is>
      </x:c>
      <x:c r="AM182" s="234" t="inlineStr">
        <x:is>
          <x:t xml:space="preserve">0</x:t>
        </x:is>
      </x:c>
      <x:c r="AN182" s="234" t="inlineStr">
        <x:is>
          <x:t xml:space="preserve">8</x:t>
        </x:is>
      </x:c>
      <x:c r="AO182" s="234" t="inlineStr">
        <x:is>
          <x:t xml:space="preserve">0</x:t>
        </x:is>
      </x:c>
      <x:c r="AP182" s="234" t="inlineStr">
        <x:is>
          <x:t xml:space="preserve">LEFT AND RIGHT OF THE PAGE  - CICADA SITS AT BOTTOM OF PAGE -  MIDDLE OF PAGE IS DEAD OAK TREE</x:t>
        </x:is>
      </x:c>
      <x:c r="AQ182" s="234" t="inlineStr">
        <x:is>
          <x:t xml:space="preserve">0</x:t>
        </x:is>
      </x:c>
      <x:c r="AR182" s="234" t="inlineStr">
        <x:is>
          <x:t xml:space="preserve">SPIRAL AND PETS ON THE RIGHT SIDE HAVE 5 FULL BLACK PETALS BUT ON THE LEFT SIDE THERE ARE 2 WHITE AND 3 BLACK - CICADA SITS AT BOTTOM OF PAGE  -BETWEEN THE GLYPHS AND THE CICADA IS A ALL WHITE DEAD OAK TREE</x:t>
        </x:is>
      </x:c>
      <x:c r="AS182" s="234" t="n"/>
      <x:c r="AT182" s="234" t="inlineStr">
        <x:is>
          <x:t xml:space="preserve">POPULATED_SOURCE_RECORD</x:t>
        </x:is>
      </x:c>
      <x:c r="AU182" s="234" t="inlineStr">
        <x:is>
          <x:t xml:space="preserve">NO_ANNOTATED_IMAGE_IN_ANNOTATED_REPOSITORY</x:t>
        </x:is>
      </x:c>
    </x:row>
    <x:row r="183" s="232" customFormat="1" ht="32" customHeight="1">
      <x:c r="A183" s="234" t="n">
        <x:v>72</x:v>
      </x:c>
      <x:c r="B183" s="234" t="n"/>
      <x:c r="C183" s="234" t="inlineStr">
        <x:is>
          <x:t xml:space="preserve">LP072-F97</x:t>
        </x:is>
      </x:c>
      <x:c r="D183" s="234" t="inlineStr">
        <x:is>
          <x:t xml:space="preserve">CSV source spreadsheet; feature-level representation</x:t>
        </x:is>
      </x:c>
      <x:c r="E183" s="234" t="n"/>
      <x:c r="F183" s="234" t="n"/>
      <x:c r="G183" s="234" t="inlineStr">
        <x:is>
          <x:t xml:space="preserve">all-white dead oak tree illustration</x:t>
        </x:is>
      </x:c>
      <x:c r="H183" s="234" t="inlineStr">
        <x:is>
          <x:t xml:space="preserve">Source CSV describes an all-white dead oak tree in the middle of the page, between the glyphs and the cicada.</x:t>
        </x:is>
      </x:c>
      <x:c r="I183" s="234" t="n"/>
      <x:c r="J183" s="234" t="n"/>
      <x:c r="K183" s="234" t="n"/>
      <x:c r="L183" s="234" t="n"/>
      <x:c r="M183" s="234" t="n"/>
      <x:c r="N183" s="234" t="n"/>
      <x:c r="O183" s="234" t="n"/>
      <x:c r="P183" s="234" t="n"/>
      <x:c r="Q183" s="234" t="n"/>
      <x:c r="R183" s="234" t="n"/>
      <x:c r="S183" s="234" t="n"/>
      <x:c r="T183" s="234" t="n"/>
      <x:c r="U183" s="234" t="n"/>
      <x:c r="V183" s="234" t="n"/>
      <x:c r="W183" s="234" t="n"/>
      <x:c r="X183" s="234" t="inlineStr">
        <x:is>
          <x:t xml:space="preserve">middle of page between glyph block and cicada</x:t>
        </x:is>
      </x:c>
      <x:c r="Y183" s="234" t="n"/>
      <x:c r="Z183" s="234" t="inlineStr">
        <x:is>
          <x:t xml:space="preserve">medium</x:t>
        </x:is>
      </x:c>
      <x:c r="AA183" s="234" t="inlineStr">
        <x:is>
          <x:t xml:space="preserve">CSV_RECORDED_NOT_IMAGE_VERIFIED</x:t>
        </x:is>
      </x:c>
      <x:c r="AB183" s="234" t="inlineStr">
        <x:is>
          <x:t xml:space="preserve">https://github.com/mrroot01011001/Cicada-3301-/tree/main/liber-primus/pages</x:t>
        </x:is>
      </x:c>
      <x:c r="AC183" s="234" t="n"/>
      <x:c r="AD183" s="234" t="inlineStr">
        <x:is>
          <x:t xml:space="preserve">Preserve the source's color description ('all white'); structure and branch endpoints not measured.</x:t>
        </x:is>
      </x:c>
      <x:c r="AE183" s="234" t="n"/>
      <x:c r="AF183" s="234" t="n"/>
      <x:c r="AG183" s="234" t="n"/>
      <x:c r="AH183" s="234" t="inlineStr">
        <x:is>
          <x:t xml:space="preserve">single_page</x:t>
        </x:is>
      </x:c>
      <x:c r="AI183" s="234" t="inlineStr">
        <x:is>
          <x:t xml:space="preserve">72.JPG</x:t>
        </x:is>
      </x:c>
      <x:c r="AJ183" s="234" t="inlineStr">
        <x:is>
          <x:t xml:space="preserve">CSV-D040</x:t>
        </x:is>
      </x:c>
      <x:c r="AK183" s="234" t="n">
        <x:v>40</x:v>
      </x:c>
      <x:c r="AL183" s="234" t="inlineStr">
        <x:is>
          <x:t xml:space="preserve">SPIRALS AND PETALS  - CICADA - DEAD OAK TREE</x:t>
        </x:is>
      </x:c>
      <x:c r="AM183" s="234" t="inlineStr">
        <x:is>
          <x:t xml:space="preserve">0</x:t>
        </x:is>
      </x:c>
      <x:c r="AN183" s="234" t="inlineStr">
        <x:is>
          <x:t xml:space="preserve">8</x:t>
        </x:is>
      </x:c>
      <x:c r="AO183" s="234" t="inlineStr">
        <x:is>
          <x:t xml:space="preserve">0</x:t>
        </x:is>
      </x:c>
      <x:c r="AP183" s="234" t="inlineStr">
        <x:is>
          <x:t xml:space="preserve">LEFT AND RIGHT OF THE PAGE  - CICADA SITS AT BOTTOM OF PAGE -  MIDDLE OF PAGE IS DEAD OAK TREE</x:t>
        </x:is>
      </x:c>
      <x:c r="AQ183" s="234" t="inlineStr">
        <x:is>
          <x:t xml:space="preserve">0</x:t>
        </x:is>
      </x:c>
      <x:c r="AR183" s="234" t="inlineStr">
        <x:is>
          <x:t xml:space="preserve">SPIRAL AND PETS ON THE RIGHT SIDE HAVE 5 FULL BLACK PETALS BUT ON THE LEFT SIDE THERE ARE 2 WHITE AND 3 BLACK - CICADA SITS AT BOTTOM OF PAGE  -BETWEEN THE GLYPHS AND THE CICADA IS A ALL WHITE DEAD OAK TREE</x:t>
        </x:is>
      </x:c>
      <x:c r="AS183" s="234" t="n"/>
      <x:c r="AT183" s="234" t="inlineStr">
        <x:is>
          <x:t xml:space="preserve">POPULATED_SOURCE_RECORD</x:t>
        </x:is>
      </x:c>
      <x:c r="AU183" s="234" t="inlineStr">
        <x:is>
          <x:t xml:space="preserve">NO_ANNOTATED_IMAGE_IN_ANNOTATED_REPOSITORY</x:t>
        </x:is>
      </x:c>
    </x:row>
    <x:row r="184" s="232" customFormat="1" ht="32" customHeight="1">
      <x:c r="A184" s="234" t="n">
        <x:v>73</x:v>
      </x:c>
      <x:c r="B184" s="234" t="inlineStr">
        <x:is>
          <x:t xml:space="preserve">73.jpg</x:t>
        </x:is>
      </x:c>
      <x:c r="C184" s="234" t="inlineStr">
        <x:is>
          <x:t xml:space="preserve">LP073-F01</x:t>
        </x:is>
      </x:c>
      <x:c r="D184" s="234" t="inlineStr">
        <x:is>
          <x:t xml:space="preserve">original artwork + user annotation</x:t>
        </x:is>
      </x:c>
      <x:c r="E184" s="234" t="inlineStr">
        <x:is>
          <x:t xml:space="preserve">orange labels</x:t>
        </x:is>
      </x:c>
      <x:c r="F184" s="234" t="inlineStr">
        <x:is>
          <x:t xml:space="preserve">1–5</x:t>
        </x:is>
      </x:c>
      <x:c r="G184" s="234" t="inlineStr">
        <x:is>
          <x:t xml:space="preserve">five-dot arrangement</x:t>
        </x:is>
      </x:c>
      <x:c r="H184" s="234" t="inlineStr">
        <x:is>
          <x:t xml:space="preserve">Five separate black dots beneath the text and hash-like block, numbered 1–5 in orange.</x:t>
        </x:is>
      </x:c>
      <x:c r="I184" s="234" t="n">
        <x:v>5</x:v>
      </x:c>
      <x:c r="J184" s="234" t="n"/>
      <x:c r="K184" s="234" t="n">
        <x:v>5</x:v>
      </x:c>
      <x:c r="L184" s="234" t="n"/>
      <x:c r="M184" s="234" t="n"/>
      <x:c r="N184" s="234" t="n"/>
      <x:c r="O184" s="234" t="n"/>
      <x:c r="P184" s="234" t="n"/>
      <x:c r="Q184" s="234" t="n"/>
      <x:c r="R184" s="234" t="n"/>
      <x:c r="S184" s="234" t="n"/>
      <x:c r="T184" s="234" t="n"/>
      <x:c r="U184" s="234" t="n"/>
      <x:c r="V184" s="234" t="n"/>
      <x:c r="W184" s="234" t="n"/>
      <x:c r="X184" s="234" t="inlineStr">
        <x:is>
          <x:t xml:space="preserve">lower page</x:t>
        </x:is>
      </x:c>
      <x:c r="Y184" s="234" t="inlineStr">
        <x:is>
          <x:t xml:space="preserve">May be a rotated/reflected counterpart of the arrangements on pages 24 and 40; not coordinate-verified.</x:t>
        </x:is>
      </x:c>
      <x:c r="Z184" s="234" t="inlineStr">
        <x:is>
          <x:t xml:space="preserve">high</x:t>
        </x:is>
      </x:c>
      <x:c r="AA184" s="234" t="inlineStr">
        <x:is>
          <x:t xml:space="preserve">ANNOTATION_VISIBLE</x:t>
        </x:is>
      </x:c>
      <x:c r="AB184" s="234" t="inlineStr">
        <x:is>
          <x:t xml:space="preserve">https://github.com/mrroot01011001/Cicada-3301-/blob/main/liber-primus/pages/73.jpg</x:t>
        </x:is>
      </x:c>
      <x:c r="AC184" s="234" t="inlineStr">
        <x:is>
          <x:t xml:space="preserve">https://github.com/mrfentmen/annotated-pages/blob/main/73.jpg</x:t>
        </x:is>
      </x:c>
      <x:c r="AD184" s="234" t="inlineStr">
        <x:is>
          <x:t xml:space="preserve">Preserve page-specific numbering order. Coordinates not measured.</x:t>
        </x:is>
      </x:c>
      <x:c r="AE184" s="234" t="n"/>
      <x:c r="AF184" s="234" t="n"/>
      <x:c r="AG184" s="234" t="n"/>
      <x:c r="AH184" s="234" t="inlineStr">
        <x:is>
          <x:t xml:space="preserve">single_page</x:t>
        </x:is>
      </x:c>
      <x:c r="AI184" s="234" t="inlineStr">
        <x:is>
          <x:t xml:space="preserve">73.JPG</x:t>
        </x:is>
      </x:c>
      <x:c r="AJ184" s="234" t="inlineStr">
        <x:is>
          <x:t xml:space="preserve">CSV-D041</x:t>
        </x:is>
      </x:c>
      <x:c r="AK184" s="234" t="n">
        <x:v>41</x:v>
      </x:c>
      <x:c r="AL184" s="234" t="inlineStr">
        <x:is>
          <x:t xml:space="preserve">5 DOT CONSTIALTION</x:t>
        </x:is>
      </x:c>
      <x:c r="AM184" s="234" t="inlineStr">
        <x:is>
          <x:t xml:space="preserve">0</x:t>
        </x:is>
      </x:c>
      <x:c r="AN184" s="234" t="inlineStr">
        <x:is>
          <x:t xml:space="preserve">5</x:t>
        </x:is>
      </x:c>
      <x:c r="AO184" s="234" t="inlineStr">
        <x:is>
          <x:t xml:space="preserve">0</x:t>
        </x:is>
      </x:c>
      <x:c r="AP184" s="234" t="inlineStr">
        <x:is>
          <x:t xml:space="preserve">5 DOTS ON THE BOTTOM OF THE PAGE BELOW ALL GLYPHS</x:t>
        </x:is>
      </x:c>
      <x:c r="AQ184" s="234" t="inlineStr">
        <x:is>
          <x:t xml:space="preserve">5</x:t>
        </x:is>
      </x:c>
      <x:c r="AR184" s="234" t="n"/>
      <x:c r="AS184" s="234" t="n"/>
      <x:c r="AT184" s="234" t="inlineStr">
        <x:is>
          <x:t xml:space="preserve">POPULATED_SOURCE_RECORD</x:t>
        </x:is>
      </x:c>
      <x:c r="AU184" s="234" t="inlineStr">
        <x:is>
          <x:t xml:space="preserve">ANNOTATED_IMAGE_AVAILABLE</x:t>
        </x:is>
      </x:c>
    </x:row>
    <x:row r="185" s="232" customFormat="1" ht="32" customHeight="1">
      <x:c r="A185" s="234" t="n">
        <x:v>73</x:v>
      </x:c>
      <x:c r="B185" s="234" t="inlineStr">
        <x:is>
          <x:t xml:space="preserve">73.jpg</x:t>
        </x:is>
      </x:c>
      <x:c r="C185" s="234" t="inlineStr">
        <x:is>
          <x:t xml:space="preserve">LP073-F02</x:t>
        </x:is>
      </x:c>
      <x:c r="D185" s="234" t="inlineStr">
        <x:is>
          <x:t xml:space="preserve">original artwork</x:t>
        </x:is>
      </x:c>
      <x:c r="E185" s="234" t="inlineStr">
        <x:is>
          <x:t xml:space="preserve">red</x:t>
        </x:is>
      </x:c>
      <x:c r="F185" s="234" t="n"/>
      <x:c r="G185" s="234" t="inlineStr">
        <x:is>
          <x:t xml:space="preserve">oversized red initial rune</x:t>
        </x:is>
      </x:c>
      <x:c r="H185" s="234" t="inlineStr">
        <x:is>
          <x:t xml:space="preserve">Large red angular rune at the beginning of the upper text section.</x:t>
        </x:is>
      </x:c>
      <x:c r="I185" s="234" t="n"/>
      <x:c r="J185" s="234" t="n"/>
      <x:c r="K185" s="234" t="n"/>
      <x:c r="L185" s="234" t="n"/>
      <x:c r="M185" s="234" t="n"/>
      <x:c r="N185" s="234" t="n"/>
      <x:c r="O185" s="234" t="n"/>
      <x:c r="P185" s="234" t="n"/>
      <x:c r="Q185" s="234" t="n"/>
      <x:c r="R185" s="234" t="n"/>
      <x:c r="S185" s="234" t="n"/>
      <x:c r="T185" s="234" t="n"/>
      <x:c r="U185" s="234" t="n"/>
      <x:c r="V185" s="234" t="n"/>
      <x:c r="W185" s="234" t="n"/>
      <x:c r="X185" s="234" t="inlineStr">
        <x:is>
          <x:t xml:space="preserve">left of upper text block</x:t>
        </x:is>
      </x:c>
      <x:c r="Y185" s="234" t="n"/>
      <x:c r="Z185" s="234" t="inlineStr">
        <x:is>
          <x:t xml:space="preserve">high</x:t>
        </x:is>
      </x:c>
      <x:c r="AA185" s="234" t="inlineStr">
        <x:is>
          <x:t xml:space="preserve">OBSERVED</x:t>
        </x:is>
      </x:c>
      <x:c r="AB185" s="234" t="inlineStr">
        <x:is>
          <x:t xml:space="preserve">https://github.com/mrroot01011001/Cicada-3301-/blob/main/liber-primus/pages/73.jpg</x:t>
        </x:is>
      </x:c>
      <x:c r="AC185" s="234" t="inlineStr">
        <x:is>
          <x:t xml:space="preserve">https://github.com/mrfentmen/annotated-pages/blob/main/73.jpg</x:t>
        </x:is>
      </x:c>
      <x:c r="AD185" s="234" t="inlineStr">
        <x:is>
          <x:t xml:space="preserve">Printed page artwork.</x:t>
        </x:is>
      </x:c>
      <x:c r="AE185" s="234" t="n"/>
      <x:c r="AF185" s="234" t="n"/>
      <x:c r="AG185" s="234" t="n"/>
      <x:c r="AH185" s="234" t="inlineStr">
        <x:is>
          <x:t xml:space="preserve">single_page</x:t>
        </x:is>
      </x:c>
      <x:c r="AI185" s="234" t="inlineStr">
        <x:is>
          <x:t xml:space="preserve">73.JPG</x:t>
        </x:is>
      </x:c>
      <x:c r="AJ185" s="234" t="inlineStr">
        <x:is>
          <x:t xml:space="preserve">CSV-D041</x:t>
        </x:is>
      </x:c>
      <x:c r="AK185" s="234" t="n">
        <x:v>41</x:v>
      </x:c>
      <x:c r="AL185" s="234" t="inlineStr">
        <x:is>
          <x:t xml:space="preserve">5 DOT CONSTIALTION</x:t>
        </x:is>
      </x:c>
      <x:c r="AM185" s="234" t="inlineStr">
        <x:is>
          <x:t xml:space="preserve">0</x:t>
        </x:is>
      </x:c>
      <x:c r="AN185" s="234" t="inlineStr">
        <x:is>
          <x:t xml:space="preserve">5</x:t>
        </x:is>
      </x:c>
      <x:c r="AO185" s="234" t="inlineStr">
        <x:is>
          <x:t xml:space="preserve">0</x:t>
        </x:is>
      </x:c>
      <x:c r="AP185" s="234" t="inlineStr">
        <x:is>
          <x:t xml:space="preserve">5 DOTS ON THE BOTTOM OF THE PAGE BELOW ALL GLYPHS</x:t>
        </x:is>
      </x:c>
      <x:c r="AQ185" s="234" t="inlineStr">
        <x:is>
          <x:t xml:space="preserve">5</x:t>
        </x:is>
      </x:c>
      <x:c r="AR185" s="234" t="n"/>
      <x:c r="AS185" s="234" t="n"/>
      <x:c r="AT185" s="234" t="inlineStr">
        <x:is>
          <x:t xml:space="preserve">POPULATED_SOURCE_RECORD</x:t>
        </x:is>
      </x:c>
      <x:c r="AU185" s="234" t="inlineStr">
        <x:is>
          <x:t xml:space="preserve">ANNOTATED_IMAGE_AVAILABLE</x:t>
        </x:is>
      </x:c>
    </x:row>
    <x:row r="186" s="232" customFormat="1" ht="32" customHeight="1">
      <x:c r="A186" s="234" t="n">
        <x:v>74</x:v>
      </x:c>
      <x:c r="B186" s="234" t="n"/>
      <x:c r="C186" s="234" t="inlineStr">
        <x:is>
          <x:t xml:space="preserve">LP074-F00</x:t>
        </x:is>
      </x:c>
      <x:c r="D186" s="234" t="inlineStr">
        <x:is>
          <x:t xml:space="preserve">CSV source spreadsheet; feature-level representation</x:t>
        </x:is>
      </x:c>
      <x:c r="E186" s="234" t="n"/>
      <x:c r="F186" s="234" t="n"/>
      <x:c r="G186" s="234" t="inlineStr">
        <x:is>
          <x:t xml:space="preserve">empty source record — no visual feature described</x:t>
        </x:is>
      </x:c>
      <x:c r="H186" s="234" t="inlineStr">
        <x:is>
          <x:t xml:space="preserve">The source CSV contains a PAGE value of 74.JPG but no visual-object, counts, orientation, or notes.</x:t>
        </x:is>
      </x:c>
      <x:c r="I186" s="234" t="n"/>
      <x:c r="J186" s="234" t="n"/>
      <x:c r="K186" s="234" t="n"/>
      <x:c r="L186" s="234" t="n"/>
      <x:c r="M186" s="234" t="n"/>
      <x:c r="N186" s="234" t="n"/>
      <x:c r="O186" s="234" t="n"/>
      <x:c r="P186" s="234" t="n"/>
      <x:c r="Q186" s="234" t="n"/>
      <x:c r="R186" s="234" t="n"/>
      <x:c r="S186" s="234" t="n"/>
      <x:c r="T186" s="234" t="n"/>
      <x:c r="U186" s="234" t="n"/>
      <x:c r="V186" s="234" t="n"/>
      <x:c r="W186" s="234" t="n"/>
      <x:c r="X186" s="234" t="n"/>
      <x:c r="Y186" s="234" t="n"/>
      <x:c r="Z186" s="234" t="inlineStr">
        <x:is>
          <x:t xml:space="preserve">unknown</x:t>
        </x:is>
      </x:c>
      <x:c r="AA186" s="234" t="inlineStr">
        <x:is>
          <x:t xml:space="preserve">EMPTY_SOURCE_RECORD_NOT_A_VISUAL_FEATURE</x:t>
        </x:is>
      </x:c>
      <x:c r="AB186" s="234" t="inlineStr">
        <x:is>
          <x:t xml:space="preserve">https://github.com/mrroot01011001/Cicada-3301-/tree/main/liber-primus/pages</x:t>
        </x:is>
      </x:c>
      <x:c r="AC186" s="234" t="n"/>
      <x:c r="AD186" s="234" t="inlineStr">
        <x:is>
          <x:t xml:space="preserve">Placeholder for completeness only. Do not treat this as an observed feature or a zero-feature page.</x:t>
        </x:is>
      </x:c>
      <x:c r="AE186" s="234" t="n"/>
      <x:c r="AF186" s="234" t="n"/>
      <x:c r="AG186" s="234" t="n"/>
      <x:c r="AH186" s="234" t="inlineStr">
        <x:is>
          <x:t xml:space="preserve">single_page</x:t>
        </x:is>
      </x:c>
      <x:c r="AI186" s="234" t="inlineStr">
        <x:is>
          <x:t xml:space="preserve">74.JPG</x:t>
        </x:is>
      </x:c>
      <x:c r="AJ186" s="234" t="inlineStr">
        <x:is>
          <x:t xml:space="preserve">CSV-D042</x:t>
        </x:is>
      </x:c>
      <x:c r="AK186" s="234" t="n">
        <x:v>42</x:v>
      </x:c>
      <x:c r="AL186" s="234" t="n"/>
      <x:c r="AM186" s="234" t="n"/>
      <x:c r="AN186" s="234" t="n"/>
      <x:c r="AO186" s="234" t="n"/>
      <x:c r="AP186" s="234" t="n"/>
      <x:c r="AQ186" s="234" t="n"/>
      <x:c r="AR186" s="234" t="n"/>
      <x:c r="AS186" s="234" t="n"/>
      <x:c r="AT186" s="234" t="inlineStr">
        <x:is>
          <x:t xml:space="preserve">EMPTY_SOURCE_RECORD</x:t>
        </x:is>
      </x:c>
      <x:c r="AU186" s="234" t="inlineStr">
        <x:is>
          <x:t xml:space="preserve">NO_ANNOTATED_IMAGE_IN_ANNOTATED_REPOSITORY</x:t>
        </x:is>
      </x:c>
    </x:row>
  </x:sheetData>
  <x:pageMargins left="0.7" right="0.7" top="0.75" bottom="0.75" header="0.3" footer="0.3"/>
  <x:tableParts count="1">
    <x:tablePart xmlns:r="http://schemas.openxmlformats.org/officeDocument/2006/relationships" r:id="Rabdd1ba3d90f4d27"/>
  </x:tableParts>
</x:worksheet>
</file>

<file path=xl/worksheets/sheet2.xml><?xml version="1.0" encoding="utf-8"?>
<x:worksheet xmlns:x="http://schemas.openxmlformats.org/spreadsheetml/2006/main">
  <x:sheetFormatPr baseColWidth="8" defaultRowHeight="15"/>
  <x:cols>
    <x:col min="1" max="1" width="30" style="232" customWidth="1"/>
    <x:col min="2" max="2" width="110" style="232" customWidth="1"/>
  </x:cols>
  <x:sheetData>
    <x:row r="1" s="232" customFormat="1" ht="32" customHeight="1">
      <x:c r="A1" s="51" t="inlineStr">
        <x:is>
          <x:t xml:space="preserve">Liber Primus Visual Geometry — Master Dataset v0.7</x:t>
        </x:is>
      </x:c>
      <x:c r="B1" s="1" t="n"/>
    </x:row>
    <x:row r="2" s="232" customFormat="1" ht="38" customHeight="1">
      <x:c r="A2" s="70" t="inlineStr">
        <x:is>
          <x:t xml:space="preserve">Working dataset</x:t>
        </x:is>
      </x:c>
      <x:c r="B2" s="234" t="inlineStr">
        <x:is>
          <x:t xml:space="preserve">Master Dataset is the single feature-level working table. Existing feature IDs, annotations, colors, notes and hypotheses were preserved; CSV source fields were added as page-level provenance context.</x:t>
        </x:is>
      </x:c>
    </x:row>
    <x:row r="3" s="232" customFormat="1" ht="38" customHeight="1">
      <x:c r="A3" s="70" t="inlineStr">
        <x:is>
          <x:t xml:space="preserve">Master records</x:t>
        </x:is>
      </x:c>
      <x:c r="B3" s="234" t="inlineStr">
        <x:is>
          <x:t xml:space="preserve">185 feature/reference rows plus one header row; 47 columns including existing geometry fields, petal fields, and source CSV fields.</x:t>
        </x:is>
      </x:c>
    </x:row>
    <x:row r="4" s="232" customFormat="1" ht="38" customHeight="1">
      <x:c r="A4" s="70" t="inlineStr">
        <x:is>
          <x:t xml:space="preserve">Primary source spreadsheet</x:t>
        </x:is>
      </x:c>
      <x:c r="B4" s="234" t="inlineStr">
        <x:is>
          <x:t xml:space="preserve">/mnt/data/cicadadataset.csv — imported in original record order.</x:t>
        </x:is>
      </x:c>
    </x:row>
    <x:row r="5" s="232" customFormat="1" ht="38" customHeight="1">
      <x:c r="A5" s="70" t="inlineStr">
        <x:is>
          <x:t xml:space="preserve">Raw source preservation</x:t>
        </x:is>
      </x:c>
      <x:c r="B5" s="234" t="inlineStr">
        <x:is>
          <x:t xml:space="preserve">CSV Source Archive stores all parsed CSV rows and all 9 original fields, including the initial generic 'Column 1–9' row, the actual header row, all multiline notes, the empty page-74 record, and duplicate empty page-69 records.</x:t>
        </x:is>
      </x:c>
    </x:row>
    <x:row r="6" s="232" customFormat="1" ht="38" customHeight="1">
      <x:c r="A6" s="70" t="inlineStr">
        <x:is>
          <x:t xml:space="preserve">CSV source coverage</x:t>
        </x:is>
      </x:c>
      <x:c r="B6" s="234" t="inlineStr">
        <x:is>
          <x:t xml:space="preserve">44 data records after the two leading header-like rows; 41 populated unique page records; page labels cover 42 unique pages when the empty page-74 record is included.</x:t>
        </x:is>
      </x:c>
    </x:row>
    <x:row r="7" s="232" customFormat="1" ht="38" customHeight="1">
      <x:c r="A7" s="70" t="inlineStr">
        <x:is>
          <x:t xml:space="preserve">Annotated repository</x:t>
        </x:is>
      </x:c>
      <x:c r="B7" s="234" t="inlineStr">
        <x:is>
          <x:t xml:space="preserve">https://github.com/mrfentmen/annotated-pages</x:t>
        </x:is>
      </x:c>
    </x:row>
    <x:row r="8" s="232" customFormat="1" ht="38" customHeight="1">
      <x:c r="A8" s="70" t="inlineStr">
        <x:is>
          <x:t xml:space="preserve">Annotated files present</x:t>
        </x:is>
      </x:c>
      <x:c r="B8" s="234" t="inlineStr">
        <x:is>
          <x:t xml:space="preserve">26 images: 17–22, 24–32, 39–44, 50, 56, 57, 68 and 73.</x:t>
        </x:is>
      </x:c>
    </x:row>
    <x:row r="9" s="232" customFormat="1" ht="38" customHeight="1">
      <x:c r="A9" s="70" t="inlineStr">
        <x:is>
          <x:t xml:space="preserve">CSV-only populated pages</x:t>
        </x:is>
      </x:c>
      <x:c r="B9" s="234" t="inlineStr">
        <x:is>
          <x:t xml:space="preserve">15 pages have a populated CSV record but no annotated image in annotated-pages: 23, 58–67, and 69–72. Their data are represented as source-reported, not visually verified against annotated files.</x:t>
        </x:is>
      </x:c>
    </x:row>
    <x:row r="10" s="232" customFormat="1" ht="38" customHeight="1">
      <x:c r="A10" s="70" t="inlineStr">
        <x:is>
          <x:t xml:space="preserve">Pages referenced only in notes</x:t>
        </x:is>
      </x:c>
      <x:c r="B10" s="234" t="inlineStr">
        <x:is>
          <x:t xml:space="preserve">Pages 09–15 appear only as a range referenced repeatedly in the Fibonacci/root notes on pages 25–30. A range-reference row is included; no per-page counts were invented.</x:t>
        </x:is>
      </x:c>
    </x:row>
    <x:row r="11" s="232" customFormat="1" ht="38" customHeight="1">
      <x:c r="A11" s="70" t="inlineStr">
        <x:is>
          <x:t xml:space="preserve">No populated CSV record and no annotated image</x:t>
        </x:is>
      </x:c>
      <x:c r="B11" s="234" t="inlineStr">
        <x:is>
          <x:t xml:space="preserve">Pages 00–16, 33–38, 45–49, 51–55, and page 74 (page 74 has an empty placeholder row). The original scan archive is available for future inspection, but no annotation measurements were inferred here.</x:t>
        </x:is>
      </x:c>
    </x:row>
    <x:row r="12" s="232" customFormat="1" ht="38" customHeight="1">
      <x:c r="A12" s="70" t="inlineStr">
        <x:is>
          <x:t xml:space="preserve">CSV ambiguities preserved</x:t>
        </x:is>
      </x:c>
      <x:c r="B12" s="234" t="inlineStr">
        <x:is>
          <x:t xml:space="preserve">Page 19 external dots are recorded as 6 or 7 depending on the cicada eye; page 31 as 1 or 2 depending on the mayfly eye; page 44 scale count is '15-16 SCALES ?'; pages 50/56 have '?' for constellation dots.</x:t>
        </x:is>
      </x:c>
    </x:row>
    <x:row r="13" s="232" customFormat="1" ht="38" customHeight="1">
      <x:c r="A13" s="70" t="inlineStr">
        <x:is>
          <x:t xml:space="preserve">Blank is not zero</x:t>
        </x:is>
      </x:c>
      <x:c r="B13" s="234" t="inlineStr">
        <x:is>
          <x:t xml:space="preserve">Unknown or ambiguous values remain blank in normalized fields. Raw values such as '?', '1 OR 2 IF WE COUNT THE MAYFLYS EYE', and '15-16 SCALES ?' remain available in source_csv_* columns and CSV Source Archive.</x:t>
        </x:is>
      </x:c>
    </x:row>
    <x:row r="14" s="232" customFormat="1" ht="38" customHeight="1">
      <x:c r="A14" s="70" t="inlineStr">
        <x:is>
          <x:t xml:space="preserve">Page-level source columns</x:t>
        </x:is>
      </x:c>
      <x:c r="B14" s="234" t="inlineStr">
        <x:is>
          <x:t xml:space="preserve">source_csv_* columns are the CSV record for the page, repeated as context on feature rows. Do not sum these columns across feature rows: the same page-level count may appear on several rows for the same page.</x:t>
        </x:is>
      </x:c>
    </x:row>
    <x:row r="15" s="232" customFormat="1" ht="38" customHeight="1">
      <x:c r="A15" s="70" t="inlineStr">
        <x:is>
          <x:t xml:space="preserve">Feature-level source columns</x:t>
        </x:is>
      </x:c>
      <x:c r="B15" s="234" t="inlineStr">
        <x:is>
          <x:t xml:space="preserve">dot_count, internal_dots, external_dots, line_count, petal_count, filled_petal_count and unfilled_petal_count describe the specific feature row. Source-reported values and hypotheses are labeled as such; not all have been independently recounted.</x:t>
        </x:is>
      </x:c>
    </x:row>
    <x:row r="16" s="232" customFormat="1" ht="38" customHeight="1">
      <x:c r="A16" s="234" t="inlineStr">
        <x:is>
          <x:t xml:space="preserve">Original annotation preservation</x:t>
        </x:is>
      </x:c>
      <x:c r="B16" s="234" t="inlineStr">
        <x:is>
          <x:t xml:space="preserve">Original annotation_color, annotation_number, raw_description, notes, feature IDs and source URLs from the previous master were retained. New source material is appended instead of overwriting raw annotations.</x:t>
        </x:is>
      </x:c>
    </x:row>
    <x:row r="17" s="232" customFormat="1" ht="38" customHeight="1">
      <x:c r="A17" s="234" t="inlineStr">
        <x:is>
          <x:t xml:space="preserve">Reference URLs</x:t>
        </x:is>
      </x:c>
      <x:c r="B17" s="234" t="inlineStr">
        <x:is>
          <x:t xml:space="preserve">Original scan archive: https://github.com/mrroot01011001/Cicada-3301-/tree/main/liber-primus/pages ; annotated repository: https://github.com/mrfentmen/annotated-pages</x:t>
        </x:is>
      </x:c>
    </x:row>
    <x:row r="18" s="232" customFormat="1" ht="38" customHeight="1">
      <x:c r="A18" s="234" t="inlineStr">
        <x:is>
          <x:t xml:space="preserve">Verification performed</x:t>
        </x:is>
      </x:c>
      <x:c r="B18" s="234" t="inlineStr">
        <x:is>
          <x:t xml:space="preserve">Representative annotated images were opened at full resolution; original scans for pages 17, 24, 39, 40, 41, 50, 57 and 73 were compared visually in the prior pass. The rest of the CSV-only page claims have not yet been independently checked against each original scan.</x:t>
        </x:is>
      </x:c>
    </x:row>
    <x:row r="19" s="232" customFormat="1" ht="38" customHeight="1">
      <x:c r="A19" s="234" t="inlineStr">
        <x:is>
          <x:t xml:space="preserve">Newly represented details</x:t>
        </x:is>
      </x:c>
      <x:c r="B19" s="234" t="inlineStr">
        <x:is>
          <x:t xml:space="preserve">Newly represented details: spiral-associated 8-dot patterns on pages 20–24; branch-associated dots on pages 25–31; separate line groups 3/5/7 on page 31; page 19 insect-eye and seven-scale notes; page 44 uncertain wing-scale count; per-figure head/back line groups on pages 41–43; left/right petal counts on pages 57–72; page 70 cicada; page 72 cicada and all-white dead oak tree.</x:t>
        </x:is>
      </x:c>
    </x:row>
    <x:row r="20" s="232" customFormat="1" ht="38" customHeight="1">
      <x:c r="A20" s="234" t="inlineStr">
        <x:is>
          <x:t xml:space="preserve">Page 24 separation rule</x:t>
        </x:is>
      </x:c>
      <x:c r="B20" s="234" t="inlineStr">
        <x:is>
          <x:t xml:space="preserve">The 8-dot spiral-associated pattern and the separate 5-dot constellation on page 24 are distinct feature rows and must not be merged.</x:t>
        </x:is>
      </x:c>
    </x:row>
    <x:row r="21" s="232" customFormat="1" ht="48" customHeight="1">
      <x:c r="A21" s="234" t="inlineStr">
        <x:is>
          <x:t xml:space="preserve">Fibonacci discipline</x:t>
        </x:is>
      </x:c>
      <x:c r="B21" s="234" t="inlineStr">
        <x:is>
          <x:t xml:space="preserve">Geometry analysis status: original source scan dimensions and blob hashes are verified for pages 24, 40 and 73; original scans were visually inspected. Legacy point estimates remain preserved; no pixel-centroid measurements have yet been substituted.</x:t>
        </x:is>
      </x:c>
    </x:row>
    <x:row r="22" s="232" customFormat="1" ht="60" customHeight="1">
      <x:c r="A22" s="234" t="inlineStr">
        <x:is>
          <x:t xml:space="preserve">Geometry not yet measured</x:t>
        </x:is>
      </x:c>
      <x:c r="B22" s="234" t="inlineStr">
        <x:is>
          <x:t xml:space="preserve">First exploratory pairwise-distance, exhaustive-permutation Procrustes, and coordinate-jitter sensitivity results are logged in Geometry Test Log. Legacy estimates yield exceptionally close fits, but the 24/40 estimates are exactly x-matched and near-reflected; this is a major dependency confound, not evidence of an encoding. A pixel-extraction script is provided separately.</x:t>
        </x:is>
      </x:c>
    </x:row>
    <x:row r="23" s="232" customFormat="1" ht="60" customHeight="1">
      <x:c r="A23" s="234" t="inlineStr">
        <x:is>
          <x:t xml:space="preserve">Next action</x:t>
        </x:is>
      </x:c>
      <x:c r="B23" s="234" t="inlineStr">
        <x:is>
          <x:t xml:space="preserve">Next action: obtain local original JPEG bytes for pages 24, 40, 73; execute the SHA-checked threshold-centroid script; review candidate centers at thresholds 40/60/80/100; repeat shape comparison and controls only after independent pixel measurements.</x:t>
        </x:is>
      </x:c>
    </x:row>
    <x:row r="24">
      <x:c r="A24" s="106" t="inlineStr">
        <x:is>
          <x:t xml:space="preserve">Version update v0.7</x:t>
        </x:is>
      </x:c>
      <x:c r="B24" s="233" t="inlineStr">
        <x:is>
          <x:t xml:space="preserve">2026-10-09: added a source-image retrieval/integrity audit and annotation label-to-dot map; retained legacy estimates as estimates.</x:t>
        </x:is>
      </x:c>
    </x:row>
    <x:row r="25">
      <x:c r="A25" s="106" t="inlineStr">
        <x:is>
          <x:t xml:space="preserve">Source Visual Audit</x:t>
        </x:is>
      </x:c>
      <x:c r="B25" s="233" t="inlineStr">
        <x:is>
          <x:t xml:space="preserve">Records SHA-1 verification and JPEG dimensions for three original scans and three annotated copies, plus label-position mapping for the five dots on pages 24, 40 and 73.</x:t>
        </x:is>
      </x:c>
    </x:row>
    <x:row r="26">
      <x:c r="A26" s="106" t="inlineStr">
        <x:is>
          <x:t xml:space="preserve">Binary integrity result</x:t>
        </x:is>
      </x:c>
      <x:c r="B26" s="233" t="inlineStr">
        <x:is>
          <x:t xml:space="preserve">All six returned JPEG streams were independently Git-blob-hashed in the connector execution context and matched repository SHAs; their JPEG SOF0 headers report 2400 × 3600.</x:t>
        </x:is>
      </x:c>
    </x:row>
    <x:row r="27">
      <x:c r="A27" s="106" t="inlineStr">
        <x:is>
          <x:t xml:space="preserve">Centroid measurement status</x:t>
        </x:is>
      </x:c>
      <x:c r="B27" s="233" t="inlineStr">
        <x:is>
          <x:t xml:space="preserve">Pixel-threshold centroid extraction remains NOT RUN because verified JPEG streams have not been transferred into the local filesystem. Do not treat the scale-converted estimate columns as measured centroids.</x:t>
        </x:is>
      </x:c>
    </x:row>
    <x:row r="28">
      <x:c r="A28" s="106" t="inlineStr">
        <x:is>
          <x:t xml:space="preserve">Repository inventory</x:t>
        </x:is>
      </x:c>
      <x:c r="B28" s="233" t="inlineStr">
        <x:is>
          <x:t xml:space="preserve">The annotated-pages repository has 28 items: 26 annotated JPEGs, cicadadataset.csv and liber_primus_visual_master_dataset_v0_3.xlsx. The separate measurement script is in the user's library, not in the repository tree.</x:t>
        </x:is>
      </x:c>
    </x:row>
  </x:sheetData>
  <x:mergeCells>
    <x:mergeCell ref="A1:B1"/>
  </x:mergeCells>
  <x:pageMargins left="0.7" right="0.7" top="0.75" bottom="0.75" header="0.3" footer="0.3"/>
</x:worksheet>
</file>

<file path=xl/worksheets/sheet3.xml><?xml version="1.0" encoding="utf-8"?>
<x:worksheet xmlns:x="http://schemas.openxmlformats.org/spreadsheetml/2006/main">
  <x:sheetViews>
    <x:sheetView workbookViewId="0">
      <x:pane ySplit="2" topLeftCell="A3" activePane="bottomLeft" state="frozen"/>
    </x:sheetView>
  </x:sheetViews>
  <x:sheetFormatPr baseColWidth="8" defaultRowHeight="15"/>
  <x:cols>
    <x:col min="1" max="1" width="15" style="232" customWidth="1"/>
    <x:col min="2" max="2" width="30" style="232" customWidth="1"/>
    <x:col min="3" max="3" width="16" style="232" customWidth="1"/>
    <x:col min="4" max="4" width="28" style="232" customWidth="1"/>
    <x:col min="5" max="5" width="18" style="232" customWidth="1"/>
    <x:col min="6" max="6" width="48" style="232" customWidth="1"/>
    <x:col min="7" max="7" width="22" style="232" customWidth="1"/>
    <x:col min="8" max="8" width="70" style="232" customWidth="1"/>
    <x:col min="9" max="9" width="70" style="232" customWidth="1"/>
  </x:cols>
  <x:sheetData>
    <x:row r="1">
      <x:c r="A1" s="77" t="inlineStr">
        <x:is>
          <x:t xml:space="preserve">Column 1</x:t>
        </x:is>
      </x:c>
      <x:c r="B1" s="77" t="inlineStr">
        <x:is>
          <x:t xml:space="preserve">Column 2</x:t>
        </x:is>
      </x:c>
      <x:c r="C1" s="77" t="inlineStr">
        <x:is>
          <x:t xml:space="preserve">Column 3</x:t>
        </x:is>
      </x:c>
      <x:c r="D1" s="77" t="inlineStr">
        <x:is>
          <x:t xml:space="preserve">Column 4</x:t>
        </x:is>
      </x:c>
      <x:c r="E1" s="77" t="inlineStr">
        <x:is>
          <x:t xml:space="preserve">Column 5</x:t>
        </x:is>
      </x:c>
      <x:c r="F1" s="77" t="inlineStr">
        <x:is>
          <x:t xml:space="preserve">Column 6</x:t>
        </x:is>
      </x:c>
      <x:c r="G1" s="77" t="inlineStr">
        <x:is>
          <x:t xml:space="preserve">Column 7</x:t>
        </x:is>
      </x:c>
      <x:c r="H1" s="77" t="inlineStr">
        <x:is>
          <x:t xml:space="preserve">Column 8</x:t>
        </x:is>
      </x:c>
      <x:c r="I1" s="77" t="inlineStr">
        <x:is>
          <x:t xml:space="preserve">Column 9</x:t>
        </x:is>
      </x:c>
    </x:row>
    <x:row r="2" s="232" customFormat="1" ht="36" customHeight="1">
      <x:c r="A2" s="74" t="inlineStr">
        <x:is>
          <x:t xml:space="preserve">PAGE</x:t>
        </x:is>
      </x:c>
      <x:c r="B2" s="74" t="inlineStr">
        <x:is>
          <x:t xml:space="preserve">VISUAL OBJECT</x:t>
        </x:is>
      </x:c>
      <x:c r="C2" s="74" t="inlineStr">
        <x:is>
          <x:t xml:space="preserve">CROSS JEWELS</x:t>
        </x:is>
      </x:c>
      <x:c r="D2" s="74" t="inlineStr">
        <x:is>
          <x:t xml:space="preserve">EXTERNAL DOTS</x:t>
        </x:is>
      </x:c>
      <x:c r="E2" s="74" t="inlineStr">
        <x:is>
          <x:t xml:space="preserve">INFINITY SYMBOLS</x:t>
        </x:is>
      </x:c>
      <x:c r="F2" s="74" t="inlineStr">
        <x:is>
          <x:t xml:space="preserve">ORIENTATION</x:t>
        </x:is>
      </x:c>
      <x:c r="G2" s="74" t="inlineStr">
        <x:is>
          <x:t xml:space="preserve">CONSTELLATION DOTS</x:t>
        </x:is>
      </x:c>
      <x:c r="H2" s="74" t="inlineStr">
        <x:is>
          <x:t xml:space="preserve">NOTES</x:t>
        </x:is>
      </x:c>
      <x:c r="I2" s="74" t="inlineStr">
        <x:is>
          <x:t xml:space="preserve">LINES (NEW)</x:t>
        </x:is>
      </x:c>
    </x:row>
    <x:row r="3" s="232" customFormat="1" ht="32" customHeight="1">
      <x:c r="A3" s="233" t="inlineStr">
        <x:is>
          <x:t xml:space="preserve">17.JPG</x:t>
        </x:is>
      </x:c>
      <x:c r="B3" s="233" t="inlineStr">
        <x:is>
          <x:t xml:space="preserve">CROSS</x:t>
        </x:is>
      </x:c>
      <x:c r="C3" s="233" t="inlineStr">
        <x:is>
          <x:t xml:space="preserve">6</x:t>
        </x:is>
      </x:c>
      <x:c r="D3" s="233" t="inlineStr">
        <x:is>
          <x:t xml:space="preserve">6</x:t>
        </x:is>
      </x:c>
      <x:c r="E3" s="233" t="inlineStr">
        <x:is>
          <x:t xml:space="preserve">2</x:t>
        </x:is>
      </x:c>
      <x:c r="F3" s="233" t="inlineStr">
        <x:is>
          <x:t xml:space="preserve">180 DEGREE FLIP WITH TRANSLATAION , FIRST ONE ON THE TOP RIGHT OF THE PAGE SECOND ONE IS BOTTOME LEFT OF THE PAGE</x:t>
        </x:is>
      </x:c>
      <x:c r="G3" s="233" t="inlineStr">
        <x:is>
          <x:t xml:space="preserve">0</x:t>
        </x:is>
      </x:c>
      <x:c r="H3" s="233" t="inlineStr">
        <x:is>
          <x:t xml:space="preserve">2 CROSSES EACH HAVE 3 DOTS ON THE OUTSIDE AND 3 ON THE INSIDE</x:t>
        </x:is>
      </x:c>
      <x:c r="I3" s="233" t="str"/>
    </x:row>
    <x:row r="4" s="232" customFormat="1" ht="32" customHeight="1">
      <x:c r="A4" s="233" t="inlineStr">
        <x:is>
          <x:t xml:space="preserve">18.JPG</x:t>
        </x:is>
      </x:c>
      <x:c r="B4" s="233" t="inlineStr">
        <x:is>
          <x:t xml:space="preserve">CROSS</x:t>
        </x:is>
      </x:c>
      <x:c r="C4" s="233" t="inlineStr">
        <x:is>
          <x:t xml:space="preserve">6</x:t>
        </x:is>
      </x:c>
      <x:c r="D4" s="233" t="inlineStr">
        <x:is>
          <x:t xml:space="preserve">6</x:t>
        </x:is>
      </x:c>
      <x:c r="E4" s="233" t="inlineStr">
        <x:is>
          <x:t xml:space="preserve">2</x:t>
        </x:is>
      </x:c>
      <x:c r="F4" s="233" t="inlineStr">
        <x:is>
          <x:t xml:space="preserve">180 DEGREE FLIP WITH TRANSLATAION , FIRST ONE ON THE TOP RIGHT OF THE PAGE SECOND ONE IS BOTTOME LEFT OF THE PAGE</x:t>
        </x:is>
      </x:c>
      <x:c r="G4" s="233" t="inlineStr">
        <x:is>
          <x:t xml:space="preserve">0</x:t>
        </x:is>
      </x:c>
      <x:c r="H4" s="233" t="inlineStr">
        <x:is>
          <x:t xml:space="preserve">2 CROSSES EACH HAVE 3 DOTS ON THE OUTSIDE AND 3 ON THE INSIDE</x:t>
        </x:is>
      </x:c>
      <x:c r="I4" s="233" t="str"/>
    </x:row>
    <x:row r="5" s="232" customFormat="1" ht="32" customHeight="1">
      <x:c r="A5" s="233" t="inlineStr">
        <x:is>
          <x:t xml:space="preserve">19.JPG</x:t>
        </x:is>
      </x:c>
      <x:c r="B5" s="233" t="inlineStr">
        <x:is>
          <x:t xml:space="preserve">CROSS +CICADA</x:t>
        </x:is>
      </x:c>
      <x:c r="C5" s="233" t="inlineStr">
        <x:is>
          <x:t xml:space="preserve">6</x:t>
        </x:is>
      </x:c>
      <x:c r="D5" s="233" t="inlineStr">
        <x:is>
          <x:t xml:space="preserve">IT IS EITHER 6 OR 7 IF WE COUNT THE CICADAS EYE AS A DOT</x:t>
        </x:is>
      </x:c>
      <x:c r="E5" s="233" t="inlineStr">
        <x:is>
          <x:t xml:space="preserve">2</x:t>
        </x:is>
      </x:c>
      <x:c r="F5" s="233" t="inlineStr">
        <x:is>
          <x:t xml:space="preserve">180 DEGREE FLIP WITH TRANSLATAION, 
FIRST ONE ON THE TOP RIGHT OF THE PAGE SECOND ONE IS BOTTOME LEFT OF THE PAGE</x:t>
        </x:is>
      </x:c>
      <x:c r="G5" s="233" t="inlineStr">
        <x:is>
          <x:t xml:space="preserve">0</x:t>
        </x:is>
      </x:c>
      <x:c r="H5" s="233" t="inlineStr">
        <x:is>
          <x:t xml:space="preserve">2 CROSSES EACH HAVE 3 DOTS ON THE OUTSIDE AND 3 ON THE INSIDE THERE IS A CICADA WITH A BLACK DOT FOR A EYE AND 7 EXACT SCALES</x:t>
        </x:is>
      </x:c>
      <x:c r="I5" s="233" t="str"/>
    </x:row>
    <x:row r="6" s="232" customFormat="1" ht="32" customHeight="1">
      <x:c r="A6" s="233" t="inlineStr">
        <x:is>
          <x:t xml:space="preserve">20.JPG</x:t>
        </x:is>
      </x:c>
      <x:c r="B6" s="233" t="inlineStr">
        <x:is>
          <x:t xml:space="preserve">SPIRALS</x:t>
        </x:is>
      </x:c>
      <x:c r="C6" s="233" t="inlineStr">
        <x:is>
          <x:t xml:space="preserve">0</x:t>
        </x:is>
      </x:c>
      <x:c r="D6" s="233" t="inlineStr">
        <x:is>
          <x:t xml:space="preserve">8</x:t>
        </x:is>
      </x:c>
      <x:c r="E6" s="233" t="inlineStr">
        <x:is>
          <x:t xml:space="preserve">0</x:t>
        </x:is>
      </x:c>
      <x:c r="F6" s="233" t="inlineStr">
        <x:is>
          <x:t xml:space="preserve">LEFT AND RIGHT OF THE PAGE</x:t>
        </x:is>
      </x:c>
      <x:c r="G6" s="233" t="inlineStr">
        <x:is>
          <x:t xml:space="preserve">0</x:t>
        </x:is>
      </x:c>
      <x:c r="H6" s="233" t="inlineStr">
        <x:is>
          <x:t xml:space="preserve">3 DOTS ON THE OUTSIDE 2ND SPIRAL OF THE PAGE AND 1 DOT ON THE INSIDE THE 3RD SPIRAL BOTHS SIDES OF THE PAGE</x:t>
        </x:is>
      </x:c>
      <x:c r="I6" s="233" t="str"/>
    </x:row>
    <x:row r="7" s="232" customFormat="1" ht="32" customHeight="1">
      <x:c r="A7" s="233" t="inlineStr">
        <x:is>
          <x:t xml:space="preserve">21.JPG</x:t>
        </x:is>
      </x:c>
      <x:c r="B7" s="233" t="inlineStr">
        <x:is>
          <x:t xml:space="preserve">SPIRALS</x:t>
        </x:is>
      </x:c>
      <x:c r="C7" s="233" t="inlineStr">
        <x:is>
          <x:t xml:space="preserve">0</x:t>
        </x:is>
      </x:c>
      <x:c r="D7" s="233" t="inlineStr">
        <x:is>
          <x:t xml:space="preserve">8</x:t>
        </x:is>
      </x:c>
      <x:c r="E7" s="233" t="inlineStr">
        <x:is>
          <x:t xml:space="preserve">0</x:t>
        </x:is>
      </x:c>
      <x:c r="F7" s="233" t="inlineStr">
        <x:is>
          <x:t xml:space="preserve">LEFT AND RIGHT OF THE PAGE</x:t>
        </x:is>
      </x:c>
      <x:c r="G7" s="233" t="inlineStr">
        <x:is>
          <x:t xml:space="preserve">0</x:t>
        </x:is>
      </x:c>
      <x:c r="H7" s="233" t="inlineStr">
        <x:is>
          <x:t xml:space="preserve">3 DOTS ON THE OUTSIDE 2ND SPIRAL OF THE PAGE AND 1 DOT ON THE INSIDE THE 3RD SPIRAL BOTHS SIDES OF THE PAGE</x:t>
        </x:is>
      </x:c>
      <x:c r="I7" s="233" t="str"/>
    </x:row>
    <x:row r="8" s="232" customFormat="1" ht="32" customHeight="1">
      <x:c r="A8" s="233" t="inlineStr">
        <x:is>
          <x:t xml:space="preserve">22.JPG</x:t>
        </x:is>
      </x:c>
      <x:c r="B8" s="233" t="inlineStr">
        <x:is>
          <x:t xml:space="preserve">SPIRALS</x:t>
        </x:is>
      </x:c>
      <x:c r="C8" s="233" t="inlineStr">
        <x:is>
          <x:t xml:space="preserve">0</x:t>
        </x:is>
      </x:c>
      <x:c r="D8" s="233" t="inlineStr">
        <x:is>
          <x:t xml:space="preserve">8</x:t>
        </x:is>
      </x:c>
      <x:c r="E8" s="233" t="inlineStr">
        <x:is>
          <x:t xml:space="preserve">0</x:t>
        </x:is>
      </x:c>
      <x:c r="F8" s="233" t="inlineStr">
        <x:is>
          <x:t xml:space="preserve">LEFT AND RIGHT OF THE PAGE</x:t>
        </x:is>
      </x:c>
      <x:c r="G8" s="233" t="inlineStr">
        <x:is>
          <x:t xml:space="preserve">0</x:t>
        </x:is>
      </x:c>
      <x:c r="H8" s="233" t="inlineStr">
        <x:is>
          <x:t xml:space="preserve">3 DOTS ON THE OUTSIDE 2ND SPIRAL OF THE PAGE AND 1 DOT ON THE INSIDE THE 3RD SPIRAL BOTHS SIDES OF THE PAGE</x:t>
        </x:is>
      </x:c>
      <x:c r="I8" s="233" t="str"/>
    </x:row>
    <x:row r="9" s="232" customFormat="1" ht="32" customHeight="1">
      <x:c r="A9" s="233" t="inlineStr">
        <x:is>
          <x:t xml:space="preserve">23.JPG</x:t>
        </x:is>
      </x:c>
      <x:c r="B9" s="233" t="inlineStr">
        <x:is>
          <x:t xml:space="preserve">SPIRALS</x:t>
        </x:is>
      </x:c>
      <x:c r="C9" s="233" t="inlineStr">
        <x:is>
          <x:t xml:space="preserve">0</x:t>
        </x:is>
      </x:c>
      <x:c r="D9" s="233" t="inlineStr">
        <x:is>
          <x:t xml:space="preserve">8</x:t>
        </x:is>
      </x:c>
      <x:c r="E9" s="233" t="inlineStr">
        <x:is>
          <x:t xml:space="preserve">0</x:t>
        </x:is>
      </x:c>
      <x:c r="F9" s="233" t="inlineStr">
        <x:is>
          <x:t xml:space="preserve">LEFT AND RIGHT OF THE PAGE</x:t>
        </x:is>
      </x:c>
      <x:c r="G9" s="233" t="inlineStr">
        <x:is>
          <x:t xml:space="preserve">0</x:t>
        </x:is>
      </x:c>
      <x:c r="H9" s="233" t="inlineStr">
        <x:is>
          <x:t xml:space="preserve">3 DOTS ON THE OUTSIDE 2ND SPIRAL OF THE PAGE AND 1 DOT ON THE INSIDE THE 3RD SPIRAL BOTHS SIDES OF THE PAGE</x:t>
        </x:is>
      </x:c>
      <x:c r="I9" s="233" t="str"/>
    </x:row>
    <x:row r="10" s="232" customFormat="1" ht="32" customHeight="1">
      <x:c r="A10" s="233" t="inlineStr">
        <x:is>
          <x:t xml:space="preserve">24.JPG</x:t>
        </x:is>
      </x:c>
      <x:c r="B10" s="233" t="inlineStr">
        <x:is>
          <x:t xml:space="preserve">SPIRALS +5 DOT CONSITALTION</x:t>
        </x:is>
      </x:c>
      <x:c r="C10" s="233" t="inlineStr">
        <x:is>
          <x:t xml:space="preserve">0</x:t>
        </x:is>
      </x:c>
      <x:c r="D10" s="233" t="inlineStr">
        <x:is>
          <x:t xml:space="preserve">8</x:t>
        </x:is>
      </x:c>
      <x:c r="E10" s="233" t="inlineStr">
        <x:is>
          <x:t xml:space="preserve">0</x:t>
        </x:is>
      </x:c>
      <x:c r="F10" s="233" t="inlineStr">
        <x:is>
          <x:t xml:space="preserve">LEFT AND RIGHT OF THE PAGE
CONSTIALTION AT BOTTOM OF PAGE</x:t>
        </x:is>
      </x:c>
      <x:c r="G10" s="233" t="inlineStr">
        <x:is>
          <x:t xml:space="preserve">5</x:t>
        </x:is>
      </x:c>
      <x:c r="H10" s="233" t="inlineStr">
        <x:is>
          <x:t xml:space="preserve">3 DOTS ON THE OUTSIDE 2ND SPIRAL OF THE PAGE AND 1 DOT ON THE INSIDE THE 3RD SPIRAL BOTHS SIDES OF THE PAGE AND A 5 DOT CONSTIALTION AT THE BOTTOM</x:t>
        </x:is>
      </x:c>
      <x:c r="I10" s="233" t="str"/>
    </x:row>
    <x:row r="11" s="232" customFormat="1" ht="32" customHeight="1">
      <x:c r="A11" s="233" t="inlineStr">
        <x:is>
          <x:t xml:space="preserve">25.JPG</x:t>
        </x:is>
      </x:c>
      <x:c r="B11" s="233" t="inlineStr">
        <x:is>
          <x:t xml:space="preserve">FIBO BRANCH WITH STEMS</x:t>
        </x:is>
      </x:c>
      <x:c r="C11" s="233" t="inlineStr">
        <x:is>
          <x:t xml:space="preserve">0</x:t>
        </x:is>
      </x:c>
      <x:c r="D11" s="233" t="inlineStr">
        <x:is>
          <x:t xml:space="preserve">1</x:t>
        </x:is>
      </x:c>
      <x:c r="E11" s="233" t="inlineStr">
        <x:is>
          <x:t xml:space="preserve">0</x:t>
        </x:is>
      </x:c>
      <x:c r="F11" s="233" t="inlineStr">
        <x:is>
          <x:t xml:space="preserve">LEFT PAGE</x:t>
        </x:is>
      </x:c>
      <x:c r="G11" s="233" t="inlineStr">
        <x:is>
          <x:t xml:space="preserve">0</x:t>
        </x:is>
      </x:c>
      <x:c r="H11" s="233" t="inlineStr">
        <x:is>
          <x:t xml:space="preserve">BRANCH WITH STEMS SITTING ON THE LEFT SIDE OF THE PAGE WITH A DOT TO THE RIGHT OF IT -9.jpg–15.jpg
Object: root/tree structure
Geometry: branching/root system
Fibonacci association: YES — documented hypothesis
Known branch positions: 2,3,5,6,8,10,11,13
Status: historical/documented clue
Notes: associated with 2016 puzzle/Fibonacci interpretation</x:t>
        </x:is>
      </x:c>
      <x:c r="I11" s="233" t="str"/>
    </x:row>
    <x:row r="12" s="232" customFormat="1" ht="32" customHeight="1">
      <x:c r="A12" s="233" t="inlineStr">
        <x:is>
          <x:t xml:space="preserve">26.JPG</x:t>
        </x:is>
      </x:c>
      <x:c r="B12" s="233" t="inlineStr">
        <x:is>
          <x:t xml:space="preserve">FIBO BRANCH WITH STEMS</x:t>
        </x:is>
      </x:c>
      <x:c r="C12" s="233" t="inlineStr">
        <x:is>
          <x:t xml:space="preserve">0</x:t>
        </x:is>
      </x:c>
      <x:c r="D12" s="233" t="inlineStr">
        <x:is>
          <x:t xml:space="preserve">1</x:t>
        </x:is>
      </x:c>
      <x:c r="E12" s="233" t="inlineStr">
        <x:is>
          <x:t xml:space="preserve">0</x:t>
        </x:is>
      </x:c>
      <x:c r="F12" s="233" t="inlineStr">
        <x:is>
          <x:t xml:space="preserve">RIGHT PAGE</x:t>
        </x:is>
      </x:c>
      <x:c r="G12" s="233" t="inlineStr">
        <x:is>
          <x:t xml:space="preserve">0</x:t>
        </x:is>
      </x:c>
      <x:c r="H12"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2" s="233" t="str"/>
    </x:row>
    <x:row r="13" s="232" customFormat="1" ht="32" customHeight="1">
      <x:c r="A13" s="233" t="inlineStr">
        <x:is>
          <x:t xml:space="preserve">27.JPG</x:t>
        </x:is>
      </x:c>
      <x:c r="B13" s="233" t="inlineStr">
        <x:is>
          <x:t xml:space="preserve">FIBO BRANCH WITH STEMS</x:t>
        </x:is>
      </x:c>
      <x:c r="C13" s="233" t="inlineStr">
        <x:is>
          <x:t xml:space="preserve">0</x:t>
        </x:is>
      </x:c>
      <x:c r="D13" s="233" t="inlineStr">
        <x:is>
          <x:t xml:space="preserve">1</x:t>
        </x:is>
      </x:c>
      <x:c r="E13" s="233" t="inlineStr">
        <x:is>
          <x:t xml:space="preserve">0</x:t>
        </x:is>
      </x:c>
      <x:c r="F13" s="233" t="inlineStr">
        <x:is>
          <x:t xml:space="preserve">LEFT PAGE</x:t>
        </x:is>
      </x:c>
      <x:c r="G13" s="233" t="inlineStr">
        <x:is>
          <x:t xml:space="preserve">0</x:t>
        </x:is>
      </x:c>
      <x:c r="H13"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3" s="233" t="str"/>
    </x:row>
    <x:row r="14" s="232" customFormat="1" ht="32" customHeight="1">
      <x:c r="A14" s="233" t="inlineStr">
        <x:is>
          <x:t xml:space="preserve">28.JPG</x:t>
        </x:is>
      </x:c>
      <x:c r="B14" s="233" t="inlineStr">
        <x:is>
          <x:t xml:space="preserve">FIBO BRANCH WITH STEMS</x:t>
        </x:is>
      </x:c>
      <x:c r="C14" s="233" t="inlineStr">
        <x:is>
          <x:t xml:space="preserve">0</x:t>
        </x:is>
      </x:c>
      <x:c r="D14" s="233" t="inlineStr">
        <x:is>
          <x:t xml:space="preserve">1</x:t>
        </x:is>
      </x:c>
      <x:c r="E14" s="233" t="inlineStr">
        <x:is>
          <x:t xml:space="preserve">0</x:t>
        </x:is>
      </x:c>
      <x:c r="F14" s="233" t="inlineStr">
        <x:is>
          <x:t xml:space="preserve">RIGHT PAGE</x:t>
        </x:is>
      </x:c>
      <x:c r="G14" s="233" t="inlineStr">
        <x:is>
          <x:t xml:space="preserve">0</x:t>
        </x:is>
      </x:c>
      <x:c r="H14"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4" s="233" t="str"/>
    </x:row>
    <x:row r="15" s="232" customFormat="1" ht="32" customHeight="1">
      <x:c r="A15" s="233" t="inlineStr">
        <x:is>
          <x:t xml:space="preserve">29.JPG</x:t>
        </x:is>
      </x:c>
      <x:c r="B15" s="233" t="inlineStr">
        <x:is>
          <x:t xml:space="preserve">FIBO BRANCH WITH STEMS</x:t>
        </x:is>
      </x:c>
      <x:c r="C15" s="233" t="inlineStr">
        <x:is>
          <x:t xml:space="preserve">0</x:t>
        </x:is>
      </x:c>
      <x:c r="D15" s="233" t="inlineStr">
        <x:is>
          <x:t xml:space="preserve">1</x:t>
        </x:is>
      </x:c>
      <x:c r="E15" s="233" t="inlineStr">
        <x:is>
          <x:t xml:space="preserve">0</x:t>
        </x:is>
      </x:c>
      <x:c r="F15" s="233" t="inlineStr">
        <x:is>
          <x:t xml:space="preserve">LEFT PAGE</x:t>
        </x:is>
      </x:c>
      <x:c r="G15" s="233" t="inlineStr">
        <x:is>
          <x:t xml:space="preserve">0</x:t>
        </x:is>
      </x:c>
      <x:c r="H15" s="233" t="inlineStr">
        <x:is>
          <x:t xml:space="preserve">BRANCH WITH STEMS SITTING ON THE LEFT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5" s="233" t="str"/>
    </x:row>
    <x:row r="16" s="232" customFormat="1" ht="32" customHeight="1">
      <x:c r="A16" s="233" t="inlineStr">
        <x:is>
          <x:t xml:space="preserve">30.JPG</x:t>
        </x:is>
      </x:c>
      <x:c r="B16" s="233" t="inlineStr">
        <x:is>
          <x:t xml:space="preserve">FIBO BRANCH WITH STEMS</x:t>
        </x:is>
      </x:c>
      <x:c r="C16" s="233" t="inlineStr">
        <x:is>
          <x:t xml:space="preserve">0</x:t>
        </x:is>
      </x:c>
      <x:c r="D16" s="233" t="inlineStr">
        <x:is>
          <x:t xml:space="preserve">1</x:t>
        </x:is>
      </x:c>
      <x:c r="E16" s="233" t="inlineStr">
        <x:is>
          <x:t xml:space="preserve">0</x:t>
        </x:is>
      </x:c>
      <x:c r="F16" s="233" t="inlineStr">
        <x:is>
          <x:t xml:space="preserve">RIGHT PAGE</x:t>
        </x:is>
      </x:c>
      <x:c r="G16" s="233" t="inlineStr">
        <x:is>
          <x:t xml:space="preserve">0</x:t>
        </x:is>
      </x:c>
      <x:c r="H16" s="233" t="inlineStr">
        <x:is>
          <x:t xml:space="preserve">BRANCH WITH STEMS SITTING ON THE RIGHT SIDE OF THE PAGE WITH A DOT TO THE RIGHT OF IT - 9.jpg–15.jpg
Object: root/tree structure
Geometry: branching/root system
Fibonacci association: YES — documented hypothesis
Known branch positions: 2,3,5,6,8,10,11,13
Status: historical/documented clue
Notes: associated with 2016 puzzle/Fibonacci interpretation</x:t>
        </x:is>
      </x:c>
      <x:c r="I16" s="233" t="str"/>
    </x:row>
    <x:row r="17" s="232" customFormat="1" ht="32" customHeight="1">
      <x:c r="A17" s="233" t="inlineStr">
        <x:is>
          <x:t xml:space="preserve">31.JPG</x:t>
        </x:is>
      </x:c>
      <x:c r="B17" s="233" t="inlineStr">
        <x:is>
          <x:t xml:space="preserve">BRANCH WITH STEMS AND DRAGONFLY/MAYFLY</x:t>
        </x:is>
      </x:c>
      <x:c r="C17" s="233" t="inlineStr">
        <x:is>
          <x:t xml:space="preserve">0</x:t>
        </x:is>
      </x:c>
      <x:c r="D17" s="233" t="inlineStr">
        <x:is>
          <x:t xml:space="preserve">1 OR 2 IF WE COUNT THE MAYFLYS EYE</x:t>
        </x:is>
      </x:c>
      <x:c r="E17" s="233" t="inlineStr">
        <x:is>
          <x:t xml:space="preserve">0</x:t>
        </x:is>
      </x:c>
      <x:c r="F17" s="233" t="inlineStr">
        <x:is>
          <x:t xml:space="preserve">LEFT PAGE</x:t>
        </x:is>
      </x:c>
      <x:c r="G17" s="233" t="inlineStr">
        <x:is>
          <x:t xml:space="preserve">0</x:t>
        </x:is>
      </x:c>
      <x:c r="H17" s="233" t="inlineStr">
        <x:is>
          <x:t xml:space="preserve">BRANCH WITH STEMS SITTING ON THE LEFT SIDE OF THE PAGE WITH A DOT TO THE RIGHT OF IT BELOW THE GLYPHS IS A MAY FLY WITH 3 LINES COMING OUT OF ITS BACK  IT HAS 7 LINES</x:t>
        </x:is>
      </x:c>
      <x:c r="I17" s="233" t="inlineStr">
        <x:is>
          <x:t xml:space="preserve">3 LINES COME OUT OF THE MOTH/MAYFLYS BACK 5 LINES ON THE MAYFLY IT SELF AND THEN 7 LINES THAT GO ACROSS THE MAYFLYS/MOTH WING</x:t>
        </x:is>
      </x:c>
    </x:row>
    <x:row r="18" s="232" customFormat="1" ht="32" customHeight="1">
      <x:c r="A18" s="233" t="inlineStr">
        <x:is>
          <x:t xml:space="preserve">32.JPG</x:t>
        </x:is>
      </x:c>
      <x:c r="B18" s="233" t="inlineStr">
        <x:is>
          <x:t xml:space="preserve">INFINITY MIDDLE OF PAGE</x:t>
        </x:is>
      </x:c>
      <x:c r="C18" s="233" t="inlineStr">
        <x:is>
          <x:t xml:space="preserve">0</x:t>
        </x:is>
      </x:c>
      <x:c r="D18" s="233" t="inlineStr">
        <x:is>
          <x:t xml:space="preserve">0</x:t>
        </x:is>
      </x:c>
      <x:c r="E18" s="233" t="inlineStr">
        <x:is>
          <x:t xml:space="preserve">1</x:t>
        </x:is>
      </x:c>
      <x:c r="F18" s="233" t="inlineStr">
        <x:is>
          <x:t xml:space="preserve">MIDDLE OF PAGE</x:t>
        </x:is>
      </x:c>
      <x:c r="G18" s="233" t="inlineStr">
        <x:is>
          <x:t xml:space="preserve">0</x:t>
        </x:is>
      </x:c>
      <x:c r="H18" s="233" t="inlineStr">
        <x:is>
          <x:t xml:space="preserve">INFINTY SITS BETWEEN A SET OF NUMBERS 16 DIFFERENT NUMBERS ONE OF THEM BEING IN RED"3299" BELOW THE NUMBERS IS IN THE INFINTY SYMBOL AND THEN GLYPHS BELOW THE SYMBOL</x:t>
        </x:is>
      </x:c>
      <x:c r="I18" s="233" t="str"/>
    </x:row>
    <x:row r="19" s="232" customFormat="1" ht="32" customHeight="1">
      <x:c r="A19" s="233" t="inlineStr">
        <x:is>
          <x:t xml:space="preserve">39.JPG</x:t>
        </x:is>
      </x:c>
      <x:c r="B19" s="233" t="inlineStr">
        <x:is>
          <x:t xml:space="preserve">CROSS OVER LAYING BODY</x:t>
        </x:is>
      </x:c>
      <x:c r="C19" s="233" t="inlineStr">
        <x:is>
          <x:t xml:space="preserve">3</x:t>
        </x:is>
      </x:c>
      <x:c r="D19" s="233" t="inlineStr">
        <x:is>
          <x:t xml:space="preserve">6</x:t>
        </x:is>
      </x:c>
      <x:c r="E19" s="233" t="inlineStr">
        <x:is>
          <x:t xml:space="preserve">0</x:t>
        </x:is>
      </x:c>
      <x:c r="F19" s="233" t="inlineStr">
        <x:is>
          <x:t xml:space="preserve">BOTTOM OF PAGE LAYING 180 DEGREES / HORIZONTAL</x:t>
        </x:is>
      </x:c>
      <x:c r="G19" s="233" t="inlineStr">
        <x:is>
          <x:t xml:space="preserve">0</x:t>
        </x:is>
      </x:c>
      <x:c r="H19" s="233" t="str"/>
      <x:c r="I19" s="233" t="str"/>
    </x:row>
    <x:row r="20" s="232" customFormat="1" ht="32" customHeight="1">
      <x:c r="A20" s="233" t="inlineStr">
        <x:is>
          <x:t xml:space="preserve">40.JPG</x:t>
        </x:is>
      </x:c>
      <x:c r="B20" s="233" t="inlineStr">
        <x:is>
          <x:t xml:space="preserve">5 DOT CONSTILLATION</x:t>
        </x:is>
      </x:c>
      <x:c r="C20" s="233" t="inlineStr">
        <x:is>
          <x:t xml:space="preserve">0</x:t>
        </x:is>
      </x:c>
      <x:c r="D20" s="233" t="inlineStr">
        <x:is>
          <x:t xml:space="preserve">5</x:t>
        </x:is>
      </x:c>
      <x:c r="E20" s="233" t="inlineStr">
        <x:is>
          <x:t xml:space="preserve">0</x:t>
        </x:is>
      </x:c>
      <x:c r="F20" s="233" t="inlineStr">
        <x:is>
          <x:t xml:space="preserve">TOP OF THE PAGE</x:t>
        </x:is>
      </x:c>
      <x:c r="G20" s="233" t="inlineStr">
        <x:is>
          <x:t xml:space="preserve">5</x:t>
        </x:is>
      </x:c>
      <x:c r="H20" s="233" t="inlineStr">
        <x:is>
          <x:t xml:space="preserve">5 DOTS SIT ABOVE GLYPHS AT THE  TOP OF THE PAGE</x:t>
        </x:is>
      </x:c>
      <x:c r="I20" s="233" t="str"/>
    </x:row>
    <x:row r="21" s="232" customFormat="1" ht="32" customHeight="1">
      <x:c r="A21" s="233" t="inlineStr">
        <x:is>
          <x:t xml:space="preserve">41.JPG</x:t>
        </x:is>
      </x:c>
      <x:c r="B21" s="233" t="inlineStr">
        <x:is>
          <x:t xml:space="preserve">MOTH LIKE FIGURE MIRRORED</x:t>
        </x:is>
      </x:c>
      <x:c r="C21" s="233" t="inlineStr">
        <x:is>
          <x:t xml:space="preserve">0</x:t>
        </x:is>
      </x:c>
      <x:c r="D21" s="233" t="inlineStr">
        <x:is>
          <x:t xml:space="preserve">0</x:t>
        </x:is>
      </x:c>
      <x:c r="E21" s="233" t="inlineStr">
        <x:is>
          <x:t xml:space="preserve">0</x:t>
        </x:is>
      </x:c>
      <x:c r="F21" s="233" t="inlineStr">
        <x:is>
          <x:t xml:space="preserve">LEFT AND RIGHT OF THE PAGE</x:t>
        </x:is>
      </x:c>
      <x:c r="G21" s="233" t="inlineStr">
        <x:is>
          <x:t xml:space="preserve">0</x:t>
        </x:is>
      </x:c>
      <x:c r="H21" s="233" t="inlineStr">
        <x:is>
          <x:t xml:space="preserve">TWO VISUALLY MIRRORED FIGURES FLANK THE TEXT, GEOMETRY APPEARTS INTENTIONALLY SYMETRIC  - elongated polygonal/diamond forms - 
3 LINES COME OUT OF EACH MOTHS BACK AND 2 FROM ITS HEAD</x:t>
        </x:is>
      </x:c>
      <x:c r="I21" s="233" t="inlineStr">
        <x:is>
          <x:t xml:space="preserve">2 LINES COME OUT OF THE MOTHS HEAD AND 3 COME OUT ITS BACK 
SO 5 IN TOTAL FOR EACH MOTH? 4 MOTHS PER PAGE 20 TOTAL?</x:t>
        </x:is>
      </x:c>
    </x:row>
    <x:row r="22" s="232" customFormat="1" ht="32" customHeight="1">
      <x:c r="A22" s="233" t="inlineStr">
        <x:is>
          <x:t xml:space="preserve">42.JPG</x:t>
        </x:is>
      </x:c>
      <x:c r="B22" s="233" t="inlineStr">
        <x:is>
          <x:t xml:space="preserve">MOTH LIKE FIGURE MIRRORED</x:t>
        </x:is>
      </x:c>
      <x:c r="C22" s="233" t="inlineStr">
        <x:is>
          <x:t xml:space="preserve">0</x:t>
        </x:is>
      </x:c>
      <x:c r="D22" s="233" t="inlineStr">
        <x:is>
          <x:t xml:space="preserve">0</x:t>
        </x:is>
      </x:c>
      <x:c r="E22" s="233" t="inlineStr">
        <x:is>
          <x:t xml:space="preserve">0</x:t>
        </x:is>
      </x:c>
      <x:c r="F22" s="233" t="inlineStr">
        <x:is>
          <x:t xml:space="preserve">LEFT AND RIGHT OF THE PAGE</x:t>
        </x:is>
      </x:c>
      <x:c r="G22" s="233" t="inlineStr">
        <x:is>
          <x:t xml:space="preserve">0</x:t>
        </x:is>
      </x:c>
      <x:c r="H22" s="233" t="inlineStr">
        <x:is>
          <x:t xml:space="preserve">TWO VISUALLY MIRRORED FIGURES FLANK THE TEXT, GEOMETRY APPEARTS INTENTIONALLY SYMETRIC  - elongated polygonal/diamond forms - 
3 LINES COME OUT OF EACH MOTHS BACK AND 2 FROM ITS HEAD</x:t>
        </x:is>
      </x:c>
      <x:c r="I22" s="233" t="inlineStr">
        <x:is>
          <x:t xml:space="preserve">2 LINES COME OUT OF THE MOTHS HEAD AND 3 COME OUT ITS BACK 
SO 5 IN TOTAL FOR EACH MOTH? 4 MOTHS PER PAGE 20 TOTAL?</x:t>
        </x:is>
      </x:c>
    </x:row>
    <x:row r="23" s="232" customFormat="1" ht="32" customHeight="1">
      <x:c r="A23" s="233" t="inlineStr">
        <x:is>
          <x:t xml:space="preserve">43.JPG</x:t>
        </x:is>
      </x:c>
      <x:c r="B23" s="233" t="inlineStr">
        <x:is>
          <x:t xml:space="preserve">MOTH LIKE FIGURE MIRRORED</x:t>
        </x:is>
      </x:c>
      <x:c r="C23" s="233" t="inlineStr">
        <x:is>
          <x:t xml:space="preserve">0</x:t>
        </x:is>
      </x:c>
      <x:c r="D23" s="233" t="inlineStr">
        <x:is>
          <x:t xml:space="preserve">0</x:t>
        </x:is>
      </x:c>
      <x:c r="E23" s="233" t="inlineStr">
        <x:is>
          <x:t xml:space="preserve">0</x:t>
        </x:is>
      </x:c>
      <x:c r="F23" s="233" t="inlineStr">
        <x:is>
          <x:t xml:space="preserve">LEFT AND RIGHT OF THE PAGE</x:t>
        </x:is>
      </x:c>
      <x:c r="G23" s="233" t="inlineStr">
        <x:is>
          <x:t xml:space="preserve">0</x:t>
        </x:is>
      </x:c>
      <x:c r="H23" s="233" t="inlineStr">
        <x:is>
          <x:t xml:space="preserve">TWO VISUALLY MIRRORED FIGURES FLANK THE TEXT, GEOMETRY APPEARTS INTENTIONALLY SYMETRIC  - elongated polygonal/diamond forms - 
3 LINES COME OUT OF EACH MOTHS BACK AND 2 FROM ITS HEAD</x:t>
        </x:is>
      </x:c>
      <x:c r="I23" s="233" t="inlineStr">
        <x:is>
          <x:t xml:space="preserve">2 LINES COME OUT OF THE MOTHS HEAD AND 3 COME OUT ITS BACK 
SO 5 IN TOTAL FOR EACH MOTH? 4 MOTHS PER PAGE 20 TOTAL?</x:t>
        </x:is>
      </x:c>
    </x:row>
    <x:row r="24" s="232" customFormat="1" ht="32" customHeight="1">
      <x:c r="A24" s="233" t="inlineStr">
        <x:is>
          <x:t xml:space="preserve">44.JPG</x:t>
        </x:is>
      </x:c>
      <x:c r="B24" s="233" t="inlineStr">
        <x:is>
          <x:t xml:space="preserve">CICADA WING</x:t>
        </x:is>
      </x:c>
      <x:c r="C24" s="233" t="inlineStr">
        <x:is>
          <x:t xml:space="preserve">0</x:t>
        </x:is>
      </x:c>
      <x:c r="D24" s="233" t="inlineStr">
        <x:is>
          <x:t xml:space="preserve">0</x:t>
        </x:is>
      </x:c>
      <x:c r="E24" s="233" t="inlineStr">
        <x:is>
          <x:t xml:space="preserve">0</x:t>
        </x:is>
      </x:c>
      <x:c r="F24" s="233" t="inlineStr">
        <x:is>
          <x:t xml:space="preserve">TOP OF THE PAGE</x:t>
        </x:is>
      </x:c>
      <x:c r="G24" s="233" t="inlineStr">
        <x:is>
          <x:t xml:space="preserve">0</x:t>
        </x:is>
      </x:c>
      <x:c r="H24" s="233" t="inlineStr">
        <x:is>
          <x:t xml:space="preserve">15-16 SCALES ?</x:t>
        </x:is>
      </x:c>
      <x:c r="I24" s="233" t="str"/>
    </x:row>
    <x:row r="25" s="232" customFormat="1" ht="32" customHeight="1">
      <x:c r="A25" s="233" t="inlineStr">
        <x:is>
          <x:t xml:space="preserve">50.JPG</x:t>
        </x:is>
      </x:c>
      <x:c r="B25" s="233" t="inlineStr">
        <x:is>
          <x:t xml:space="preserve">3 DOTS</x:t>
        </x:is>
      </x:c>
      <x:c r="C25" s="233" t="inlineStr">
        <x:is>
          <x:t xml:space="preserve">0</x:t>
        </x:is>
      </x:c>
      <x:c r="D25" s="233" t="inlineStr">
        <x:is>
          <x:t xml:space="preserve">3</x:t>
        </x:is>
      </x:c>
      <x:c r="E25" s="233" t="inlineStr">
        <x:is>
          <x:t xml:space="preserve">0</x:t>
        </x:is>
      </x:c>
      <x:c r="F25" s="233" t="inlineStr">
        <x:is>
          <x:t xml:space="preserve">3 DOTS MIDDLE OF THE PAGE</x:t>
        </x:is>
      </x:c>
      <x:c r="G25" s="233" t="inlineStr">
        <x:is>
          <x:t xml:space="preserve">?</x:t>
        </x:is>
      </x:c>
      <x:c r="H25" s="233" t="inlineStr">
        <x:is>
          <x:t xml:space="preserve">3 DOTS SIT BETWEEN 2 SETS OF GLYPHS</x:t>
        </x:is>
      </x:c>
      <x:c r="I25" s="233" t="str"/>
    </x:row>
    <x:row r="26" s="232" customFormat="1" ht="32" customHeight="1">
      <x:c r="A26" s="233" t="inlineStr">
        <x:is>
          <x:t xml:space="preserve">56.JPG</x:t>
        </x:is>
      </x:c>
      <x:c r="B26" s="233" t="inlineStr">
        <x:is>
          <x:t xml:space="preserve">3 DOTS</x:t>
        </x:is>
      </x:c>
      <x:c r="C26" s="233" t="inlineStr">
        <x:is>
          <x:t xml:space="preserve">0</x:t>
        </x:is>
      </x:c>
      <x:c r="D26" s="233" t="inlineStr">
        <x:is>
          <x:t xml:space="preserve">3</x:t>
        </x:is>
      </x:c>
      <x:c r="E26" s="233" t="inlineStr">
        <x:is>
          <x:t xml:space="preserve">0</x:t>
        </x:is>
      </x:c>
      <x:c r="F26" s="233" t="inlineStr">
        <x:is>
          <x:t xml:space="preserve">3 DOTS MIDDLE OF THE PAGE</x:t>
        </x:is>
      </x:c>
      <x:c r="G26" s="233" t="inlineStr">
        <x:is>
          <x:t xml:space="preserve">?</x:t>
        </x:is>
      </x:c>
      <x:c r="H26" s="233" t="inlineStr">
        <x:is>
          <x:t xml:space="preserve">3 DOTS SIT BETWEEN 2 SETS OF GLYPHS</x:t>
        </x:is>
      </x:c>
      <x:c r="I26" s="233" t="str"/>
    </x:row>
    <x:row r="27" s="232" customFormat="1" ht="32" customHeight="1">
      <x:c r="A27" s="233" t="inlineStr">
        <x:is>
          <x:t xml:space="preserve">57.JPG</x:t>
        </x:is>
      </x:c>
      <x:c r="B27" s="233" t="inlineStr">
        <x:is>
          <x:t xml:space="preserve">SPIRALS AND PETALS</x:t>
        </x:is>
      </x:c>
      <x:c r="C27" s="233" t="inlineStr">
        <x:is>
          <x:t xml:space="preserve">0</x:t>
        </x:is>
      </x:c>
      <x:c r="D27" s="233" t="inlineStr">
        <x:is>
          <x:t xml:space="preserve">8</x:t>
        </x:is>
      </x:c>
      <x:c r="E27" s="233" t="inlineStr">
        <x:is>
          <x:t xml:space="preserve">0</x:t>
        </x:is>
      </x:c>
      <x:c r="F27" s="233" t="inlineStr">
        <x:is>
          <x:t xml:space="preserve">LEFT AND RIGHT OF THE PAGE</x:t>
        </x:is>
      </x:c>
      <x:c r="G27" s="233" t="inlineStr">
        <x:is>
          <x:t xml:space="preserve">0</x:t>
        </x:is>
      </x:c>
      <x:c r="H27" s="233" t="inlineStr">
        <x:is>
          <x:t xml:space="preserve">SPIRAL AND PETS ON THE RIGHT SIDE HAVE 5 FULL BLACK PETALS BUT ON THE LEFT SIDE THERE ARE 2 WHITE AND 3 BLACK</x:t>
        </x:is>
      </x:c>
      <x:c r="I27" s="233" t="str"/>
    </x:row>
    <x:row r="28" s="232" customFormat="1" ht="32" customHeight="1">
      <x:c r="A28" s="233" t="inlineStr">
        <x:is>
          <x:t xml:space="preserve">58.JPG</x:t>
        </x:is>
      </x:c>
      <x:c r="B28" s="233" t="inlineStr">
        <x:is>
          <x:t xml:space="preserve">SPIRALS AND PETALS</x:t>
        </x:is>
      </x:c>
      <x:c r="C28" s="233" t="inlineStr">
        <x:is>
          <x:t xml:space="preserve">0</x:t>
        </x:is>
      </x:c>
      <x:c r="D28" s="233" t="inlineStr">
        <x:is>
          <x:t xml:space="preserve">8</x:t>
        </x:is>
      </x:c>
      <x:c r="E28" s="233" t="inlineStr">
        <x:is>
          <x:t xml:space="preserve">0</x:t>
        </x:is>
      </x:c>
      <x:c r="F28" s="233" t="inlineStr">
        <x:is>
          <x:t xml:space="preserve">LEFT AND RIGHT OF THE PAGE</x:t>
        </x:is>
      </x:c>
      <x:c r="G28" s="233" t="inlineStr">
        <x:is>
          <x:t xml:space="preserve">0</x:t>
        </x:is>
      </x:c>
      <x:c r="H28" s="233" t="inlineStr">
        <x:is>
          <x:t xml:space="preserve">SPIRAL AND PETS ON THE RIGHT SIDE HAVE 5 FULL BLACK PETALS BUT ON THE LEFT SIDE THERE ARE 2 WHITE AND 3 BLACK</x:t>
        </x:is>
      </x:c>
      <x:c r="I28" s="233" t="str"/>
    </x:row>
    <x:row r="29" s="232" customFormat="1" ht="32" customHeight="1">
      <x:c r="A29" s="233" t="inlineStr">
        <x:is>
          <x:t xml:space="preserve">59.JPG</x:t>
        </x:is>
      </x:c>
      <x:c r="B29" s="233" t="inlineStr">
        <x:is>
          <x:t xml:space="preserve">SPIRALS AND PETALS</x:t>
        </x:is>
      </x:c>
      <x:c r="C29" s="233" t="inlineStr">
        <x:is>
          <x:t xml:space="preserve">0</x:t>
        </x:is>
      </x:c>
      <x:c r="D29" s="233" t="inlineStr">
        <x:is>
          <x:t xml:space="preserve">8</x:t>
        </x:is>
      </x:c>
      <x:c r="E29" s="233" t="inlineStr">
        <x:is>
          <x:t xml:space="preserve">0</x:t>
        </x:is>
      </x:c>
      <x:c r="F29" s="233" t="inlineStr">
        <x:is>
          <x:t xml:space="preserve">LEFT AND RIGHT OF THE PAGE</x:t>
        </x:is>
      </x:c>
      <x:c r="G29" s="233" t="inlineStr">
        <x:is>
          <x:t xml:space="preserve">0</x:t>
        </x:is>
      </x:c>
      <x:c r="H29" s="233" t="inlineStr">
        <x:is>
          <x:t xml:space="preserve">SPIRAL AND PETS ON THE RIGHT SIDE HAVE 5 FULL BLACK PETALS BUT ON THE LEFT SIDE THERE ARE 2 WHITE AND 3 BLACK</x:t>
        </x:is>
      </x:c>
      <x:c r="I29" s="233" t="str"/>
    </x:row>
    <x:row r="30" s="232" customFormat="1" ht="32" customHeight="1">
      <x:c r="A30" s="233" t="inlineStr">
        <x:is>
          <x:t xml:space="preserve">60.JPG</x:t>
        </x:is>
      </x:c>
      <x:c r="B30" s="233" t="inlineStr">
        <x:is>
          <x:t xml:space="preserve">SPIRALS AND PETALS</x:t>
        </x:is>
      </x:c>
      <x:c r="C30" s="233" t="inlineStr">
        <x:is>
          <x:t xml:space="preserve">0</x:t>
        </x:is>
      </x:c>
      <x:c r="D30" s="233" t="inlineStr">
        <x:is>
          <x:t xml:space="preserve">8</x:t>
        </x:is>
      </x:c>
      <x:c r="E30" s="233" t="inlineStr">
        <x:is>
          <x:t xml:space="preserve">0</x:t>
        </x:is>
      </x:c>
      <x:c r="F30" s="233" t="inlineStr">
        <x:is>
          <x:t xml:space="preserve">LEFT AND RIGHT OF THE PAGE</x:t>
        </x:is>
      </x:c>
      <x:c r="G30" s="233" t="inlineStr">
        <x:is>
          <x:t xml:space="preserve">0</x:t>
        </x:is>
      </x:c>
      <x:c r="H30" s="233" t="inlineStr">
        <x:is>
          <x:t xml:space="preserve">SPIRAL AND PETS ON THE RIGHT SIDE HAVE 5 FULL BLACK PETALS BUT ON THE LEFT SIDE THERE ARE 2 WHITE AND 3 BLACK</x:t>
        </x:is>
      </x:c>
      <x:c r="I30" s="233" t="str"/>
    </x:row>
    <x:row r="31" s="232" customFormat="1" ht="32" customHeight="1">
      <x:c r="A31" s="233" t="inlineStr">
        <x:is>
          <x:t xml:space="preserve">61.JPG</x:t>
        </x:is>
      </x:c>
      <x:c r="B31" s="233" t="inlineStr">
        <x:is>
          <x:t xml:space="preserve">SPIRALS AND PETALS</x:t>
        </x:is>
      </x:c>
      <x:c r="C31" s="233" t="inlineStr">
        <x:is>
          <x:t xml:space="preserve">0</x:t>
        </x:is>
      </x:c>
      <x:c r="D31" s="233" t="inlineStr">
        <x:is>
          <x:t xml:space="preserve">8</x:t>
        </x:is>
      </x:c>
      <x:c r="E31" s="233" t="inlineStr">
        <x:is>
          <x:t xml:space="preserve">0</x:t>
        </x:is>
      </x:c>
      <x:c r="F31" s="233" t="inlineStr">
        <x:is>
          <x:t xml:space="preserve">LEFT AND RIGHT OF THE PAGE</x:t>
        </x:is>
      </x:c>
      <x:c r="G31" s="233" t="inlineStr">
        <x:is>
          <x:t xml:space="preserve">0</x:t>
        </x:is>
      </x:c>
      <x:c r="H31" s="233" t="inlineStr">
        <x:is>
          <x:t xml:space="preserve">SPIRAL AND PETS ON THE RIGHT SIDE HAVE 5 FULL BLACK PETALS BUT ON THE LEFT SIDE THERE ARE 2 WHITE AND 3 BLACK</x:t>
        </x:is>
      </x:c>
      <x:c r="I31" s="233" t="str"/>
    </x:row>
    <x:row r="32" s="232" customFormat="1" ht="32" customHeight="1">
      <x:c r="A32" s="233" t="inlineStr">
        <x:is>
          <x:t xml:space="preserve">62.JPG</x:t>
        </x:is>
      </x:c>
      <x:c r="B32" s="233" t="inlineStr">
        <x:is>
          <x:t xml:space="preserve">SPIRALS AND PETALS</x:t>
        </x:is>
      </x:c>
      <x:c r="C32" s="233" t="inlineStr">
        <x:is>
          <x:t xml:space="preserve">0</x:t>
        </x:is>
      </x:c>
      <x:c r="D32" s="233" t="inlineStr">
        <x:is>
          <x:t xml:space="preserve">8</x:t>
        </x:is>
      </x:c>
      <x:c r="E32" s="233" t="inlineStr">
        <x:is>
          <x:t xml:space="preserve">0</x:t>
        </x:is>
      </x:c>
      <x:c r="F32" s="233" t="inlineStr">
        <x:is>
          <x:t xml:space="preserve">LEFT AND RIGHT OF THE PAGE</x:t>
        </x:is>
      </x:c>
      <x:c r="G32" s="233" t="inlineStr">
        <x:is>
          <x:t xml:space="preserve">0</x:t>
        </x:is>
      </x:c>
      <x:c r="H32" s="233" t="inlineStr">
        <x:is>
          <x:t xml:space="preserve">SPIRAL AND PETS ON THE RIGHT SIDE HAVE 5 FULL BLACK PETALS BUT ON THE LEFT SIDE THERE ARE 2 WHITE AND 3 BLACK</x:t>
        </x:is>
      </x:c>
      <x:c r="I32" s="233" t="str"/>
    </x:row>
    <x:row r="33" s="232" customFormat="1" ht="32" customHeight="1">
      <x:c r="A33" s="233" t="inlineStr">
        <x:is>
          <x:t xml:space="preserve">63.JPG</x:t>
        </x:is>
      </x:c>
      <x:c r="B33" s="233" t="inlineStr">
        <x:is>
          <x:t xml:space="preserve">SPIRALS AND PETALS</x:t>
        </x:is>
      </x:c>
      <x:c r="C33" s="233" t="inlineStr">
        <x:is>
          <x:t xml:space="preserve">0</x:t>
        </x:is>
      </x:c>
      <x:c r="D33" s="233" t="inlineStr">
        <x:is>
          <x:t xml:space="preserve">8</x:t>
        </x:is>
      </x:c>
      <x:c r="E33" s="233" t="inlineStr">
        <x:is>
          <x:t xml:space="preserve">0</x:t>
        </x:is>
      </x:c>
      <x:c r="F33" s="233" t="inlineStr">
        <x:is>
          <x:t xml:space="preserve">LEFT AND RIGHT OF THE PAGE</x:t>
        </x:is>
      </x:c>
      <x:c r="G33" s="233" t="inlineStr">
        <x:is>
          <x:t xml:space="preserve">0</x:t>
        </x:is>
      </x:c>
      <x:c r="H33" s="233" t="inlineStr">
        <x:is>
          <x:t xml:space="preserve">SPIRAL AND PETS ON THE RIGHT SIDE HAVE 5 FULL BLACK PETALS BUT ON THE LEFT SIDE THERE ARE 2 WHITE AND 3 BLACK</x:t>
        </x:is>
      </x:c>
      <x:c r="I33" s="233" t="str"/>
    </x:row>
    <x:row r="34" s="232" customFormat="1" ht="32" customHeight="1">
      <x:c r="A34" s="233" t="inlineStr">
        <x:is>
          <x:t xml:space="preserve">64.JPG</x:t>
        </x:is>
      </x:c>
      <x:c r="B34" s="233" t="inlineStr">
        <x:is>
          <x:t xml:space="preserve">SPIRALS AND PETALS</x:t>
        </x:is>
      </x:c>
      <x:c r="C34" s="233" t="inlineStr">
        <x:is>
          <x:t xml:space="preserve">0</x:t>
        </x:is>
      </x:c>
      <x:c r="D34" s="233" t="inlineStr">
        <x:is>
          <x:t xml:space="preserve">8</x:t>
        </x:is>
      </x:c>
      <x:c r="E34" s="233" t="inlineStr">
        <x:is>
          <x:t xml:space="preserve">0</x:t>
        </x:is>
      </x:c>
      <x:c r="F34" s="233" t="inlineStr">
        <x:is>
          <x:t xml:space="preserve">LEFT AND RIGHT OF THE PAGE</x:t>
        </x:is>
      </x:c>
      <x:c r="G34" s="233" t="inlineStr">
        <x:is>
          <x:t xml:space="preserve">0</x:t>
        </x:is>
      </x:c>
      <x:c r="H34" s="233" t="inlineStr">
        <x:is>
          <x:t xml:space="preserve">SPIRAL AND PETS ON THE RIGHT SIDE HAVE 5 FULL BLACK PETALS BUT ON THE LEFT SIDE THERE ARE 2 WHITE AND 3 BLACK</x:t>
        </x:is>
      </x:c>
      <x:c r="I34" s="233" t="str"/>
    </x:row>
    <x:row r="35" s="232" customFormat="1" ht="32" customHeight="1">
      <x:c r="A35" s="233" t="inlineStr">
        <x:is>
          <x:t xml:space="preserve">65.JPG</x:t>
        </x:is>
      </x:c>
      <x:c r="B35" s="233" t="inlineStr">
        <x:is>
          <x:t xml:space="preserve">SPIRALS AND PETALS</x:t>
        </x:is>
      </x:c>
      <x:c r="C35" s="233" t="inlineStr">
        <x:is>
          <x:t xml:space="preserve">0</x:t>
        </x:is>
      </x:c>
      <x:c r="D35" s="233" t="inlineStr">
        <x:is>
          <x:t xml:space="preserve">8</x:t>
        </x:is>
      </x:c>
      <x:c r="E35" s="233" t="inlineStr">
        <x:is>
          <x:t xml:space="preserve">0</x:t>
        </x:is>
      </x:c>
      <x:c r="F35" s="233" t="inlineStr">
        <x:is>
          <x:t xml:space="preserve">LEFT AND RIGHT OF THE PAGE</x:t>
        </x:is>
      </x:c>
      <x:c r="G35" s="233" t="inlineStr">
        <x:is>
          <x:t xml:space="preserve">0</x:t>
        </x:is>
      </x:c>
      <x:c r="H35" s="233" t="inlineStr">
        <x:is>
          <x:t xml:space="preserve">SPIRAL AND PETS ON THE RIGHT SIDE HAVE 5 FULL BLACK PETALS BUT ON THE LEFT SIDE THERE ARE 2 WHITE AND 3 BLACK</x:t>
        </x:is>
      </x:c>
      <x:c r="I35" s="233" t="str"/>
    </x:row>
    <x:row r="36" s="232" customFormat="1" ht="32" customHeight="1">
      <x:c r="A36" s="233" t="inlineStr">
        <x:is>
          <x:t xml:space="preserve">66.JPG</x:t>
        </x:is>
      </x:c>
      <x:c r="B36" s="233" t="inlineStr">
        <x:is>
          <x:t xml:space="preserve">SPIRALS AND PETALS</x:t>
        </x:is>
      </x:c>
      <x:c r="C36" s="233" t="inlineStr">
        <x:is>
          <x:t xml:space="preserve">0</x:t>
        </x:is>
      </x:c>
      <x:c r="D36" s="233" t="inlineStr">
        <x:is>
          <x:t xml:space="preserve">8</x:t>
        </x:is>
      </x:c>
      <x:c r="E36" s="233" t="inlineStr">
        <x:is>
          <x:t xml:space="preserve">0</x:t>
        </x:is>
      </x:c>
      <x:c r="F36" s="233" t="inlineStr">
        <x:is>
          <x:t xml:space="preserve">LEFT AND RIGHT OF THE PAGE</x:t>
        </x:is>
      </x:c>
      <x:c r="G36" s="233" t="inlineStr">
        <x:is>
          <x:t xml:space="preserve">0</x:t>
        </x:is>
      </x:c>
      <x:c r="H36" s="233" t="inlineStr">
        <x:is>
          <x:t xml:space="preserve">SPIRAL AND PETS ON THE RIGHT SIDE HAVE 5 FULL BLACK PETALS BUT ON THE LEFT SIDE THERE ARE 2 WHITE AND 3 BLACK</x:t>
        </x:is>
      </x:c>
      <x:c r="I36" s="233" t="str"/>
    </x:row>
    <x:row r="37" s="232" customFormat="1" ht="32" customHeight="1">
      <x:c r="A37" s="233" t="inlineStr">
        <x:is>
          <x:t xml:space="preserve">67.JPG</x:t>
        </x:is>
      </x:c>
      <x:c r="B37" s="233" t="inlineStr">
        <x:is>
          <x:t xml:space="preserve">SPIRALS AND PETALS</x:t>
        </x:is>
      </x:c>
      <x:c r="C37" s="233" t="inlineStr">
        <x:is>
          <x:t xml:space="preserve">0</x:t>
        </x:is>
      </x:c>
      <x:c r="D37" s="233" t="inlineStr">
        <x:is>
          <x:t xml:space="preserve">8</x:t>
        </x:is>
      </x:c>
      <x:c r="E37" s="233" t="inlineStr">
        <x:is>
          <x:t xml:space="preserve">0</x:t>
        </x:is>
      </x:c>
      <x:c r="F37" s="233" t="inlineStr">
        <x:is>
          <x:t xml:space="preserve">LEFT AND RIGHT OF THE PAGE</x:t>
        </x:is>
      </x:c>
      <x:c r="G37" s="233" t="inlineStr">
        <x:is>
          <x:t xml:space="preserve">0</x:t>
        </x:is>
      </x:c>
      <x:c r="H37" s="233" t="inlineStr">
        <x:is>
          <x:t xml:space="preserve">SPIRAL AND PETS ON THE RIGHT SIDE HAVE 5 FULL BLACK PETALS BUT ON THE LEFT SIDE THERE ARE 2 WHITE AND 3 BLACK</x:t>
        </x:is>
      </x:c>
      <x:c r="I37" s="233" t="str"/>
    </x:row>
    <x:row r="38" s="232" customFormat="1" ht="32" customHeight="1">
      <x:c r="A38" s="233" t="inlineStr">
        <x:is>
          <x:t xml:space="preserve">68.JPG</x:t>
        </x:is>
      </x:c>
      <x:c r="B38" s="233" t="inlineStr">
        <x:is>
          <x:t xml:space="preserve">SPIRALS AND PETALS</x:t>
        </x:is>
      </x:c>
      <x:c r="C38" s="233" t="inlineStr">
        <x:is>
          <x:t xml:space="preserve">0</x:t>
        </x:is>
      </x:c>
      <x:c r="D38" s="233" t="inlineStr">
        <x:is>
          <x:t xml:space="preserve">8</x:t>
        </x:is>
      </x:c>
      <x:c r="E38" s="233" t="inlineStr">
        <x:is>
          <x:t xml:space="preserve">0</x:t>
        </x:is>
      </x:c>
      <x:c r="F38" s="233" t="inlineStr">
        <x:is>
          <x:t xml:space="preserve">LEFT AND RIGHT OF THE PAGE</x:t>
        </x:is>
      </x:c>
      <x:c r="G38" s="233" t="inlineStr">
        <x:is>
          <x:t xml:space="preserve">0</x:t>
        </x:is>
      </x:c>
      <x:c r="H38" s="233" t="inlineStr">
        <x:is>
          <x:t xml:space="preserve">SPIRAL AND PETS ON THE RIGHT SIDE HAVE 5 FULL BLACK PETALS BUT ON THE LEFT SIDE THERE ARE 2 WHITE AND 3 BLACK</x:t>
        </x:is>
      </x:c>
      <x:c r="I38" s="233" t="str"/>
    </x:row>
    <x:row r="39" s="232" customFormat="1" ht="32" customHeight="1">
      <x:c r="A39" s="233" t="inlineStr">
        <x:is>
          <x:t xml:space="preserve">69.JPG</x:t>
        </x:is>
      </x:c>
      <x:c r="B39" s="233" t="inlineStr">
        <x:is>
          <x:t xml:space="preserve">SPIRALS AND PETALS</x:t>
        </x:is>
      </x:c>
      <x:c r="C39" s="233" t="inlineStr">
        <x:is>
          <x:t xml:space="preserve">0</x:t>
        </x:is>
      </x:c>
      <x:c r="D39" s="233" t="inlineStr">
        <x:is>
          <x:t xml:space="preserve">8</x:t>
        </x:is>
      </x:c>
      <x:c r="E39" s="233" t="inlineStr">
        <x:is>
          <x:t xml:space="preserve">0</x:t>
        </x:is>
      </x:c>
      <x:c r="F39" s="233" t="inlineStr">
        <x:is>
          <x:t xml:space="preserve">LEFT AND RIGHT OF THE PAGE</x:t>
        </x:is>
      </x:c>
      <x:c r="G39" s="233" t="inlineStr">
        <x:is>
          <x:t xml:space="preserve">0</x:t>
        </x:is>
      </x:c>
      <x:c r="H39" s="233" t="inlineStr">
        <x:is>
          <x:t xml:space="preserve">SPIRAL AND PETS ON THE RIGHT SIDE HAVE 5 FULL BLACK PETALS BUT ON THE LEFT SIDE THERE ARE 2 WHITE AND 3 BLACK</x:t>
        </x:is>
      </x:c>
      <x:c r="I39" s="233" t="str"/>
    </x:row>
    <x:row r="40" s="232" customFormat="1" ht="32" customHeight="1">
      <x:c r="A40" s="233" t="inlineStr">
        <x:is>
          <x:t xml:space="preserve">70.JPG</x:t>
        </x:is>
      </x:c>
      <x:c r="B40" s="233" t="inlineStr">
        <x:is>
          <x:t xml:space="preserve">SPIRALS AND PETALS - CICADA</x:t>
        </x:is>
      </x:c>
      <x:c r="C40" s="233" t="inlineStr">
        <x:is>
          <x:t xml:space="preserve">0</x:t>
        </x:is>
      </x:c>
      <x:c r="D40" s="233" t="inlineStr">
        <x:is>
          <x:t xml:space="preserve">8</x:t>
        </x:is>
      </x:c>
      <x:c r="E40" s="233" t="inlineStr">
        <x:is>
          <x:t xml:space="preserve">0</x:t>
        </x:is>
      </x:c>
      <x:c r="F40" s="233" t="inlineStr">
        <x:is>
          <x:t xml:space="preserve">LEFT AND RIGHT OF THE PAGE  - CICADA SITS AT BOTTOM OF PAGE</x:t>
        </x:is>
      </x:c>
      <x:c r="G40" s="233" t="inlineStr">
        <x:is>
          <x:t xml:space="preserve">0</x:t>
        </x:is>
      </x:c>
      <x:c r="H40" s="233" t="inlineStr">
        <x:is>
          <x:t xml:space="preserve">SPIRAL AND PETS ON THE RIGHT SIDE HAVE 5 FULL BLACK PETALS BUT ON THE LEFT SIDE THERE ARE 2 WHITE AND 3 BLACK  - CICADA SITS AT BOTTOM OF PAGE</x:t>
        </x:is>
      </x:c>
      <x:c r="I40" s="233" t="str"/>
    </x:row>
    <x:row r="41" s="232" customFormat="1" ht="32" customHeight="1">
      <x:c r="A41" s="233" t="inlineStr">
        <x:is>
          <x:t xml:space="preserve">71.JPG</x:t>
        </x:is>
      </x:c>
      <x:c r="B41" s="233" t="inlineStr">
        <x:is>
          <x:t xml:space="preserve">SPIRALS AND PETALS</x:t>
        </x:is>
      </x:c>
      <x:c r="C41" s="233" t="inlineStr">
        <x:is>
          <x:t xml:space="preserve">0</x:t>
        </x:is>
      </x:c>
      <x:c r="D41" s="233" t="inlineStr">
        <x:is>
          <x:t xml:space="preserve">8</x:t>
        </x:is>
      </x:c>
      <x:c r="E41" s="233" t="inlineStr">
        <x:is>
          <x:t xml:space="preserve">0</x:t>
        </x:is>
      </x:c>
      <x:c r="F41" s="233" t="inlineStr">
        <x:is>
          <x:t xml:space="preserve">LEFT AND RIGHT OF THE PAGE</x:t>
        </x:is>
      </x:c>
      <x:c r="G41" s="233" t="inlineStr">
        <x:is>
          <x:t xml:space="preserve">0</x:t>
        </x:is>
      </x:c>
      <x:c r="H41" s="233" t="inlineStr">
        <x:is>
          <x:t xml:space="preserve">SPIRAL AND PETS ON THE RIGHT SIDE HAVE 5 FULL BLACK PETALS BUT ON THE LEFT SIDE THERE ARE 2 WHITE AND 3 BLACK</x:t>
        </x:is>
      </x:c>
      <x:c r="I41" s="233" t="str"/>
    </x:row>
    <x:row r="42" s="232" customFormat="1" ht="32" customHeight="1">
      <x:c r="A42" s="233" t="inlineStr">
        <x:is>
          <x:t xml:space="preserve">72.JPG</x:t>
        </x:is>
      </x:c>
      <x:c r="B42" s="233" t="inlineStr">
        <x:is>
          <x:t xml:space="preserve">SPIRALS AND PETALS  - CICADA - DEAD OAK TREE</x:t>
        </x:is>
      </x:c>
      <x:c r="C42" s="233" t="inlineStr">
        <x:is>
          <x:t xml:space="preserve">0</x:t>
        </x:is>
      </x:c>
      <x:c r="D42" s="233" t="inlineStr">
        <x:is>
          <x:t xml:space="preserve">8</x:t>
        </x:is>
      </x:c>
      <x:c r="E42" s="233" t="inlineStr">
        <x:is>
          <x:t xml:space="preserve">0</x:t>
        </x:is>
      </x:c>
      <x:c r="F42" s="233" t="inlineStr">
        <x:is>
          <x:t xml:space="preserve">LEFT AND RIGHT OF THE PAGE  - CICADA SITS AT BOTTOM OF PAGE -  MIDDLE OF PAGE IS DEAD OAK TREE</x:t>
        </x:is>
      </x:c>
      <x:c r="G42" s="233" t="inlineStr">
        <x:is>
          <x:t xml:space="preserve">0</x:t>
        </x:is>
      </x:c>
      <x:c r="H42" s="233" t="inlineStr">
        <x:is>
          <x:t xml:space="preserve">SPIRAL AND PETS ON THE RIGHT SIDE HAVE 5 FULL BLACK PETALS BUT ON THE LEFT SIDE THERE ARE 2 WHITE AND 3 BLACK - CICADA SITS AT BOTTOM OF PAGE  -BETWEEN THE GLYPHS AND THE CICADA IS A ALL WHITE DEAD OAK TREE</x:t>
        </x:is>
      </x:c>
      <x:c r="I42" s="233" t="str"/>
    </x:row>
    <x:row r="43" s="232" customFormat="1" ht="32" customHeight="1">
      <x:c r="A43" s="233" t="inlineStr">
        <x:is>
          <x:t xml:space="preserve">73.JPG</x:t>
        </x:is>
      </x:c>
      <x:c r="B43" s="233" t="inlineStr">
        <x:is>
          <x:t xml:space="preserve">5 DOT CONSTIALTION</x:t>
        </x:is>
      </x:c>
      <x:c r="C43" s="233" t="inlineStr">
        <x:is>
          <x:t xml:space="preserve">0</x:t>
        </x:is>
      </x:c>
      <x:c r="D43" s="233" t="inlineStr">
        <x:is>
          <x:t xml:space="preserve">5</x:t>
        </x:is>
      </x:c>
      <x:c r="E43" s="233" t="inlineStr">
        <x:is>
          <x:t xml:space="preserve">0</x:t>
        </x:is>
      </x:c>
      <x:c r="F43" s="233" t="inlineStr">
        <x:is>
          <x:t xml:space="preserve">5 DOTS ON THE BOTTOM OF THE PAGE BELOW ALL GLYPHS</x:t>
        </x:is>
      </x:c>
      <x:c r="G43" s="233" t="inlineStr">
        <x:is>
          <x:t xml:space="preserve">5</x:t>
        </x:is>
      </x:c>
      <x:c r="H43" s="233" t="str"/>
      <x:c r="I43" s="233" t="str"/>
    </x:row>
    <x:row r="44" s="232" customFormat="1" ht="32" customHeight="1">
      <x:c r="A44" s="233" t="inlineStr">
        <x:is>
          <x:t xml:space="preserve">74.JPG</x:t>
        </x:is>
      </x:c>
      <x:c r="B44" s="233" t="str"/>
      <x:c r="C44" s="233" t="str"/>
      <x:c r="D44" s="233" t="str"/>
      <x:c r="E44" s="233" t="str"/>
      <x:c r="F44" s="233" t="str"/>
      <x:c r="G44" s="233" t="str"/>
      <x:c r="H44" s="233" t="str"/>
      <x:c r="I44" s="233" t="str"/>
    </x:row>
    <x:row r="45" s="232" customFormat="1" ht="32" customHeight="1">
      <x:c r="A45" s="233" t="inlineStr">
        <x:is>
          <x:t xml:space="preserve">69.JPG</x:t>
        </x:is>
      </x:c>
      <x:c r="B45" s="233" t="str"/>
      <x:c r="C45" s="233" t="str"/>
      <x:c r="D45" s="233" t="str"/>
      <x:c r="E45" s="233" t="str"/>
      <x:c r="F45" s="233" t="str"/>
      <x:c r="G45" s="233" t="str"/>
      <x:c r="H45" s="233" t="str"/>
      <x:c r="I45" s="233" t="str"/>
    </x:row>
    <x:row r="46" s="232" customFormat="1" ht="32" customHeight="1">
      <x:c r="A46" s="233" t="inlineStr">
        <x:is>
          <x:t xml:space="preserve">69.JPG</x:t>
        </x:is>
      </x:c>
      <x:c r="B46" s="233" t="str"/>
      <x:c r="C46" s="233" t="str"/>
      <x:c r="D46" s="233" t="str"/>
      <x:c r="E46" s="233" t="str"/>
      <x:c r="F46" s="233" t="str"/>
      <x:c r="G46" s="233" t="str"/>
      <x:c r="H46" s="233" t="str"/>
      <x:c r="I46" s="233" t="str"/>
    </x:row>
  </x:sheetData>
  <x:pageMargins left="0.7" right="0.7" top="0.75" bottom="0.75" header="0.3" footer="0.3"/>
</x:worksheet>
</file>

<file path=xl/worksheets/sheet4.xml><?xml version="1.0" encoding="utf-8"?>
<x:worksheet xmlns:x="http://schemas.openxmlformats.org/spreadsheetml/2006/main">
  <x:sheetViews>
    <x:sheetView workbookViewId="0">
      <x:pane ySplit="12" topLeftCell="A13" activePane="bottomLeft" state="frozen"/>
    </x:sheetView>
  </x:sheetViews>
  <x:sheetFormatPr baseColWidth="8" defaultRowHeight="15"/>
  <x:cols>
    <x:col min="1" max="1" width="16" style="232" customWidth="1"/>
    <x:col min="2" max="2" width="24" style="232" customWidth="1"/>
    <x:col min="3" max="3" width="24" style="232" customWidth="1"/>
    <x:col min="4" max="4" width="18" style="232" customWidth="1"/>
    <x:col min="5" max="5" width="18" style="232" customWidth="1"/>
    <x:col min="6" max="6" width="72" style="232" customWidth="1"/>
    <x:col min="8" max="8" width="48" style="232" customWidth="1"/>
    <x:col min="9" max="9" width="34" style="232" customWidth="1"/>
    <x:col min="10" max="10" width="70" style="232" customWidth="1"/>
  </x:cols>
  <x:sheetData>
    <x:row r="1">
      <x:c r="A1" s="52" t="inlineStr">
        <x:is>
          <x:t xml:space="preserve">Liber Primus coverage and source audit</x:t>
        </x:is>
      </x:c>
      <x:c r="B1" s="1" t="n"/>
      <x:c r="C1" s="1" t="n"/>
      <x:c r="D1" s="1" t="n"/>
      <x:c r="E1" s="1" t="n"/>
      <x:c r="F1" s="1" t="n"/>
    </x:row>
    <x:row r="2">
      <x:c r="A2" s="234" t="inlineStr">
        <x:is>
          <x:t xml:space="preserve">Purpose</x:t>
        </x:is>
      </x:c>
      <x:c r="B2" s="234" t="inlineStr">
        <x:is>
          <x:t xml:space="preserve">Find page slots and source records that need further verification or annotation. The Master Dataset remains the single working feature table.</x:t>
        </x:is>
      </x:c>
      <x:c r="C2" s="234" t="n"/>
      <x:c r="D2" s="234" t="n"/>
      <x:c r="E2" s="234" t="n"/>
      <x:c r="F2" s="234" t="n"/>
    </x:row>
    <x:row r="3">
      <x:c r="A3" s="234" t="inlineStr">
        <x:is>
          <x:t xml:space="preserve">Annotated repository</x:t>
        </x:is>
      </x:c>
      <x:c r="B3" s="234" t="inlineStr">
        <x:is>
          <x:t xml:space="preserve">https://github.com/mrfentmen/annotated-pages</x:t>
        </x:is>
      </x:c>
      <x:c r="C3" s="234" t="n"/>
      <x:c r="D3" s="234" t="n"/>
      <x:c r="E3" s="234" t="n"/>
      <x:c r="F3" s="234" t="n"/>
    </x:row>
    <x:row r="4">
      <x:c r="A4" s="234" t="inlineStr">
        <x:is>
          <x:t xml:space="preserve">CSV source archive</x:t>
        </x:is>
      </x:c>
      <x:c r="B4" s="234" t="inlineStr">
        <x:is>
          <x:t xml:space="preserve">CSV Source Archive preserves all original parsed rows including the initial 'Column 1–9' row and blank/duplicate records.</x:t>
        </x:is>
      </x:c>
      <x:c r="C4" s="234" t="n"/>
      <x:c r="D4" s="234" t="n"/>
      <x:c r="E4" s="234" t="n"/>
      <x:c r="F4" s="234" t="n"/>
    </x:row>
    <x:row r="5">
      <x:c r="A5" s="234" t="inlineStr">
        <x:is>
          <x:t xml:space="preserve">Source caveat</x:t>
        </x:is>
      </x:c>
      <x:c r="B5" s="234" t="inlineStr">
        <x:is>
          <x:t xml:space="preserve">Page-level CSV fields are repeated as provenance context on feature rows. Do not sum them across rows; counts in feature-specific columns should be treated according to each row's scope.</x:t>
        </x:is>
      </x:c>
      <x:c r="C5" s="234" t="n"/>
      <x:c r="D5" s="234" t="n"/>
      <x:c r="E5" s="234" t="n"/>
      <x:c r="F5" s="234" t="n"/>
    </x:row>
    <x:row r="6">
      <x:c r="A6" s="234" t="inlineStr">
        <x:is>
          <x:t xml:space="preserve">CSV summary</x:t>
        </x:is>
      </x:c>
      <x:c r="B6" s="234" t="inlineStr">
        <x:is>
          <x:t xml:space="preserve">44 data records; 41 populated unique page records; 42 unique page labels including the empty page-74 row; 2 extra empty page-69 records.</x:t>
        </x:is>
      </x:c>
      <x:c r="C6" s="234" t="n"/>
      <x:c r="D6" s="234" t="n"/>
      <x:c r="E6" s="234" t="n"/>
      <x:c r="F6" s="234" t="n"/>
    </x:row>
    <x:row r="7">
      <x:c r="A7" s="234" t="inlineStr">
        <x:is>
          <x:t xml:space="preserve">Annotated image coverage</x:t>
        </x:is>
      </x:c>
      <x:c r="B7" s="234" t="inlineStr">
        <x:is>
          <x:t xml:space="preserve">26 annotated image files are present in the repository; 15 populated CSV page records have no matching annotated image there.</x:t>
        </x:is>
      </x:c>
      <x:c r="C7" s="234" t="n"/>
      <x:c r="D7" s="234" t="n"/>
      <x:c r="E7" s="234" t="n"/>
      <x:c r="F7" s="234" t="n"/>
    </x:row>
    <x:row r="8">
      <x:c r="A8" s="234" t="inlineStr">
        <x:is>
          <x:t xml:space="preserve">Referenced range only</x:t>
        </x:is>
      </x:c>
      <x:c r="B8" s="234" t="inlineStr">
        <x:is>
          <x:t xml:space="preserve">Pages 09–15 are referenced in repeated notes under pages 25–30, with branch positions 2,3,5,6,8,10,11,13 and a historical Fibonacci hypothesis; the CSV has no individual records or counts for pages 09–15.</x:t>
        </x:is>
      </x:c>
      <x:c r="C8" s="234" t="n"/>
      <x:c r="D8" s="234" t="n"/>
      <x:c r="E8" s="234" t="n"/>
      <x:c r="F8" s="234" t="n"/>
    </x:row>
    <x:row r="9">
      <x:c r="A9" s="234" t="inlineStr">
        <x:is>
          <x:t xml:space="preserve">Uncertainty policy</x:t>
        </x:is>
      </x:c>
      <x:c r="B9" s="234" t="inlineStr">
        <x:is>
          <x:t xml:space="preserve">Unknown and ambiguous counts stay blank in normalized numeric columns; source text such as '?' and '1 OR 2 IF WE COUNT THE MAYFLYS EYE' is retained verbatim.</x:t>
        </x:is>
      </x:c>
      <x:c r="C9" s="234" t="n"/>
      <x:c r="D9" s="234" t="n"/>
      <x:c r="E9" s="234" t="n"/>
      <x:c r="F9" s="234" t="n"/>
    </x:row>
    <x:row r="10">
      <x:c r="A10" s="234" t="inlineStr">
        <x:is>
          <x:t xml:space="preserve">Visual measurements pending</x:t>
        </x:is>
      </x:c>
      <x:c r="B10" s="234" t="inlineStr">
        <x:is>
          <x:t xml:space="preserve">Normalized coordinates, angles, vertices, endpoints, intersections, line-graph topology, and page-to-page geometric transforms remain unmeasured unless a row explicitly states otherwise.</x:t>
        </x:is>
      </x:c>
      <x:c r="C10" s="234" t="n"/>
      <x:c r="D10" s="234" t="n"/>
      <x:c r="E10" s="234" t="n"/>
      <x:c r="F10" s="234" t="n"/>
    </x:row>
    <x:row r="11">
      <x:c r="A11" s="86" t="str"/>
      <x:c r="B11" s="86" t="n"/>
      <x:c r="C11" s="86" t="n"/>
      <x:c r="D11" s="86" t="n"/>
      <x:c r="E11" s="86" t="n"/>
      <x:c r="F11" s="86" t="n"/>
    </x:row>
    <x:row r="12">
      <x:c r="A12" s="80" t="inlineStr">
        <x:is>
          <x:t xml:space="preserve">page_number</x:t>
        </x:is>
      </x:c>
      <x:c r="B12" s="80" t="inlineStr">
        <x:is>
          <x:t xml:space="preserve">annotated_image_in_repo</x:t>
        </x:is>
      </x:c>
      <x:c r="C12" s="80" t="inlineStr">
        <x:is>
          <x:t xml:space="preserve">populated_csv_record</x:t>
        </x:is>
      </x:c>
      <x:c r="D12" s="80" t="inlineStr">
        <x:is>
          <x:t xml:space="preserve">csv_record_count</x:t>
        </x:is>
      </x:c>
      <x:c r="E12" s="80" t="inlineStr">
        <x:is>
          <x:t xml:space="preserve">master_feature_rows</x:t>
        </x:is>
      </x:c>
      <x:c r="F12" s="80" t="inlineStr">
        <x:is>
          <x:t xml:space="preserve">coverage_status</x:t>
        </x:is>
      </x:c>
      <x:c r="H12" s="73" t="inlineStr">
        <x:is>
          <x:t xml:space="preserve">CSV first row contains generic headings 'Column 1' ... 'Column 9'</x:t>
        </x:is>
      </x:c>
      <x:c r="I12" s="73" t="inlineStr">
        <x:is>
          <x:t xml:space="preserve">CSV Source Archive!row 1</x:t>
        </x:is>
      </x:c>
      <x:c r="J12" s="73" t="inlineStr">
        <x:is>
          <x:t xml:space="preserve">Preserved exactly; actual field names are in CSV Source Archive row 2.</x:t>
        </x:is>
      </x:c>
    </x:row>
    <x:row r="13" s="232" customFormat="1" ht="24" customHeight="1">
      <x:c r="A13" s="234" t="n">
        <x:v>0</x:v>
      </x:c>
      <x:c r="B13" s="234" t="inlineStr">
        <x:is>
          <x:t xml:space="preserve">NO</x:t>
        </x:is>
      </x:c>
      <x:c r="C13" s="234" t="inlineStr">
        <x:is>
          <x:t xml:space="preserve">NO</x:t>
        </x:is>
      </x:c>
      <x:c r="D13" s="234" t="n">
        <x:v>0</x:v>
      </x:c>
      <x:c r="E13" s="234" t="n">
        <x:v>0</x:v>
      </x:c>
      <x:c r="F13" s="234" t="inlineStr">
        <x:is>
          <x:t xml:space="preserve">No annotated image or populated CSV record</x:t>
        </x:is>
      </x:c>
      <x:c r="H13" s="233" t="inlineStr">
        <x:is>
          <x:t xml:space="preserve">Page 74 record has page label only; other fields empty</x:t>
        </x:is>
      </x:c>
      <x:c r="I13" s="233" t="inlineStr">
        <x:is>
          <x:t xml:space="preserve">CSV Source Archive logical data record CSV-D042</x:t>
        </x:is>
      </x:c>
      <x:c r="J13" s="233" t="inlineStr">
        <x:is>
          <x:t xml:space="preserve">Placeholder only; no feature/count was invented. Master contains a clearly marked empty-source placeholder.</x:t>
        </x:is>
      </x:c>
    </x:row>
    <x:row r="14" s="232" customFormat="1" ht="24" customHeight="1">
      <x:c r="A14" s="234" t="n">
        <x:v>1</x:v>
      </x:c>
      <x:c r="B14" s="234" t="inlineStr">
        <x:is>
          <x:t xml:space="preserve">NO</x:t>
        </x:is>
      </x:c>
      <x:c r="C14" s="234" t="inlineStr">
        <x:is>
          <x:t xml:space="preserve">NO</x:t>
        </x:is>
      </x:c>
      <x:c r="D14" s="234" t="n">
        <x:v>0</x:v>
      </x:c>
      <x:c r="E14" s="234" t="n">
        <x:v>0</x:v>
      </x:c>
      <x:c r="F14" s="234" t="inlineStr">
        <x:is>
          <x:t xml:space="preserve">No annotated image or populated CSV record</x:t>
        </x:is>
      </x:c>
      <x:c r="H14" s="233" t="inlineStr">
        <x:is>
          <x:t xml:space="preserve">Two additional page-69 records are empty duplicates</x:t>
        </x:is>
      </x:c>
      <x:c r="I14" s="233" t="inlineStr">
        <x:is>
          <x:t xml:space="preserve">CSV Source Archive logical data records CSV-D043 and CSV-D044</x:t>
        </x:is>
      </x:c>
      <x:c r="J14" s="233" t="inlineStr">
        <x:is>
          <x:t xml:space="preserve">Preserved verbatim in source archive; not converted into visual features.</x:t>
        </x:is>
      </x:c>
    </x:row>
    <x:row r="15" s="232" customFormat="1" ht="24" customHeight="1">
      <x:c r="A15" s="234" t="n">
        <x:v>2</x:v>
      </x:c>
      <x:c r="B15" s="234" t="inlineStr">
        <x:is>
          <x:t xml:space="preserve">NO</x:t>
        </x:is>
      </x:c>
      <x:c r="C15" s="234" t="inlineStr">
        <x:is>
          <x:t xml:space="preserve">NO</x:t>
        </x:is>
      </x:c>
      <x:c r="D15" s="234" t="n">
        <x:v>0</x:v>
      </x:c>
      <x:c r="E15" s="234" t="n">
        <x:v>0</x:v>
      </x:c>
      <x:c r="F15" s="234" t="inlineStr">
        <x:is>
          <x:t xml:space="preserve">No annotated image or populated CSV record</x:t>
        </x:is>
      </x:c>
      <x:c r="H15" s="233" t="inlineStr">
        <x:is>
          <x:t xml:space="preserve">Page 50 and 56 constellation-dot values are '?'</x:t>
        </x:is>
      </x:c>
      <x:c r="I15" s="233" t="inlineStr">
        <x:is>
          <x:t xml:space="preserve">CSV-D024 and CSV-D025</x:t>
        </x:is>
      </x:c>
      <x:c r="J15" s="233" t="inlineStr">
        <x:is>
          <x:t xml:space="preserve">Raw '?' is retained. Unknown is not silently converted to zero.</x:t>
        </x:is>
      </x:c>
    </x:row>
    <x:row r="16" s="232" customFormat="1" ht="24" customHeight="1">
      <x:c r="A16" s="234" t="n">
        <x:v>3</x:v>
      </x:c>
      <x:c r="B16" s="234" t="inlineStr">
        <x:is>
          <x:t xml:space="preserve">NO</x:t>
        </x:is>
      </x:c>
      <x:c r="C16" s="234" t="inlineStr">
        <x:is>
          <x:t xml:space="preserve">NO</x:t>
        </x:is>
      </x:c>
      <x:c r="D16" s="234" t="n">
        <x:v>0</x:v>
      </x:c>
      <x:c r="E16" s="234" t="n">
        <x:v>0</x:v>
      </x:c>
      <x:c r="F16" s="234" t="inlineStr">
        <x:is>
          <x:t xml:space="preserve">No annotated image or populated CSV record</x:t>
        </x:is>
      </x:c>
      <x:c r="H16" s="233" t="inlineStr">
        <x:is>
          <x:t xml:space="preserve">Page 50 and 56 constellation-dot values are '?'</x:t>
        </x:is>
      </x:c>
      <x:c r="I16" s="233" t="inlineStr">
        <x:is>
          <x:t xml:space="preserve">CSV-D023 and CSV-D024</x:t>
        </x:is>
      </x:c>
      <x:c r="J16" s="233" t="inlineStr">
        <x:is>
          <x:t xml:space="preserve">Raw '?' is retained. Unknown is not silently converted to zero.</x:t>
        </x:is>
      </x:c>
    </x:row>
    <x:row r="17" s="232" customFormat="1" ht="24" customHeight="1">
      <x:c r="A17" s="234" t="n">
        <x:v>4</x:v>
      </x:c>
      <x:c r="B17" s="234" t="inlineStr">
        <x:is>
          <x:t xml:space="preserve">NO</x:t>
        </x:is>
      </x:c>
      <x:c r="C17" s="234" t="inlineStr">
        <x:is>
          <x:t xml:space="preserve">NO</x:t>
        </x:is>
      </x:c>
      <x:c r="D17" s="234" t="n">
        <x:v>0</x:v>
      </x:c>
      <x:c r="E17" s="234" t="n">
        <x:v>0</x:v>
      </x:c>
      <x:c r="F17" s="234" t="inlineStr">
        <x:is>
          <x:t xml:space="preserve">No annotated image or populated CSV record</x:t>
        </x:is>
      </x:c>
      <x:c r="H17" s="233" t="inlineStr">
        <x:is>
          <x:t xml:space="preserve">Page 31 external-dot count is ambiguous: eye may be included</x:t>
        </x:is>
      </x:c>
      <x:c r="I17" s="233" t="inlineStr">
        <x:is>
          <x:t xml:space="preserve">CSV-D015</x:t>
        </x:is>
      </x:c>
      <x:c r="J17" s="233" t="inlineStr">
        <x:is>
          <x:t xml:space="preserve">No resolved aggregate count entered; explicit ambiguity retained.</x:t>
        </x:is>
      </x:c>
    </x:row>
    <x:row r="18" s="232" customFormat="1" ht="24" customHeight="1">
      <x:c r="A18" s="234" t="n">
        <x:v>5</x:v>
      </x:c>
      <x:c r="B18" s="234" t="inlineStr">
        <x:is>
          <x:t xml:space="preserve">NO</x:t>
        </x:is>
      </x:c>
      <x:c r="C18" s="234" t="inlineStr">
        <x:is>
          <x:t xml:space="preserve">NO</x:t>
        </x:is>
      </x:c>
      <x:c r="D18" s="234" t="n">
        <x:v>0</x:v>
      </x:c>
      <x:c r="E18" s="234" t="n">
        <x:v>0</x:v>
      </x:c>
      <x:c r="F18" s="234" t="inlineStr">
        <x:is>
          <x:t xml:space="preserve">No annotated image or populated CSV record</x:t>
        </x:is>
      </x:c>
      <x:c r="H18" s="233" t="inlineStr">
        <x:is>
          <x:t xml:space="preserve">Page 44 scale count recorded as '15-16 SCALES ?'</x:t>
        </x:is>
      </x:c>
      <x:c r="I18" s="233" t="inlineStr">
        <x:is>
          <x:t xml:space="preserve">CSV-D022</x:t>
        </x:is>
      </x:c>
      <x:c r="J18" s="233" t="inlineStr">
        <x:is>
          <x:t xml:space="preserve">Text preserved; normalized count left blank.</x:t>
        </x:is>
      </x:c>
    </x:row>
    <x:row r="19" s="232" customFormat="1" ht="24" customHeight="1">
      <x:c r="A19" s="234" t="n">
        <x:v>6</x:v>
      </x:c>
      <x:c r="B19" s="234" t="inlineStr">
        <x:is>
          <x:t xml:space="preserve">NO</x:t>
        </x:is>
      </x:c>
      <x:c r="C19" s="234" t="inlineStr">
        <x:is>
          <x:t xml:space="preserve">NO</x:t>
        </x:is>
      </x:c>
      <x:c r="D19" s="234" t="n">
        <x:v>0</x:v>
      </x:c>
      <x:c r="E19" s="234" t="n">
        <x:v>0</x:v>
      </x:c>
      <x:c r="F19" s="234" t="inlineStr">
        <x:is>
          <x:t xml:space="preserve">No annotated image or populated CSV record</x:t>
        </x:is>
      </x:c>
      <x:c r="H19" s="233" t="inlineStr">
        <x:is>
          <x:t xml:space="preserve">Pages 09–15 are referenced repeatedly in the Fibonacci notes only</x:t>
        </x:is>
      </x:c>
      <x:c r="I19" s="233" t="inlineStr">
        <x:is>
          <x:t xml:space="preserve">CSV-D009 through CSV-D014</x:t>
        </x:is>
      </x:c>
      <x:c r="J19" s="233" t="inlineStr">
        <x:is>
          <x:t xml:space="preserve">Added one range-reference row; individual page geometry remains missing.</x:t>
        </x:is>
      </x:c>
    </x:row>
    <x:row r="20" s="232" customFormat="1" ht="24" customHeight="1">
      <x:c r="A20" s="234" t="n">
        <x:v>7</x:v>
      </x:c>
      <x:c r="B20" s="234" t="inlineStr">
        <x:is>
          <x:t xml:space="preserve">NO</x:t>
        </x:is>
      </x:c>
      <x:c r="C20" s="234" t="inlineStr">
        <x:is>
          <x:t xml:space="preserve">NO</x:t>
        </x:is>
      </x:c>
      <x:c r="D20" s="234" t="n">
        <x:v>0</x:v>
      </x:c>
      <x:c r="E20" s="234" t="n">
        <x:v>0</x:v>
      </x:c>
      <x:c r="F20" s="234" t="inlineStr">
        <x:is>
          <x:t xml:space="preserve">No annotated image or populated CSV record</x:t>
        </x:is>
      </x:c>
    </x:row>
    <x:row r="21" s="232" customFormat="1" ht="24" customHeight="1">
      <x:c r="A21" s="234" t="n">
        <x:v>8</x:v>
      </x:c>
      <x:c r="B21" s="234" t="inlineStr">
        <x:is>
          <x:t xml:space="preserve">NO</x:t>
        </x:is>
      </x:c>
      <x:c r="C21" s="234" t="inlineStr">
        <x:is>
          <x:t xml:space="preserve">NO</x:t>
        </x:is>
      </x:c>
      <x:c r="D21" s="234" t="n">
        <x:v>0</x:v>
      </x:c>
      <x:c r="E21" s="234" t="n">
        <x:v>0</x:v>
      </x:c>
      <x:c r="F21" s="234" t="inlineStr">
        <x:is>
          <x:t xml:space="preserve">No annotated image or populated CSV record</x:t>
        </x:is>
      </x:c>
    </x:row>
    <x:row r="22" s="232" customFormat="1" ht="24" customHeight="1">
      <x:c r="A22" s="234" t="n">
        <x:v>9</x:v>
      </x:c>
      <x:c r="B22" s="234" t="inlineStr">
        <x:is>
          <x:t xml:space="preserve">NO</x:t>
        </x:is>
      </x:c>
      <x:c r="C22" s="234" t="inlineStr">
        <x:is>
          <x:t xml:space="preserve">NO</x:t>
        </x:is>
      </x:c>
      <x:c r="D22" s="234" t="n">
        <x:v>0</x:v>
      </x:c>
      <x:c r="E22" s="234" t="n">
        <x:v>0</x:v>
      </x:c>
      <x:c r="F22" s="234" t="inlineStr">
        <x:is>
          <x:t xml:space="preserve">REFERENCED IN CSV NOTES ONLY; no page-specific CSV record or annotated image</x:t>
        </x:is>
      </x:c>
    </x:row>
    <x:row r="23" s="232" customFormat="1" ht="24" customHeight="1">
      <x:c r="A23" s="234" t="n">
        <x:v>10</x:v>
      </x:c>
      <x:c r="B23" s="234" t="inlineStr">
        <x:is>
          <x:t xml:space="preserve">NO</x:t>
        </x:is>
      </x:c>
      <x:c r="C23" s="234" t="inlineStr">
        <x:is>
          <x:t xml:space="preserve">NO</x:t>
        </x:is>
      </x:c>
      <x:c r="D23" s="234" t="n">
        <x:v>0</x:v>
      </x:c>
      <x:c r="E23" s="234" t="n">
        <x:v>0</x:v>
      </x:c>
      <x:c r="F23" s="234" t="inlineStr">
        <x:is>
          <x:t xml:space="preserve">REFERENCED IN CSV NOTES ONLY; no page-specific CSV record or annotated image</x:t>
        </x:is>
      </x:c>
    </x:row>
    <x:row r="24" s="232" customFormat="1" ht="24" customHeight="1">
      <x:c r="A24" s="234" t="n">
        <x:v>11</x:v>
      </x:c>
      <x:c r="B24" s="234" t="inlineStr">
        <x:is>
          <x:t xml:space="preserve">NO</x:t>
        </x:is>
      </x:c>
      <x:c r="C24" s="234" t="inlineStr">
        <x:is>
          <x:t xml:space="preserve">NO</x:t>
        </x:is>
      </x:c>
      <x:c r="D24" s="234" t="n">
        <x:v>0</x:v>
      </x:c>
      <x:c r="E24" s="234" t="n">
        <x:v>0</x:v>
      </x:c>
      <x:c r="F24" s="234" t="inlineStr">
        <x:is>
          <x:t xml:space="preserve">REFERENCED IN CSV NOTES ONLY; no page-specific CSV record or annotated image</x:t>
        </x:is>
      </x:c>
    </x:row>
    <x:row r="25" s="232" customFormat="1" ht="24" customHeight="1">
      <x:c r="A25" s="234" t="n">
        <x:v>12</x:v>
      </x:c>
      <x:c r="B25" s="234" t="inlineStr">
        <x:is>
          <x:t xml:space="preserve">NO</x:t>
        </x:is>
      </x:c>
      <x:c r="C25" s="234" t="inlineStr">
        <x:is>
          <x:t xml:space="preserve">NO</x:t>
        </x:is>
      </x:c>
      <x:c r="D25" s="234" t="n">
        <x:v>0</x:v>
      </x:c>
      <x:c r="E25" s="234" t="n">
        <x:v>0</x:v>
      </x:c>
      <x:c r="F25" s="234" t="inlineStr">
        <x:is>
          <x:t xml:space="preserve">REFERENCED IN CSV NOTES ONLY; no page-specific CSV record or annotated image</x:t>
        </x:is>
      </x:c>
    </x:row>
    <x:row r="26" s="232" customFormat="1" ht="24" customHeight="1">
      <x:c r="A26" s="234" t="n">
        <x:v>13</x:v>
      </x:c>
      <x:c r="B26" s="234" t="inlineStr">
        <x:is>
          <x:t xml:space="preserve">NO</x:t>
        </x:is>
      </x:c>
      <x:c r="C26" s="234" t="inlineStr">
        <x:is>
          <x:t xml:space="preserve">NO</x:t>
        </x:is>
      </x:c>
      <x:c r="D26" s="234" t="n">
        <x:v>0</x:v>
      </x:c>
      <x:c r="E26" s="234" t="n">
        <x:v>0</x:v>
      </x:c>
      <x:c r="F26" s="234" t="inlineStr">
        <x:is>
          <x:t xml:space="preserve">REFERENCED IN CSV NOTES ONLY; no page-specific CSV record or annotated image</x:t>
        </x:is>
      </x:c>
    </x:row>
    <x:row r="27" s="232" customFormat="1" ht="24" customHeight="1">
      <x:c r="A27" s="234" t="n">
        <x:v>14</x:v>
      </x:c>
      <x:c r="B27" s="234" t="inlineStr">
        <x:is>
          <x:t xml:space="preserve">NO</x:t>
        </x:is>
      </x:c>
      <x:c r="C27" s="234" t="inlineStr">
        <x:is>
          <x:t xml:space="preserve">NO</x:t>
        </x:is>
      </x:c>
      <x:c r="D27" s="234" t="n">
        <x:v>0</x:v>
      </x:c>
      <x:c r="E27" s="234" t="n">
        <x:v>0</x:v>
      </x:c>
      <x:c r="F27" s="234" t="inlineStr">
        <x:is>
          <x:t xml:space="preserve">REFERENCED IN CSV NOTES ONLY; no page-specific CSV record or annotated image</x:t>
        </x:is>
      </x:c>
    </x:row>
    <x:row r="28" s="232" customFormat="1" ht="24" customHeight="1">
      <x:c r="A28" s="234" t="n">
        <x:v>15</x:v>
      </x:c>
      <x:c r="B28" s="234" t="inlineStr">
        <x:is>
          <x:t xml:space="preserve">NO</x:t>
        </x:is>
      </x:c>
      <x:c r="C28" s="234" t="inlineStr">
        <x:is>
          <x:t xml:space="preserve">NO</x:t>
        </x:is>
      </x:c>
      <x:c r="D28" s="234" t="n">
        <x:v>0</x:v>
      </x:c>
      <x:c r="E28" s="234" t="n">
        <x:v>0</x:v>
      </x:c>
      <x:c r="F28" s="234" t="inlineStr">
        <x:is>
          <x:t xml:space="preserve">REFERENCED IN CSV NOTES ONLY; no page-specific CSV record or annotated image</x:t>
        </x:is>
      </x:c>
    </x:row>
    <x:row r="29" s="232" customFormat="1" ht="24" customHeight="1">
      <x:c r="A29" s="234" t="n">
        <x:v>16</x:v>
      </x:c>
      <x:c r="B29" s="234" t="inlineStr">
        <x:is>
          <x:t xml:space="preserve">NO</x:t>
        </x:is>
      </x:c>
      <x:c r="C29" s="234" t="inlineStr">
        <x:is>
          <x:t xml:space="preserve">NO</x:t>
        </x:is>
      </x:c>
      <x:c r="D29" s="234" t="n">
        <x:v>0</x:v>
      </x:c>
      <x:c r="E29" s="234" t="n">
        <x:v>0</x:v>
      </x:c>
      <x:c r="F29" s="234" t="inlineStr">
        <x:is>
          <x:t xml:space="preserve">No annotated image or populated CSV record</x:t>
        </x:is>
      </x:c>
    </x:row>
    <x:row r="30" s="232" customFormat="1" ht="24" customHeight="1">
      <x:c r="A30" s="234" t="n">
        <x:v>17</x:v>
      </x:c>
      <x:c r="B30" s="234" t="inlineStr">
        <x:is>
          <x:t xml:space="preserve">YES</x:t>
        </x:is>
      </x:c>
      <x:c r="C30" s="234" t="inlineStr">
        <x:is>
          <x:t xml:space="preserve">YES</x:t>
        </x:is>
      </x:c>
      <x:c r="D30" s="234" t="n">
        <x:v>1</x:v>
      </x:c>
      <x:c r="E30" s="234" t="n">
        <x:v>5</x:v>
      </x:c>
      <x:c r="F30" s="234" t="inlineStr">
        <x:is>
          <x:t xml:space="preserve">CSV + annotated image available</x:t>
        </x:is>
      </x:c>
    </x:row>
    <x:row r="31" s="232" customFormat="1" ht="24" customHeight="1">
      <x:c r="A31" s="234" t="n">
        <x:v>18</x:v>
      </x:c>
      <x:c r="B31" s="234" t="inlineStr">
        <x:is>
          <x:t xml:space="preserve">YES</x:t>
        </x:is>
      </x:c>
      <x:c r="C31" s="234" t="inlineStr">
        <x:is>
          <x:t xml:space="preserve">YES</x:t>
        </x:is>
      </x:c>
      <x:c r="D31" s="234" t="n">
        <x:v>1</x:v>
      </x:c>
      <x:c r="E31" s="234" t="n">
        <x:v>4</x:v>
      </x:c>
      <x:c r="F31" s="234" t="inlineStr">
        <x:is>
          <x:t xml:space="preserve">CSV + annotated image available</x:t>
        </x:is>
      </x:c>
    </x:row>
    <x:row r="32" s="232" customFormat="1" ht="24" customHeight="1">
      <x:c r="A32" s="234" t="n">
        <x:v>19</x:v>
      </x:c>
      <x:c r="B32" s="234" t="inlineStr">
        <x:is>
          <x:t xml:space="preserve">YES</x:t>
        </x:is>
      </x:c>
      <x:c r="C32" s="234" t="inlineStr">
        <x:is>
          <x:t xml:space="preserve">YES</x:t>
        </x:is>
      </x:c>
      <x:c r="D32" s="234" t="n">
        <x:v>1</x:v>
      </x:c>
      <x:c r="E32" s="234" t="n">
        <x:v>7</x:v>
      </x:c>
      <x:c r="F32" s="234" t="inlineStr">
        <x:is>
          <x:t xml:space="preserve">CSV + annotated image available</x:t>
        </x:is>
      </x:c>
    </x:row>
    <x:row r="33" s="232" customFormat="1" ht="24" customHeight="1">
      <x:c r="A33" s="234" t="n">
        <x:v>20</x:v>
      </x:c>
      <x:c r="B33" s="234" t="inlineStr">
        <x:is>
          <x:t xml:space="preserve">YES</x:t>
        </x:is>
      </x:c>
      <x:c r="C33" s="234" t="inlineStr">
        <x:is>
          <x:t xml:space="preserve">YES</x:t>
        </x:is>
      </x:c>
      <x:c r="D33" s="234" t="n">
        <x:v>1</x:v>
      </x:c>
      <x:c r="E33" s="234" t="n">
        <x:v>5</x:v>
      </x:c>
      <x:c r="F33" s="234" t="inlineStr">
        <x:is>
          <x:t xml:space="preserve">CSV + annotated image available</x:t>
        </x:is>
      </x:c>
    </x:row>
    <x:row r="34" s="232" customFormat="1" ht="24" customHeight="1">
      <x:c r="A34" s="234" t="n">
        <x:v>21</x:v>
      </x:c>
      <x:c r="B34" s="234" t="inlineStr">
        <x:is>
          <x:t xml:space="preserve">YES</x:t>
        </x:is>
      </x:c>
      <x:c r="C34" s="234" t="inlineStr">
        <x:is>
          <x:t xml:space="preserve">YES</x:t>
        </x:is>
      </x:c>
      <x:c r="D34" s="234" t="n">
        <x:v>1</x:v>
      </x:c>
      <x:c r="E34" s="234" t="n">
        <x:v>3</x:v>
      </x:c>
      <x:c r="F34" s="234" t="inlineStr">
        <x:is>
          <x:t xml:space="preserve">CSV + annotated image available</x:t>
        </x:is>
      </x:c>
    </x:row>
    <x:row r="35" s="232" customFormat="1" ht="24" customHeight="1">
      <x:c r="A35" s="234" t="n">
        <x:v>22</x:v>
      </x:c>
      <x:c r="B35" s="234" t="inlineStr">
        <x:is>
          <x:t xml:space="preserve">YES</x:t>
        </x:is>
      </x:c>
      <x:c r="C35" s="234" t="inlineStr">
        <x:is>
          <x:t xml:space="preserve">YES</x:t>
        </x:is>
      </x:c>
      <x:c r="D35" s="234" t="n">
        <x:v>1</x:v>
      </x:c>
      <x:c r="E35" s="234" t="n">
        <x:v>3</x:v>
      </x:c>
      <x:c r="F35" s="234" t="inlineStr">
        <x:is>
          <x:t xml:space="preserve">CSV + annotated image available</x:t>
        </x:is>
      </x:c>
    </x:row>
    <x:row r="36" s="232" customFormat="1" ht="24" customHeight="1">
      <x:c r="A36" s="234" t="n">
        <x:v>23</x:v>
      </x:c>
      <x:c r="B36" s="234" t="inlineStr">
        <x:is>
          <x:t xml:space="preserve">NO</x:t>
        </x:is>
      </x:c>
      <x:c r="C36" s="234" t="inlineStr">
        <x:is>
          <x:t xml:space="preserve">YES</x:t>
        </x:is>
      </x:c>
      <x:c r="D36" s="234" t="n">
        <x:v>1</x:v>
      </x:c>
      <x:c r="E36" s="234" t="n">
        <x:v>3</x:v>
      </x:c>
      <x:c r="F36" s="234" t="inlineStr">
        <x:is>
          <x:t xml:space="preserve">CSV observation exists; annotated image absent from annotated-pages repository</x:t>
        </x:is>
      </x:c>
    </x:row>
    <x:row r="37" s="232" customFormat="1" ht="24" customHeight="1">
      <x:c r="A37" s="234" t="n">
        <x:v>24</x:v>
      </x:c>
      <x:c r="B37" s="234" t="inlineStr">
        <x:is>
          <x:t xml:space="preserve">YES</x:t>
        </x:is>
      </x:c>
      <x:c r="C37" s="234" t="inlineStr">
        <x:is>
          <x:t xml:space="preserve">YES</x:t>
        </x:is>
      </x:c>
      <x:c r="D37" s="234" t="n">
        <x:v>1</x:v>
      </x:c>
      <x:c r="E37" s="234" t="n">
        <x:v>4</x:v>
      </x:c>
      <x:c r="F37" s="234" t="inlineStr">
        <x:is>
          <x:t xml:space="preserve">CSV + annotated image available</x:t>
        </x:is>
      </x:c>
    </x:row>
    <x:row r="38" s="232" customFormat="1" ht="24" customHeight="1">
      <x:c r="A38" s="234" t="n">
        <x:v>25</x:v>
      </x:c>
      <x:c r="B38" s="234" t="inlineStr">
        <x:is>
          <x:t xml:space="preserve">YES</x:t>
        </x:is>
      </x:c>
      <x:c r="C38" s="234" t="inlineStr">
        <x:is>
          <x:t xml:space="preserve">YES</x:t>
        </x:is>
      </x:c>
      <x:c r="D38" s="234" t="n">
        <x:v>1</x:v>
      </x:c>
      <x:c r="E38" s="234" t="n">
        <x:v>3</x:v>
      </x:c>
      <x:c r="F38" s="234" t="inlineStr">
        <x:is>
          <x:t xml:space="preserve">CSV + annotated image available</x:t>
        </x:is>
      </x:c>
    </x:row>
    <x:row r="39" s="232" customFormat="1" ht="24" customHeight="1">
      <x:c r="A39" s="234" t="n">
        <x:v>26</x:v>
      </x:c>
      <x:c r="B39" s="234" t="inlineStr">
        <x:is>
          <x:t xml:space="preserve">YES</x:t>
        </x:is>
      </x:c>
      <x:c r="C39" s="234" t="inlineStr">
        <x:is>
          <x:t xml:space="preserve">YES</x:t>
        </x:is>
      </x:c>
      <x:c r="D39" s="234" t="n">
        <x:v>1</x:v>
      </x:c>
      <x:c r="E39" s="234" t="n">
        <x:v>2</x:v>
      </x:c>
      <x:c r="F39" s="234" t="inlineStr">
        <x:is>
          <x:t xml:space="preserve">CSV + annotated image available</x:t>
        </x:is>
      </x:c>
    </x:row>
    <x:row r="40" s="232" customFormat="1" ht="24" customHeight="1">
      <x:c r="A40" s="234" t="n">
        <x:v>27</x:v>
      </x:c>
      <x:c r="B40" s="234" t="inlineStr">
        <x:is>
          <x:t xml:space="preserve">YES</x:t>
        </x:is>
      </x:c>
      <x:c r="C40" s="234" t="inlineStr">
        <x:is>
          <x:t xml:space="preserve">YES</x:t>
        </x:is>
      </x:c>
      <x:c r="D40" s="234" t="n">
        <x:v>1</x:v>
      </x:c>
      <x:c r="E40" s="234" t="n">
        <x:v>2</x:v>
      </x:c>
      <x:c r="F40" s="234" t="inlineStr">
        <x:is>
          <x:t xml:space="preserve">CSV + annotated image available</x:t>
        </x:is>
      </x:c>
    </x:row>
    <x:row r="41" s="232" customFormat="1" ht="24" customHeight="1">
      <x:c r="A41" s="234" t="n">
        <x:v>28</x:v>
      </x:c>
      <x:c r="B41" s="234" t="inlineStr">
        <x:is>
          <x:t xml:space="preserve">YES</x:t>
        </x:is>
      </x:c>
      <x:c r="C41" s="234" t="inlineStr">
        <x:is>
          <x:t xml:space="preserve">YES</x:t>
        </x:is>
      </x:c>
      <x:c r="D41" s="234" t="n">
        <x:v>1</x:v>
      </x:c>
      <x:c r="E41" s="234" t="n">
        <x:v>2</x:v>
      </x:c>
      <x:c r="F41" s="234" t="inlineStr">
        <x:is>
          <x:t xml:space="preserve">CSV + annotated image available</x:t>
        </x:is>
      </x:c>
    </x:row>
    <x:row r="42" s="232" customFormat="1" ht="24" customHeight="1">
      <x:c r="A42" s="234" t="n">
        <x:v>29</x:v>
      </x:c>
      <x:c r="B42" s="234" t="inlineStr">
        <x:is>
          <x:t xml:space="preserve">YES</x:t>
        </x:is>
      </x:c>
      <x:c r="C42" s="234" t="inlineStr">
        <x:is>
          <x:t xml:space="preserve">YES</x:t>
        </x:is>
      </x:c>
      <x:c r="D42" s="234" t="n">
        <x:v>1</x:v>
      </x:c>
      <x:c r="E42" s="234" t="n">
        <x:v>2</x:v>
      </x:c>
      <x:c r="F42" s="234" t="inlineStr">
        <x:is>
          <x:t xml:space="preserve">CSV + annotated image available</x:t>
        </x:is>
      </x:c>
    </x:row>
    <x:row r="43" s="232" customFormat="1" ht="24" customHeight="1">
      <x:c r="A43" s="234" t="n">
        <x:v>30</x:v>
      </x:c>
      <x:c r="B43" s="234" t="inlineStr">
        <x:is>
          <x:t xml:space="preserve">YES</x:t>
        </x:is>
      </x:c>
      <x:c r="C43" s="234" t="inlineStr">
        <x:is>
          <x:t xml:space="preserve">YES</x:t>
        </x:is>
      </x:c>
      <x:c r="D43" s="234" t="n">
        <x:v>1</x:v>
      </x:c>
      <x:c r="E43" s="234" t="n">
        <x:v>2</x:v>
      </x:c>
      <x:c r="F43" s="234" t="inlineStr">
        <x:is>
          <x:t xml:space="preserve">CSV + annotated image available</x:t>
        </x:is>
      </x:c>
    </x:row>
    <x:row r="44" s="232" customFormat="1" ht="24" customHeight="1">
      <x:c r="A44" s="234" t="n">
        <x:v>31</x:v>
      </x:c>
      <x:c r="B44" s="234" t="inlineStr">
        <x:is>
          <x:t xml:space="preserve">YES</x:t>
        </x:is>
      </x:c>
      <x:c r="C44" s="234" t="inlineStr">
        <x:is>
          <x:t xml:space="preserve">YES</x:t>
        </x:is>
      </x:c>
      <x:c r="D44" s="234" t="n">
        <x:v>1</x:v>
      </x:c>
      <x:c r="E44" s="234" t="n">
        <x:v>6</x:v>
      </x:c>
      <x:c r="F44" s="234" t="inlineStr">
        <x:is>
          <x:t xml:space="preserve">CSV + annotated image available</x:t>
        </x:is>
      </x:c>
    </x:row>
    <x:row r="45" s="232" customFormat="1" ht="24" customHeight="1">
      <x:c r="A45" s="234" t="n">
        <x:v>32</x:v>
      </x:c>
      <x:c r="B45" s="234" t="inlineStr">
        <x:is>
          <x:t xml:space="preserve">YES</x:t>
        </x:is>
      </x:c>
      <x:c r="C45" s="234" t="inlineStr">
        <x:is>
          <x:t xml:space="preserve">YES</x:t>
        </x:is>
      </x:c>
      <x:c r="D45" s="234" t="n">
        <x:v>1</x:v>
      </x:c>
      <x:c r="E45" s="234" t="n">
        <x:v>3</x:v>
      </x:c>
      <x:c r="F45" s="234" t="inlineStr">
        <x:is>
          <x:t xml:space="preserve">CSV + annotated image available</x:t>
        </x:is>
      </x:c>
    </x:row>
    <x:row r="46" s="232" customFormat="1" ht="24" customHeight="1">
      <x:c r="A46" s="234" t="n">
        <x:v>33</x:v>
      </x:c>
      <x:c r="B46" s="234" t="inlineStr">
        <x:is>
          <x:t xml:space="preserve">NO</x:t>
        </x:is>
      </x:c>
      <x:c r="C46" s="234" t="inlineStr">
        <x:is>
          <x:t xml:space="preserve">NO</x:t>
        </x:is>
      </x:c>
      <x:c r="D46" s="234" t="n">
        <x:v>0</x:v>
      </x:c>
      <x:c r="E46" s="234" t="n">
        <x:v>0</x:v>
      </x:c>
      <x:c r="F46" s="234" t="inlineStr">
        <x:is>
          <x:t xml:space="preserve">No annotated image or populated CSV record</x:t>
        </x:is>
      </x:c>
    </x:row>
    <x:row r="47" s="232" customFormat="1" ht="24" customHeight="1">
      <x:c r="A47" s="234" t="n">
        <x:v>34</x:v>
      </x:c>
      <x:c r="B47" s="234" t="inlineStr">
        <x:is>
          <x:t xml:space="preserve">NO</x:t>
        </x:is>
      </x:c>
      <x:c r="C47" s="234" t="inlineStr">
        <x:is>
          <x:t xml:space="preserve">NO</x:t>
        </x:is>
      </x:c>
      <x:c r="D47" s="234" t="n">
        <x:v>0</x:v>
      </x:c>
      <x:c r="E47" s="234" t="n">
        <x:v>0</x:v>
      </x:c>
      <x:c r="F47" s="234" t="inlineStr">
        <x:is>
          <x:t xml:space="preserve">No annotated image or populated CSV record</x:t>
        </x:is>
      </x:c>
    </x:row>
    <x:row r="48" s="232" customFormat="1" ht="24" customHeight="1">
      <x:c r="A48" s="234" t="n">
        <x:v>35</x:v>
      </x:c>
      <x:c r="B48" s="234" t="inlineStr">
        <x:is>
          <x:t xml:space="preserve">NO</x:t>
        </x:is>
      </x:c>
      <x:c r="C48" s="234" t="inlineStr">
        <x:is>
          <x:t xml:space="preserve">NO</x:t>
        </x:is>
      </x:c>
      <x:c r="D48" s="234" t="n">
        <x:v>0</x:v>
      </x:c>
      <x:c r="E48" s="234" t="n">
        <x:v>0</x:v>
      </x:c>
      <x:c r="F48" s="234" t="inlineStr">
        <x:is>
          <x:t xml:space="preserve">No annotated image or populated CSV record</x:t>
        </x:is>
      </x:c>
    </x:row>
    <x:row r="49" s="232" customFormat="1" ht="24" customHeight="1">
      <x:c r="A49" s="234" t="n">
        <x:v>36</x:v>
      </x:c>
      <x:c r="B49" s="234" t="inlineStr">
        <x:is>
          <x:t xml:space="preserve">NO</x:t>
        </x:is>
      </x:c>
      <x:c r="C49" s="234" t="inlineStr">
        <x:is>
          <x:t xml:space="preserve">NO</x:t>
        </x:is>
      </x:c>
      <x:c r="D49" s="234" t="n">
        <x:v>0</x:v>
      </x:c>
      <x:c r="E49" s="234" t="n">
        <x:v>0</x:v>
      </x:c>
      <x:c r="F49" s="234" t="inlineStr">
        <x:is>
          <x:t xml:space="preserve">No annotated image or populated CSV record</x:t>
        </x:is>
      </x:c>
    </x:row>
    <x:row r="50" s="232" customFormat="1" ht="24" customHeight="1">
      <x:c r="A50" s="234" t="n">
        <x:v>37</x:v>
      </x:c>
      <x:c r="B50" s="234" t="inlineStr">
        <x:is>
          <x:t xml:space="preserve">NO</x:t>
        </x:is>
      </x:c>
      <x:c r="C50" s="234" t="inlineStr">
        <x:is>
          <x:t xml:space="preserve">NO</x:t>
        </x:is>
      </x:c>
      <x:c r="D50" s="234" t="n">
        <x:v>0</x:v>
      </x:c>
      <x:c r="E50" s="234" t="n">
        <x:v>0</x:v>
      </x:c>
      <x:c r="F50" s="234" t="inlineStr">
        <x:is>
          <x:t xml:space="preserve">No annotated image or populated CSV record</x:t>
        </x:is>
      </x:c>
    </x:row>
    <x:row r="51" s="232" customFormat="1" ht="24" customHeight="1">
      <x:c r="A51" s="234" t="n">
        <x:v>38</x:v>
      </x:c>
      <x:c r="B51" s="234" t="inlineStr">
        <x:is>
          <x:t xml:space="preserve">NO</x:t>
        </x:is>
      </x:c>
      <x:c r="C51" s="234" t="inlineStr">
        <x:is>
          <x:t xml:space="preserve">NO</x:t>
        </x:is>
      </x:c>
      <x:c r="D51" s="234" t="n">
        <x:v>0</x:v>
      </x:c>
      <x:c r="E51" s="234" t="n">
        <x:v>0</x:v>
      </x:c>
      <x:c r="F51" s="234" t="inlineStr">
        <x:is>
          <x:t xml:space="preserve">No annotated image or populated CSV record</x:t>
        </x:is>
      </x:c>
    </x:row>
    <x:row r="52" s="232" customFormat="1" ht="24" customHeight="1">
      <x:c r="A52" s="234" t="n">
        <x:v>39</x:v>
      </x:c>
      <x:c r="B52" s="234" t="inlineStr">
        <x:is>
          <x:t xml:space="preserve">YES</x:t>
        </x:is>
      </x:c>
      <x:c r="C52" s="234" t="inlineStr">
        <x:is>
          <x:t xml:space="preserve">YES</x:t>
        </x:is>
      </x:c>
      <x:c r="D52" s="234" t="n">
        <x:v>1</x:v>
      </x:c>
      <x:c r="E52" s="234" t="n">
        <x:v>3</x:v>
      </x:c>
      <x:c r="F52" s="234" t="inlineStr">
        <x:is>
          <x:t xml:space="preserve">CSV + annotated image available</x:t>
        </x:is>
      </x:c>
    </x:row>
    <x:row r="53" s="232" customFormat="1" ht="24" customHeight="1">
      <x:c r="A53" s="234" t="n">
        <x:v>40</x:v>
      </x:c>
      <x:c r="B53" s="234" t="inlineStr">
        <x:is>
          <x:t xml:space="preserve">YES</x:t>
        </x:is>
      </x:c>
      <x:c r="C53" s="234" t="inlineStr">
        <x:is>
          <x:t xml:space="preserve">YES</x:t>
        </x:is>
      </x:c>
      <x:c r="D53" s="234" t="n">
        <x:v>1</x:v>
      </x:c>
      <x:c r="E53" s="234" t="n">
        <x:v>2</x:v>
      </x:c>
      <x:c r="F53" s="234" t="inlineStr">
        <x:is>
          <x:t xml:space="preserve">CSV + annotated image available</x:t>
        </x:is>
      </x:c>
    </x:row>
    <x:row r="54" s="232" customFormat="1" ht="24" customHeight="1">
      <x:c r="A54" s="234" t="n">
        <x:v>41</x:v>
      </x:c>
      <x:c r="B54" s="234" t="inlineStr">
        <x:is>
          <x:t xml:space="preserve">YES</x:t>
        </x:is>
      </x:c>
      <x:c r="C54" s="234" t="inlineStr">
        <x:is>
          <x:t xml:space="preserve">YES</x:t>
        </x:is>
      </x:c>
      <x:c r="D54" s="234" t="n">
        <x:v>1</x:v>
      </x:c>
      <x:c r="E54" s="234" t="n">
        <x:v>3</x:v>
      </x:c>
      <x:c r="F54" s="234" t="inlineStr">
        <x:is>
          <x:t xml:space="preserve">CSV + annotated image available</x:t>
        </x:is>
      </x:c>
    </x:row>
    <x:row r="55" s="232" customFormat="1" ht="24" customHeight="1">
      <x:c r="A55" s="234" t="n">
        <x:v>42</x:v>
      </x:c>
      <x:c r="B55" s="234" t="inlineStr">
        <x:is>
          <x:t xml:space="preserve">YES</x:t>
        </x:is>
      </x:c>
      <x:c r="C55" s="234" t="inlineStr">
        <x:is>
          <x:t xml:space="preserve">YES</x:t>
        </x:is>
      </x:c>
      <x:c r="D55" s="234" t="n">
        <x:v>1</x:v>
      </x:c>
      <x:c r="E55" s="234" t="n">
        <x:v>3</x:v>
      </x:c>
      <x:c r="F55" s="234" t="inlineStr">
        <x:is>
          <x:t xml:space="preserve">CSV + annotated image available</x:t>
        </x:is>
      </x:c>
    </x:row>
    <x:row r="56" s="232" customFormat="1" ht="24" customHeight="1">
      <x:c r="A56" s="234" t="n">
        <x:v>43</x:v>
      </x:c>
      <x:c r="B56" s="234" t="inlineStr">
        <x:is>
          <x:t xml:space="preserve">YES</x:t>
        </x:is>
      </x:c>
      <x:c r="C56" s="234" t="inlineStr">
        <x:is>
          <x:t xml:space="preserve">YES</x:t>
        </x:is>
      </x:c>
      <x:c r="D56" s="234" t="n">
        <x:v>1</x:v>
      </x:c>
      <x:c r="E56" s="234" t="n">
        <x:v>3</x:v>
      </x:c>
      <x:c r="F56" s="234" t="inlineStr">
        <x:is>
          <x:t xml:space="preserve">CSV + annotated image available</x:t>
        </x:is>
      </x:c>
    </x:row>
    <x:row r="57" s="232" customFormat="1" ht="24" customHeight="1">
      <x:c r="A57" s="234" t="n">
        <x:v>44</x:v>
      </x:c>
      <x:c r="B57" s="234" t="inlineStr">
        <x:is>
          <x:t xml:space="preserve">YES</x:t>
        </x:is>
      </x:c>
      <x:c r="C57" s="234" t="inlineStr">
        <x:is>
          <x:t xml:space="preserve">YES</x:t>
        </x:is>
      </x:c>
      <x:c r="D57" s="234" t="n">
        <x:v>1</x:v>
      </x:c>
      <x:c r="E57" s="234" t="n">
        <x:v>2</x:v>
      </x:c>
      <x:c r="F57" s="234" t="inlineStr">
        <x:is>
          <x:t xml:space="preserve">CSV + annotated image available</x:t>
        </x:is>
      </x:c>
    </x:row>
    <x:row r="58" s="232" customFormat="1" ht="24" customHeight="1">
      <x:c r="A58" s="234" t="n">
        <x:v>45</x:v>
      </x:c>
      <x:c r="B58" s="234" t="inlineStr">
        <x:is>
          <x:t xml:space="preserve">NO</x:t>
        </x:is>
      </x:c>
      <x:c r="C58" s="234" t="inlineStr">
        <x:is>
          <x:t xml:space="preserve">NO</x:t>
        </x:is>
      </x:c>
      <x:c r="D58" s="234" t="n">
        <x:v>0</x:v>
      </x:c>
      <x:c r="E58" s="234" t="n">
        <x:v>0</x:v>
      </x:c>
      <x:c r="F58" s="234" t="inlineStr">
        <x:is>
          <x:t xml:space="preserve">No annotated image or populated CSV record</x:t>
        </x:is>
      </x:c>
    </x:row>
    <x:row r="59" s="232" customFormat="1" ht="24" customHeight="1">
      <x:c r="A59" s="234" t="n">
        <x:v>46</x:v>
      </x:c>
      <x:c r="B59" s="234" t="inlineStr">
        <x:is>
          <x:t xml:space="preserve">NO</x:t>
        </x:is>
      </x:c>
      <x:c r="C59" s="234" t="inlineStr">
        <x:is>
          <x:t xml:space="preserve">NO</x:t>
        </x:is>
      </x:c>
      <x:c r="D59" s="234" t="n">
        <x:v>0</x:v>
      </x:c>
      <x:c r="E59" s="234" t="n">
        <x:v>0</x:v>
      </x:c>
      <x:c r="F59" s="234" t="inlineStr">
        <x:is>
          <x:t xml:space="preserve">No annotated image or populated CSV record</x:t>
        </x:is>
      </x:c>
    </x:row>
    <x:row r="60" s="232" customFormat="1" ht="24" customHeight="1">
      <x:c r="A60" s="234" t="n">
        <x:v>47</x:v>
      </x:c>
      <x:c r="B60" s="234" t="inlineStr">
        <x:is>
          <x:t xml:space="preserve">NO</x:t>
        </x:is>
      </x:c>
      <x:c r="C60" s="234" t="inlineStr">
        <x:is>
          <x:t xml:space="preserve">NO</x:t>
        </x:is>
      </x:c>
      <x:c r="D60" s="234" t="n">
        <x:v>0</x:v>
      </x:c>
      <x:c r="E60" s="234" t="n">
        <x:v>0</x:v>
      </x:c>
      <x:c r="F60" s="234" t="inlineStr">
        <x:is>
          <x:t xml:space="preserve">No annotated image or populated CSV record</x:t>
        </x:is>
      </x:c>
    </x:row>
    <x:row r="61" s="232" customFormat="1" ht="24" customHeight="1">
      <x:c r="A61" s="234" t="n">
        <x:v>48</x:v>
      </x:c>
      <x:c r="B61" s="234" t="inlineStr">
        <x:is>
          <x:t xml:space="preserve">NO</x:t>
        </x:is>
      </x:c>
      <x:c r="C61" s="234" t="inlineStr">
        <x:is>
          <x:t xml:space="preserve">NO</x:t>
        </x:is>
      </x:c>
      <x:c r="D61" s="234" t="n">
        <x:v>0</x:v>
      </x:c>
      <x:c r="E61" s="234" t="n">
        <x:v>0</x:v>
      </x:c>
      <x:c r="F61" s="234" t="inlineStr">
        <x:is>
          <x:t xml:space="preserve">No annotated image or populated CSV record</x:t>
        </x:is>
      </x:c>
    </x:row>
    <x:row r="62" s="232" customFormat="1" ht="24" customHeight="1">
      <x:c r="A62" s="234" t="n">
        <x:v>49</x:v>
      </x:c>
      <x:c r="B62" s="234" t="inlineStr">
        <x:is>
          <x:t xml:space="preserve">NO</x:t>
        </x:is>
      </x:c>
      <x:c r="C62" s="234" t="inlineStr">
        <x:is>
          <x:t xml:space="preserve">NO</x:t>
        </x:is>
      </x:c>
      <x:c r="D62" s="234" t="n">
        <x:v>0</x:v>
      </x:c>
      <x:c r="E62" s="234" t="n">
        <x:v>0</x:v>
      </x:c>
      <x:c r="F62" s="234" t="inlineStr">
        <x:is>
          <x:t xml:space="preserve">No annotated image or populated CSV record</x:t>
        </x:is>
      </x:c>
    </x:row>
    <x:row r="63" s="232" customFormat="1" ht="24" customHeight="1">
      <x:c r="A63" s="234" t="n">
        <x:v>50</x:v>
      </x:c>
      <x:c r="B63" s="234" t="inlineStr">
        <x:is>
          <x:t xml:space="preserve">YES</x:t>
        </x:is>
      </x:c>
      <x:c r="C63" s="234" t="inlineStr">
        <x:is>
          <x:t xml:space="preserve">YES</x:t>
        </x:is>
      </x:c>
      <x:c r="D63" s="234" t="n">
        <x:v>1</x:v>
      </x:c>
      <x:c r="E63" s="234" t="n">
        <x:v>4</x:v>
      </x:c>
      <x:c r="F63" s="234" t="inlineStr">
        <x:is>
          <x:t xml:space="preserve">CSV + annotated image available</x:t>
        </x:is>
      </x:c>
    </x:row>
    <x:row r="64" s="232" customFormat="1" ht="24" customHeight="1">
      <x:c r="A64" s="234" t="n">
        <x:v>51</x:v>
      </x:c>
      <x:c r="B64" s="234" t="inlineStr">
        <x:is>
          <x:t xml:space="preserve">NO</x:t>
        </x:is>
      </x:c>
      <x:c r="C64" s="234" t="inlineStr">
        <x:is>
          <x:t xml:space="preserve">NO</x:t>
        </x:is>
      </x:c>
      <x:c r="D64" s="234" t="n">
        <x:v>0</x:v>
      </x:c>
      <x:c r="E64" s="234" t="n">
        <x:v>0</x:v>
      </x:c>
      <x:c r="F64" s="234" t="inlineStr">
        <x:is>
          <x:t xml:space="preserve">No annotated image or populated CSV record</x:t>
        </x:is>
      </x:c>
    </x:row>
    <x:row r="65" s="232" customFormat="1" ht="24" customHeight="1">
      <x:c r="A65" s="234" t="n">
        <x:v>52</x:v>
      </x:c>
      <x:c r="B65" s="234" t="inlineStr">
        <x:is>
          <x:t xml:space="preserve">NO</x:t>
        </x:is>
      </x:c>
      <x:c r="C65" s="234" t="inlineStr">
        <x:is>
          <x:t xml:space="preserve">NO</x:t>
        </x:is>
      </x:c>
      <x:c r="D65" s="234" t="n">
        <x:v>0</x:v>
      </x:c>
      <x:c r="E65" s="234" t="n">
        <x:v>0</x:v>
      </x:c>
      <x:c r="F65" s="234" t="inlineStr">
        <x:is>
          <x:t xml:space="preserve">No annotated image or populated CSV record</x:t>
        </x:is>
      </x:c>
    </x:row>
    <x:row r="66" s="232" customFormat="1" ht="24" customHeight="1">
      <x:c r="A66" s="234" t="n">
        <x:v>53</x:v>
      </x:c>
      <x:c r="B66" s="234" t="inlineStr">
        <x:is>
          <x:t xml:space="preserve">NO</x:t>
        </x:is>
      </x:c>
      <x:c r="C66" s="234" t="inlineStr">
        <x:is>
          <x:t xml:space="preserve">NO</x:t>
        </x:is>
      </x:c>
      <x:c r="D66" s="234" t="n">
        <x:v>0</x:v>
      </x:c>
      <x:c r="E66" s="234" t="n">
        <x:v>0</x:v>
      </x:c>
      <x:c r="F66" s="234" t="inlineStr">
        <x:is>
          <x:t xml:space="preserve">No annotated image or populated CSV record</x:t>
        </x:is>
      </x:c>
    </x:row>
    <x:row r="67" s="232" customFormat="1" ht="24" customHeight="1">
      <x:c r="A67" s="234" t="n">
        <x:v>54</x:v>
      </x:c>
      <x:c r="B67" s="234" t="inlineStr">
        <x:is>
          <x:t xml:space="preserve">NO</x:t>
        </x:is>
      </x:c>
      <x:c r="C67" s="234" t="inlineStr">
        <x:is>
          <x:t xml:space="preserve">NO</x:t>
        </x:is>
      </x:c>
      <x:c r="D67" s="234" t="n">
        <x:v>0</x:v>
      </x:c>
      <x:c r="E67" s="234" t="n">
        <x:v>0</x:v>
      </x:c>
      <x:c r="F67" s="234" t="inlineStr">
        <x:is>
          <x:t xml:space="preserve">No annotated image or populated CSV record</x:t>
        </x:is>
      </x:c>
    </x:row>
    <x:row r="68" s="232" customFormat="1" ht="24" customHeight="1">
      <x:c r="A68" s="234" t="n">
        <x:v>55</x:v>
      </x:c>
      <x:c r="B68" s="234" t="inlineStr">
        <x:is>
          <x:t xml:space="preserve">NO</x:t>
        </x:is>
      </x:c>
      <x:c r="C68" s="234" t="inlineStr">
        <x:is>
          <x:t xml:space="preserve">NO</x:t>
        </x:is>
      </x:c>
      <x:c r="D68" s="234" t="n">
        <x:v>0</x:v>
      </x:c>
      <x:c r="E68" s="234" t="n">
        <x:v>0</x:v>
      </x:c>
      <x:c r="F68" s="234" t="inlineStr">
        <x:is>
          <x:t xml:space="preserve">No annotated image or populated CSV record</x:t>
        </x:is>
      </x:c>
    </x:row>
    <x:row r="69" s="232" customFormat="1" ht="24" customHeight="1">
      <x:c r="A69" s="234" t="n">
        <x:v>56</x:v>
      </x:c>
      <x:c r="B69" s="234" t="inlineStr">
        <x:is>
          <x:t xml:space="preserve">YES</x:t>
        </x:is>
      </x:c>
      <x:c r="C69" s="234" t="inlineStr">
        <x:is>
          <x:t xml:space="preserve">YES</x:t>
        </x:is>
      </x:c>
      <x:c r="D69" s="234" t="n">
        <x:v>1</x:v>
      </x:c>
      <x:c r="E69" s="234" t="n">
        <x:v>3</x:v>
      </x:c>
      <x:c r="F69" s="234" t="inlineStr">
        <x:is>
          <x:t xml:space="preserve">CSV + annotated image available</x:t>
        </x:is>
      </x:c>
    </x:row>
    <x:row r="70" s="232" customFormat="1" ht="24" customHeight="1">
      <x:c r="A70" s="234" t="n">
        <x:v>57</x:v>
      </x:c>
      <x:c r="B70" s="234" t="inlineStr">
        <x:is>
          <x:t xml:space="preserve">YES</x:t>
        </x:is>
      </x:c>
      <x:c r="C70" s="234" t="inlineStr">
        <x:is>
          <x:t xml:space="preserve">YES</x:t>
        </x:is>
      </x:c>
      <x:c r="D70" s="234" t="n">
        <x:v>1</x:v>
      </x:c>
      <x:c r="E70" s="234" t="n">
        <x:v>8</x:v>
      </x:c>
      <x:c r="F70" s="234" t="inlineStr">
        <x:is>
          <x:t xml:space="preserve">CSV + annotated image available</x:t>
        </x:is>
      </x:c>
    </x:row>
    <x:row r="71" s="232" customFormat="1" ht="24" customHeight="1">
      <x:c r="A71" s="234" t="n">
        <x:v>58</x:v>
      </x:c>
      <x:c r="B71" s="234" t="inlineStr">
        <x:is>
          <x:t xml:space="preserve">NO</x:t>
        </x:is>
      </x:c>
      <x:c r="C71" s="234" t="inlineStr">
        <x:is>
          <x:t xml:space="preserve">YES</x:t>
        </x:is>
      </x:c>
      <x:c r="D71" s="234" t="n">
        <x:v>1</x:v>
      </x:c>
      <x:c r="E71" s="234" t="n">
        <x:v>6</x:v>
      </x:c>
      <x:c r="F71" s="234" t="inlineStr">
        <x:is>
          <x:t xml:space="preserve">CSV observation exists; annotated image absent from annotated-pages repository</x:t>
        </x:is>
      </x:c>
    </x:row>
    <x:row r="72" s="232" customFormat="1" ht="24" customHeight="1">
      <x:c r="A72" s="234" t="n">
        <x:v>59</x:v>
      </x:c>
      <x:c r="B72" s="234" t="inlineStr">
        <x:is>
          <x:t xml:space="preserve">NO</x:t>
        </x:is>
      </x:c>
      <x:c r="C72" s="234" t="inlineStr">
        <x:is>
          <x:t xml:space="preserve">YES</x:t>
        </x:is>
      </x:c>
      <x:c r="D72" s="234" t="n">
        <x:v>1</x:v>
      </x:c>
      <x:c r="E72" s="234" t="n">
        <x:v>6</x:v>
      </x:c>
      <x:c r="F72" s="234" t="inlineStr">
        <x:is>
          <x:t xml:space="preserve">CSV observation exists; annotated image absent from annotated-pages repository</x:t>
        </x:is>
      </x:c>
    </x:row>
    <x:row r="73" s="232" customFormat="1" ht="24" customHeight="1">
      <x:c r="A73" s="234" t="n">
        <x:v>60</x:v>
      </x:c>
      <x:c r="B73" s="234" t="inlineStr">
        <x:is>
          <x:t xml:space="preserve">NO</x:t>
        </x:is>
      </x:c>
      <x:c r="C73" s="234" t="inlineStr">
        <x:is>
          <x:t xml:space="preserve">YES</x:t>
        </x:is>
      </x:c>
      <x:c r="D73" s="234" t="n">
        <x:v>1</x:v>
      </x:c>
      <x:c r="E73" s="234" t="n">
        <x:v>6</x:v>
      </x:c>
      <x:c r="F73" s="234" t="inlineStr">
        <x:is>
          <x:t xml:space="preserve">CSV observation exists; annotated image absent from annotated-pages repository</x:t>
        </x:is>
      </x:c>
    </x:row>
    <x:row r="74" s="232" customFormat="1" ht="24" customHeight="1">
      <x:c r="A74" s="234" t="n">
        <x:v>61</x:v>
      </x:c>
      <x:c r="B74" s="234" t="inlineStr">
        <x:is>
          <x:t xml:space="preserve">NO</x:t>
        </x:is>
      </x:c>
      <x:c r="C74" s="234" t="inlineStr">
        <x:is>
          <x:t xml:space="preserve">YES</x:t>
        </x:is>
      </x:c>
      <x:c r="D74" s="234" t="n">
        <x:v>1</x:v>
      </x:c>
      <x:c r="E74" s="234" t="n">
        <x:v>6</x:v>
      </x:c>
      <x:c r="F74" s="234" t="inlineStr">
        <x:is>
          <x:t xml:space="preserve">CSV observation exists; annotated image absent from annotated-pages repository</x:t>
        </x:is>
      </x:c>
    </x:row>
    <x:row r="75" s="232" customFormat="1" ht="24" customHeight="1">
      <x:c r="A75" s="234" t="n">
        <x:v>62</x:v>
      </x:c>
      <x:c r="B75" s="234" t="inlineStr">
        <x:is>
          <x:t xml:space="preserve">NO</x:t>
        </x:is>
      </x:c>
      <x:c r="C75" s="234" t="inlineStr">
        <x:is>
          <x:t xml:space="preserve">YES</x:t>
        </x:is>
      </x:c>
      <x:c r="D75" s="234" t="n">
        <x:v>1</x:v>
      </x:c>
      <x:c r="E75" s="234" t="n">
        <x:v>6</x:v>
      </x:c>
      <x:c r="F75" s="234" t="inlineStr">
        <x:is>
          <x:t xml:space="preserve">CSV observation exists; annotated image absent from annotated-pages repository</x:t>
        </x:is>
      </x:c>
    </x:row>
    <x:row r="76" s="232" customFormat="1" ht="24" customHeight="1">
      <x:c r="A76" s="234" t="n">
        <x:v>63</x:v>
      </x:c>
      <x:c r="B76" s="234" t="inlineStr">
        <x:is>
          <x:t xml:space="preserve">NO</x:t>
        </x:is>
      </x:c>
      <x:c r="C76" s="234" t="inlineStr">
        <x:is>
          <x:t xml:space="preserve">YES</x:t>
        </x:is>
      </x:c>
      <x:c r="D76" s="234" t="n">
        <x:v>1</x:v>
      </x:c>
      <x:c r="E76" s="234" t="n">
        <x:v>6</x:v>
      </x:c>
      <x:c r="F76" s="234" t="inlineStr">
        <x:is>
          <x:t xml:space="preserve">CSV observation exists; annotated image absent from annotated-pages repository</x:t>
        </x:is>
      </x:c>
    </x:row>
    <x:row r="77" s="232" customFormat="1" ht="24" customHeight="1">
      <x:c r="A77" s="234" t="n">
        <x:v>64</x:v>
      </x:c>
      <x:c r="B77" s="234" t="inlineStr">
        <x:is>
          <x:t xml:space="preserve">NO</x:t>
        </x:is>
      </x:c>
      <x:c r="C77" s="234" t="inlineStr">
        <x:is>
          <x:t xml:space="preserve">YES</x:t>
        </x:is>
      </x:c>
      <x:c r="D77" s="234" t="n">
        <x:v>1</x:v>
      </x:c>
      <x:c r="E77" s="234" t="n">
        <x:v>6</x:v>
      </x:c>
      <x:c r="F77" s="234" t="inlineStr">
        <x:is>
          <x:t xml:space="preserve">CSV observation exists; annotated image absent from annotated-pages repository</x:t>
        </x:is>
      </x:c>
    </x:row>
    <x:row r="78" s="232" customFormat="1" ht="24" customHeight="1">
      <x:c r="A78" s="234" t="n">
        <x:v>65</x:v>
      </x:c>
      <x:c r="B78" s="234" t="inlineStr">
        <x:is>
          <x:t xml:space="preserve">NO</x:t>
        </x:is>
      </x:c>
      <x:c r="C78" s="234" t="inlineStr">
        <x:is>
          <x:t xml:space="preserve">YES</x:t>
        </x:is>
      </x:c>
      <x:c r="D78" s="234" t="n">
        <x:v>1</x:v>
      </x:c>
      <x:c r="E78" s="234" t="n">
        <x:v>6</x:v>
      </x:c>
      <x:c r="F78" s="234" t="inlineStr">
        <x:is>
          <x:t xml:space="preserve">CSV observation exists; annotated image absent from annotated-pages repository</x:t>
        </x:is>
      </x:c>
    </x:row>
    <x:row r="79" s="232" customFormat="1" ht="24" customHeight="1">
      <x:c r="A79" s="234" t="n">
        <x:v>66</x:v>
      </x:c>
      <x:c r="B79" s="234" t="inlineStr">
        <x:is>
          <x:t xml:space="preserve">NO</x:t>
        </x:is>
      </x:c>
      <x:c r="C79" s="234" t="inlineStr">
        <x:is>
          <x:t xml:space="preserve">YES</x:t>
        </x:is>
      </x:c>
      <x:c r="D79" s="234" t="n">
        <x:v>1</x:v>
      </x:c>
      <x:c r="E79" s="234" t="n">
        <x:v>6</x:v>
      </x:c>
      <x:c r="F79" s="234" t="inlineStr">
        <x:is>
          <x:t xml:space="preserve">CSV observation exists; annotated image absent from annotated-pages repository</x:t>
        </x:is>
      </x:c>
    </x:row>
    <x:row r="80" s="232" customFormat="1" ht="24" customHeight="1">
      <x:c r="A80" s="234" t="n">
        <x:v>67</x:v>
      </x:c>
      <x:c r="B80" s="234" t="inlineStr">
        <x:is>
          <x:t xml:space="preserve">NO</x:t>
        </x:is>
      </x:c>
      <x:c r="C80" s="234" t="inlineStr">
        <x:is>
          <x:t xml:space="preserve">YES</x:t>
        </x:is>
      </x:c>
      <x:c r="D80" s="234" t="n">
        <x:v>1</x:v>
      </x:c>
      <x:c r="E80" s="234" t="n">
        <x:v>6</x:v>
      </x:c>
      <x:c r="F80" s="234" t="inlineStr">
        <x:is>
          <x:t xml:space="preserve">CSV observation exists; annotated image absent from annotated-pages repository</x:t>
        </x:is>
      </x:c>
    </x:row>
    <x:row r="81" s="232" customFormat="1" ht="24" customHeight="1">
      <x:c r="A81" s="234" t="n">
        <x:v>68</x:v>
      </x:c>
      <x:c r="B81" s="234" t="inlineStr">
        <x:is>
          <x:t xml:space="preserve">YES</x:t>
        </x:is>
      </x:c>
      <x:c r="C81" s="234" t="inlineStr">
        <x:is>
          <x:t xml:space="preserve">YES</x:t>
        </x:is>
      </x:c>
      <x:c r="D81" s="234" t="n">
        <x:v>1</x:v>
      </x:c>
      <x:c r="E81" s="234" t="n">
        <x:v>7</x:v>
      </x:c>
      <x:c r="F81" s="234" t="inlineStr">
        <x:is>
          <x:t xml:space="preserve">CSV + annotated image available</x:t>
        </x:is>
      </x:c>
    </x:row>
    <x:row r="82" s="232" customFormat="1" ht="24" customHeight="1">
      <x:c r="A82" s="234" t="n">
        <x:v>69</x:v>
      </x:c>
      <x:c r="B82" s="234" t="inlineStr">
        <x:is>
          <x:t xml:space="preserve">NO</x:t>
        </x:is>
      </x:c>
      <x:c r="C82" s="234" t="inlineStr">
        <x:is>
          <x:t xml:space="preserve">YES</x:t>
        </x:is>
      </x:c>
      <x:c r="D82" s="234" t="n">
        <x:v>3</x:v>
      </x:c>
      <x:c r="E82" s="234" t="n">
        <x:v>6</x:v>
      </x:c>
      <x:c r="F82" s="234" t="inlineStr">
        <x:is>
          <x:t xml:space="preserve">CSV observation exists; annotated image absent from annotated-pages repository</x:t>
        </x:is>
      </x:c>
    </x:row>
    <x:row r="83" s="232" customFormat="1" ht="24" customHeight="1">
      <x:c r="A83" s="234" t="n">
        <x:v>70</x:v>
      </x:c>
      <x:c r="B83" s="234" t="inlineStr">
        <x:is>
          <x:t xml:space="preserve">NO</x:t>
        </x:is>
      </x:c>
      <x:c r="C83" s="234" t="inlineStr">
        <x:is>
          <x:t xml:space="preserve">YES</x:t>
        </x:is>
      </x:c>
      <x:c r="D83" s="234" t="n">
        <x:v>1</x:v>
      </x:c>
      <x:c r="E83" s="234" t="n">
        <x:v>7</x:v>
      </x:c>
      <x:c r="F83" s="234" t="inlineStr">
        <x:is>
          <x:t xml:space="preserve">CSV observation exists; annotated image absent from annotated-pages repository</x:t>
        </x:is>
      </x:c>
    </x:row>
    <x:row r="84" s="232" customFormat="1" ht="24" customHeight="1">
      <x:c r="A84" s="234" t="n">
        <x:v>71</x:v>
      </x:c>
      <x:c r="B84" s="234" t="inlineStr">
        <x:is>
          <x:t xml:space="preserve">NO</x:t>
        </x:is>
      </x:c>
      <x:c r="C84" s="234" t="inlineStr">
        <x:is>
          <x:t xml:space="preserve">YES</x:t>
        </x:is>
      </x:c>
      <x:c r="D84" s="234" t="n">
        <x:v>1</x:v>
      </x:c>
      <x:c r="E84" s="234" t="n">
        <x:v>6</x:v>
      </x:c>
      <x:c r="F84" s="234" t="inlineStr">
        <x:is>
          <x:t xml:space="preserve">CSV observation exists; annotated image absent from annotated-pages repository</x:t>
        </x:is>
      </x:c>
    </x:row>
    <x:row r="85" s="232" customFormat="1" ht="24" customHeight="1">
      <x:c r="A85" s="234" t="n">
        <x:v>72</x:v>
      </x:c>
      <x:c r="B85" s="234" t="inlineStr">
        <x:is>
          <x:t xml:space="preserve">NO</x:t>
        </x:is>
      </x:c>
      <x:c r="C85" s="234" t="inlineStr">
        <x:is>
          <x:t xml:space="preserve">YES</x:t>
        </x:is>
      </x:c>
      <x:c r="D85" s="234" t="n">
        <x:v>1</x:v>
      </x:c>
      <x:c r="E85" s="234" t="n">
        <x:v>8</x:v>
      </x:c>
      <x:c r="F85" s="234" t="inlineStr">
        <x:is>
          <x:t xml:space="preserve">CSV observation exists; annotated image absent from annotated-pages repository</x:t>
        </x:is>
      </x:c>
    </x:row>
    <x:row r="86" s="232" customFormat="1" ht="24" customHeight="1">
      <x:c r="A86" s="234" t="n">
        <x:v>73</x:v>
      </x:c>
      <x:c r="B86" s="234" t="inlineStr">
        <x:is>
          <x:t xml:space="preserve">YES</x:t>
        </x:is>
      </x:c>
      <x:c r="C86" s="234" t="inlineStr">
        <x:is>
          <x:t xml:space="preserve">YES</x:t>
        </x:is>
      </x:c>
      <x:c r="D86" s="234" t="n">
        <x:v>1</x:v>
      </x:c>
      <x:c r="E86" s="234" t="n">
        <x:v>2</x:v>
      </x:c>
      <x:c r="F86" s="234" t="inlineStr">
        <x:is>
          <x:t xml:space="preserve">CSV + annotated image available</x:t>
        </x:is>
      </x:c>
    </x:row>
    <x:row r="87" s="232" customFormat="1" ht="24" customHeight="1">
      <x:c r="A87" s="234" t="n">
        <x:v>74</x:v>
      </x:c>
      <x:c r="B87" s="234" t="inlineStr">
        <x:is>
          <x:t xml:space="preserve">NO</x:t>
        </x:is>
      </x:c>
      <x:c r="C87" s="234" t="inlineStr">
        <x:is>
          <x:t xml:space="preserve">NO</x:t>
        </x:is>
      </x:c>
      <x:c r="D87" s="234" t="n">
        <x:v>1</x:v>
      </x:c>
      <x:c r="E87" s="234" t="n">
        <x:v>1</x:v>
      </x:c>
      <x:c r="F87" s="234" t="inlineStr">
        <x:is>
          <x:t xml:space="preserve">CSV row exists but contains no feature data</x:t>
        </x:is>
      </x:c>
    </x:row>
  </x:sheetData>
  <x:mergeCells>
    <x:mergeCell ref="A1:F1"/>
  </x:mergeCells>
  <x:pageMargins left="0.7" right="0.7" top="0.75" bottom="0.75" header="0.3" footer="0.3"/>
</x:worksheet>
</file>

<file path=xl/worksheets/sheet5.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7" style="232" customWidth="1"/>
    <x:col min="2" max="2" width="82" style="232" customWidth="1"/>
    <x:col min="3" max="3" width="20" style="232" customWidth="1"/>
    <x:col min="4" max="4" width="20" style="232" customWidth="1"/>
    <x:col min="5" max="5" width="18" style="232" customWidth="1"/>
    <x:col min="6" max="6" width="18" style="232" customWidth="1"/>
    <x:col min="7" max="7" width="45" style="232" customWidth="1"/>
    <x:col min="8" max="8" width="24" style="232" customWidth="1"/>
    <x:col min="9" max="9" width="24" style="232" customWidth="1"/>
    <x:col min="10" max="10" width="16" style="232" customWidth="1"/>
    <x:col min="11" max="11" width="42" style="232" customWidth="1"/>
  </x:cols>
  <x:sheetData>
    <x:row r="1">
      <x:c r="A1" s="90" t="inlineStr">
        <x:is>
          <x:t xml:space="preserve">PILOT ONLY — manual estimates from rendered annotated images; not pixel-calibrated measurements</x:t>
        </x:is>
      </x:c>
      <x:c r="B1" s="90" t="n"/>
      <x:c r="C1" s="90" t="n"/>
      <x:c r="D1" s="90" t="n"/>
      <x:c r="E1" s="90" t="n"/>
      <x:c r="F1" s="90" t="n"/>
      <x:c r="G1" s="90" t="n"/>
    </x:row>
    <x:row r="2">
      <x:c r="A2" s="91" t="inlineStr">
        <x:is>
          <x:t xml:space="preserve">Purpose</x:t>
        </x:is>
      </x:c>
      <x:c r="B2" s="234" t="inlineStr">
        <x:is>
          <x:t xml:space="preserve">Test whether the five-dot groups on pages 24, 40, and 73 share a geometric configuration under translation, rotation, reflection, and uniform scale.</x:t>
        </x:is>
      </x:c>
      <x:c r="C2" s="234" t="n"/>
      <x:c r="D2" s="234" t="n"/>
      <x:c r="E2" s="234" t="n"/>
      <x:c r="F2" s="234" t="n"/>
      <x:c r="G2" s="234" t="n"/>
    </x:row>
    <x:row r="3">
      <x:c r="A3" s="91" t="inlineStr">
        <x:is>
          <x:t xml:space="preserve">Important limitation</x:t>
        </x:is>
      </x:c>
      <x:c r="B3" s="234" t="inlineStr">
        <x:is>
          <x:t xml:space="preserve">Coordinates below are rough visual estimates in image-pixel space from displayed 992 × 1488 renders. They are not evidence; replace with centroid measurements from original image files before drawing conclusions.</x:t>
        </x:is>
      </x:c>
      <x:c r="C3" s="234" t="n"/>
      <x:c r="D3" s="234" t="n"/>
      <x:c r="E3" s="234" t="n"/>
      <x:c r="F3" s="234" t="n"/>
      <x:c r="G3" s="234" t="n"/>
    </x:row>
    <x:row r="4">
      <x:c r="A4" s="234" t="n"/>
      <x:c r="B4" s="234" t="n"/>
      <x:c r="C4" s="234" t="n"/>
      <x:c r="D4" s="234" t="n"/>
      <x:c r="E4" s="234" t="n"/>
      <x:c r="F4" s="234" t="n"/>
      <x:c r="G4" s="234" t="n"/>
    </x:row>
    <x:row r="5">
      <x:c r="A5" s="92" t="inlineStr">
        <x:is>
          <x:t xml:space="preserve">Page</x:t>
        </x:is>
      </x:c>
      <x:c r="B5" s="92" t="inlineStr">
        <x:is>
          <x:t xml:space="preserve">Dot label</x:t>
        </x:is>
      </x:c>
      <x:c r="C5" s="92" t="inlineStr">
        <x:is>
          <x:t xml:space="preserve">x_px_est</x:t>
        </x:is>
      </x:c>
      <x:c r="D5" s="92" t="inlineStr">
        <x:is>
          <x:t xml:space="preserve">y_px_est</x:t>
        </x:is>
      </x:c>
      <x:c r="E5" s="92" t="inlineStr">
        <x:is>
          <x:t xml:space="preserve">x_norm_est</x:t>
        </x:is>
      </x:c>
      <x:c r="F5" s="92" t="inlineStr">
        <x:is>
          <x:t xml:space="preserve">y_norm_est</x:t>
        </x:is>
      </x:c>
      <x:c r="G5" s="92" t="inlineStr">
        <x:is>
          <x:t xml:space="preserve">source/status</x:t>
        </x:is>
      </x:c>
      <x:c r="H5" s="115" t="inlineStr">
        <x:is>
          <x:t xml:space="preserve">x_source_px_est (scale-converted only)</x:t>
        </x:is>
      </x:c>
      <x:c r="I5" s="115" t="inlineStr">
        <x:is>
          <x:t xml:space="preserve">y_source_px_est (scale-converted only)</x:t>
        </x:is>
      </x:c>
      <x:c r="J5" s="115" t="inlineStr">
        <x:is>
          <x:t xml:space="preserve">Source raster</x:t>
        </x:is>
      </x:c>
      <x:c r="K5" s="115" t="inlineStr">
        <x:is>
          <x:t xml:space="preserve">Coordinate status</x:t>
        </x:is>
      </x:c>
    </x:row>
    <x:row r="6">
      <x:c r="A6" s="234" t="n">
        <x:v>24</x:v>
      </x:c>
      <x:c r="B6" s="234" t="n">
        <x:v>1</x:v>
      </x:c>
      <x:c r="C6" s="234" t="n">
        <x:v>329</x:v>
      </x:c>
      <x:c r="D6" s="234" t="n">
        <x:v>1284</x:v>
      </x:c>
      <x:c r="E6" s="234" t="n">
        <x:v>0.33165</x:v>
      </x:c>
      <x:c r="F6" s="234" t="n">
        <x:v>0.8629</x:v>
      </x:c>
      <x:c r="G6" s="234" t="inlineStr">
        <x:is>
          <x:t xml:space="preserve">manual estimate; verify against source pixels</x:t>
        </x:is>
      </x:c>
      <x:c r="H6" s="278" t="n">
        <x:f>C6*2400/992</x:f>
        <x:v>795.9677419354839</x:v>
      </x:c>
      <x:c r="I6" s="278" t="n">
        <x:f>D6*3600/1488</x:f>
        <x:v>3106.451612903226</x:v>
      </x:c>
      <x:c r="J6" s="234" t="inlineStr">
        <x:is>
          <x:t xml:space="preserve">2400×3600</x:t>
        </x:is>
      </x:c>
      <x:c r="K6" s="234" t="inlineStr">
        <x:is>
          <x:t xml:space="preserve">Legacy estimate scaled only; NOT a pixel centroid measurement</x:t>
        </x:is>
      </x:c>
    </x:row>
    <x:row r="7">
      <x:c r="A7" s="234" t="n">
        <x:v>24</x:v>
      </x:c>
      <x:c r="B7" s="234" t="n">
        <x:v>2</x:v>
      </x:c>
      <x:c r="C7" s="234" t="n">
        <x:v>410</x:v>
      </x:c>
      <x:c r="D7" s="234" t="n">
        <x:v>1309</x:v>
      </x:c>
      <x:c r="E7" s="234" t="n">
        <x:v>0.41331</x:v>
      </x:c>
      <x:c r="F7" s="234" t="n">
        <x:v>0.8797</x:v>
      </x:c>
      <x:c r="G7" s="234" t="inlineStr">
        <x:is>
          <x:t xml:space="preserve">manual estimate; verify against source pixels</x:t>
        </x:is>
      </x:c>
      <x:c r="H7" s="278" t="n">
        <x:f>C7*2400/992</x:f>
        <x:v>991.9354838709677</x:v>
      </x:c>
      <x:c r="I7" s="278" t="n">
        <x:f>D7*3600/1488</x:f>
        <x:v>3166.935483870968</x:v>
      </x:c>
      <x:c r="J7" s="234" t="inlineStr">
        <x:is>
          <x:t xml:space="preserve">2400×3600</x:t>
        </x:is>
      </x:c>
      <x:c r="K7" s="234" t="inlineStr">
        <x:is>
          <x:t xml:space="preserve">Legacy estimate scaled only; NOT a pixel centroid measurement</x:t>
        </x:is>
      </x:c>
    </x:row>
    <x:row r="8">
      <x:c r="A8" s="234" t="n">
        <x:v>24</x:v>
      </x:c>
      <x:c r="B8" s="234" t="n">
        <x:v>3</x:v>
      </x:c>
      <x:c r="C8" s="234" t="n">
        <x:v>612</x:v>
      </x:c>
      <x:c r="D8" s="234" t="n">
        <x:v>1292</x:v>
      </x:c>
      <x:c r="E8" s="234" t="n">
        <x:v>0.61694</x:v>
      </x:c>
      <x:c r="F8" s="234" t="n">
        <x:v>0.8682800000000001</x:v>
      </x:c>
      <x:c r="G8" s="234" t="inlineStr">
        <x:is>
          <x:t xml:space="preserve">manual estimate; verify against source pixels</x:t>
        </x:is>
      </x:c>
      <x:c r="H8" s="278" t="n">
        <x:f>C8*2400/992</x:f>
        <x:v>1480.6451612903227</x:v>
      </x:c>
      <x:c r="I8" s="278" t="n">
        <x:f>D8*3600/1488</x:f>
        <x:v>3125.8064516129034</x:v>
      </x:c>
      <x:c r="J8" s="234" t="inlineStr">
        <x:is>
          <x:t xml:space="preserve">2400×3600</x:t>
        </x:is>
      </x:c>
      <x:c r="K8" s="234" t="inlineStr">
        <x:is>
          <x:t xml:space="preserve">Legacy estimate scaled only; NOT a pixel centroid measurement</x:t>
        </x:is>
      </x:c>
    </x:row>
    <x:row r="9">
      <x:c r="A9" s="234" t="n">
        <x:v>24</x:v>
      </x:c>
      <x:c r="B9" s="234" t="n">
        <x:v>4</x:v>
      </x:c>
      <x:c r="C9" s="234" t="n">
        <x:v>631</x:v>
      </x:c>
      <x:c r="D9" s="234" t="n">
        <x:v>1214</x:v>
      </x:c>
      <x:c r="E9" s="234" t="n">
        <x:v>0.63609</x:v>
      </x:c>
      <x:c r="F9" s="234" t="n">
        <x:v>0.81586</x:v>
      </x:c>
      <x:c r="G9" s="234" t="inlineStr">
        <x:is>
          <x:t xml:space="preserve">manual estimate; verify against source pixels</x:t>
        </x:is>
      </x:c>
      <x:c r="H9" s="278" t="n">
        <x:f>C9*2400/992</x:f>
        <x:v>1526.6129032258063</x:v>
      </x:c>
      <x:c r="I9" s="278" t="n">
        <x:f>D9*3600/1488</x:f>
        <x:v>2937.0967741935483</x:v>
      </x:c>
      <x:c r="J9" s="234" t="inlineStr">
        <x:is>
          <x:t xml:space="preserve">2400×3600</x:t>
        </x:is>
      </x:c>
      <x:c r="K9" s="234" t="inlineStr">
        <x:is>
          <x:t xml:space="preserve">Legacy estimate scaled only; NOT a pixel centroid measurement</x:t>
        </x:is>
      </x:c>
    </x:row>
    <x:row r="10">
      <x:c r="A10" s="234" t="n">
        <x:v>24</x:v>
      </x:c>
      <x:c r="B10" s="234" t="n">
        <x:v>5</x:v>
      </x:c>
      <x:c r="C10" s="234" t="n">
        <x:v>536</x:v>
      </x:c>
      <x:c r="D10" s="234" t="n">
        <x:v>1185</x:v>
      </x:c>
      <x:c r="E10" s="234" t="n">
        <x:v>0.54032</x:v>
      </x:c>
      <x:c r="F10" s="234" t="n">
        <x:v>0.79637</x:v>
      </x:c>
      <x:c r="G10" s="234" t="inlineStr">
        <x:is>
          <x:t xml:space="preserve">manual estimate; verify against source pixels</x:t>
        </x:is>
      </x:c>
      <x:c r="H10" s="278" t="n">
        <x:f>C10*2400/992</x:f>
        <x:v>1296.774193548387</x:v>
      </x:c>
      <x:c r="I10" s="278" t="n">
        <x:f>D10*3600/1488</x:f>
        <x:v>2866.935483870968</x:v>
      </x:c>
      <x:c r="J10" s="234" t="inlineStr">
        <x:is>
          <x:t xml:space="preserve">2400×3600</x:t>
        </x:is>
      </x:c>
      <x:c r="K10" s="234" t="inlineStr">
        <x:is>
          <x:t xml:space="preserve">Legacy estimate scaled only; NOT a pixel centroid measurement</x:t>
        </x:is>
      </x:c>
    </x:row>
    <x:row r="11">
      <x:c r="A11" s="234" t="n">
        <x:v>40</x:v>
      </x:c>
      <x:c r="B11" s="234" t="n">
        <x:v>1</x:v>
      </x:c>
      <x:c r="C11" s="234" t="n">
        <x:v>329</x:v>
      </x:c>
      <x:c r="D11" s="234" t="n">
        <x:v>235</x:v>
      </x:c>
      <x:c r="E11" s="234" t="n">
        <x:v>0.33165</x:v>
      </x:c>
      <x:c r="F11" s="234" t="n">
        <x:v>0.15793</x:v>
      </x:c>
      <x:c r="G11" s="234" t="inlineStr">
        <x:is>
          <x:t xml:space="preserve">manual estimate; verify against source pixels</x:t>
        </x:is>
      </x:c>
      <x:c r="H11" s="278" t="n">
        <x:f>C11*2400/992</x:f>
        <x:v>795.9677419354839</x:v>
      </x:c>
      <x:c r="I11" s="278" t="n">
        <x:f>D11*3600/1488</x:f>
        <x:v>568.5483870967741</x:v>
      </x:c>
      <x:c r="J11" s="234" t="inlineStr">
        <x:is>
          <x:t xml:space="preserve">2400×3600</x:t>
        </x:is>
      </x:c>
      <x:c r="K11" s="234" t="inlineStr">
        <x:is>
          <x:t xml:space="preserve">Legacy estimate scaled only; NOT a pixel centroid measurement</x:t>
        </x:is>
      </x:c>
    </x:row>
    <x:row r="12">
      <x:c r="A12" s="234" t="n">
        <x:v>40</x:v>
      </x:c>
      <x:c r="B12" s="234" t="n">
        <x:v>2</x:v>
      </x:c>
      <x:c r="C12" s="234" t="n">
        <x:v>410</x:v>
      </x:c>
      <x:c r="D12" s="234" t="n">
        <x:v>209</x:v>
      </x:c>
      <x:c r="E12" s="234" t="n">
        <x:v>0.41331</x:v>
      </x:c>
      <x:c r="F12" s="234" t="n">
        <x:v>0.14046</x:v>
      </x:c>
      <x:c r="G12" s="234" t="inlineStr">
        <x:is>
          <x:t xml:space="preserve">manual estimate; verify against source pixels</x:t>
        </x:is>
      </x:c>
      <x:c r="H12" s="278" t="n">
        <x:f>C12*2400/992</x:f>
        <x:v>991.9354838709677</x:v>
      </x:c>
      <x:c r="I12" s="278" t="n">
        <x:f>D12*3600/1488</x:f>
        <x:v>505.64516129032256</x:v>
      </x:c>
      <x:c r="J12" s="234" t="inlineStr">
        <x:is>
          <x:t xml:space="preserve">2400×3600</x:t>
        </x:is>
      </x:c>
      <x:c r="K12" s="234" t="inlineStr">
        <x:is>
          <x:t xml:space="preserve">Legacy estimate scaled only; NOT a pixel centroid measurement</x:t>
        </x:is>
      </x:c>
    </x:row>
    <x:row r="13">
      <x:c r="A13" s="234" t="n">
        <x:v>40</x:v>
      </x:c>
      <x:c r="B13" s="234" t="n">
        <x:v>3</x:v>
      </x:c>
      <x:c r="C13" s="234" t="n">
        <x:v>536</x:v>
      </x:c>
      <x:c r="D13" s="234" t="n">
        <x:v>334</x:v>
      </x:c>
      <x:c r="E13" s="234" t="n">
        <x:v>0.54032</x:v>
      </x:c>
      <x:c r="F13" s="234" t="n">
        <x:v>0.22446</x:v>
      </x:c>
      <x:c r="G13" s="234" t="inlineStr">
        <x:is>
          <x:t xml:space="preserve">manual estimate; verify against source pixels</x:t>
        </x:is>
      </x:c>
      <x:c r="H13" s="278" t="n">
        <x:f>C13*2400/992</x:f>
        <x:v>1296.774193548387</x:v>
      </x:c>
      <x:c r="I13" s="278" t="n">
        <x:f>D13*3600/1488</x:f>
        <x:v>808.0645161290323</x:v>
      </x:c>
      <x:c r="J13" s="234" t="inlineStr">
        <x:is>
          <x:t xml:space="preserve">2400×3600</x:t>
        </x:is>
      </x:c>
      <x:c r="K13" s="234" t="inlineStr">
        <x:is>
          <x:t xml:space="preserve">Legacy estimate scaled only; NOT a pixel centroid measurement</x:t>
        </x:is>
      </x:c>
    </x:row>
    <x:row r="14">
      <x:c r="A14" s="234" t="n">
        <x:v>40</x:v>
      </x:c>
      <x:c r="B14" s="234" t="n">
        <x:v>4</x:v>
      </x:c>
      <x:c r="C14" s="234" t="n">
        <x:v>631</x:v>
      </x:c>
      <x:c r="D14" s="234" t="n">
        <x:v>304</x:v>
      </x:c>
      <x:c r="E14" s="234" t="n">
        <x:v>0.63609</x:v>
      </x:c>
      <x:c r="F14" s="234" t="n">
        <x:v>0.2043</x:v>
      </x:c>
      <x:c r="G14" s="234" t="inlineStr">
        <x:is>
          <x:t xml:space="preserve">manual estimate; verify against source pixels</x:t>
        </x:is>
      </x:c>
      <x:c r="H14" s="278" t="n">
        <x:f>C14*2400/992</x:f>
        <x:v>1526.6129032258063</x:v>
      </x:c>
      <x:c r="I14" s="278" t="n">
        <x:f>D14*3600/1488</x:f>
        <x:v>735.483870967742</x:v>
      </x:c>
      <x:c r="J14" s="234" t="inlineStr">
        <x:is>
          <x:t xml:space="preserve">2400×3600</x:t>
        </x:is>
      </x:c>
      <x:c r="K14" s="234" t="inlineStr">
        <x:is>
          <x:t xml:space="preserve">Legacy estimate scaled only; NOT a pixel centroid measurement</x:t>
        </x:is>
      </x:c>
    </x:row>
    <x:row r="15">
      <x:c r="A15" s="234" t="n">
        <x:v>40</x:v>
      </x:c>
      <x:c r="B15" s="234" t="n">
        <x:v>5</x:v>
      </x:c>
      <x:c r="C15" s="234" t="n">
        <x:v>612</x:v>
      </x:c>
      <x:c r="D15" s="234" t="n">
        <x:v>226</x:v>
      </x:c>
      <x:c r="E15" s="234" t="n">
        <x:v>0.61694</x:v>
      </x:c>
      <x:c r="F15" s="234" t="n">
        <x:v>0.15188</x:v>
      </x:c>
      <x:c r="G15" s="234" t="inlineStr">
        <x:is>
          <x:t xml:space="preserve">manual estimate; verify against source pixels</x:t>
        </x:is>
      </x:c>
      <x:c r="H15" s="278" t="n">
        <x:f>C15*2400/992</x:f>
        <x:v>1480.6451612903227</x:v>
      </x:c>
      <x:c r="I15" s="278" t="n">
        <x:f>D15*3600/1488</x:f>
        <x:v>546.7741935483871</x:v>
      </x:c>
      <x:c r="J15" s="234" t="inlineStr">
        <x:is>
          <x:t xml:space="preserve">2400×3600</x:t>
        </x:is>
      </x:c>
      <x:c r="K15" s="234" t="inlineStr">
        <x:is>
          <x:t xml:space="preserve">Legacy estimate scaled only; NOT a pixel centroid measurement</x:t>
        </x:is>
      </x:c>
    </x:row>
    <x:row r="16">
      <x:c r="A16" s="234" t="n">
        <x:v>73</x:v>
      </x:c>
      <x:c r="B16" s="234" t="n">
        <x:v>1</x:v>
      </x:c>
      <x:c r="C16" s="234" t="n">
        <x:v>456</x:v>
      </x:c>
      <x:c r="D16" s="234" t="n">
        <x:v>1011</x:v>
      </x:c>
      <x:c r="E16" s="234" t="n">
        <x:v>0.45968</x:v>
      </x:c>
      <x:c r="F16" s="234" t="n">
        <x:v>0.67944</x:v>
      </x:c>
      <x:c r="G16" s="234" t="inlineStr">
        <x:is>
          <x:t xml:space="preserve">manual estimate; verify against source pixels</x:t>
        </x:is>
      </x:c>
      <x:c r="H16" s="278" t="n">
        <x:f>C16*2400/992</x:f>
        <x:v>1103.225806451613</x:v>
      </x:c>
      <x:c r="I16" s="278" t="n">
        <x:f>D16*3600/1488</x:f>
        <x:v>2445.967741935484</x:v>
      </x:c>
      <x:c r="J16" s="234" t="inlineStr">
        <x:is>
          <x:t xml:space="preserve">2400×3600</x:t>
        </x:is>
      </x:c>
      <x:c r="K16" s="234" t="inlineStr">
        <x:is>
          <x:t xml:space="preserve">Legacy estimate scaled only; NOT a pixel centroid measurement</x:t>
        </x:is>
      </x:c>
    </x:row>
    <x:row r="17">
      <x:c r="A17" s="234" t="n">
        <x:v>73</x:v>
      </x:c>
      <x:c r="B17" s="234" t="n">
        <x:v>2</x:v>
      </x:c>
      <x:c r="C17" s="234" t="n">
        <x:v>360</x:v>
      </x:c>
      <x:c r="D17" s="234" t="n">
        <x:v>1040</x:v>
      </x:c>
      <x:c r="E17" s="234" t="n">
        <x:v>0.3629</x:v>
      </x:c>
      <x:c r="F17" s="234" t="n">
        <x:v>0.69892</x:v>
      </x:c>
      <x:c r="G17" s="234" t="inlineStr">
        <x:is>
          <x:t xml:space="preserve">manual estimate; verify against source pixels</x:t>
        </x:is>
      </x:c>
      <x:c r="H17" s="278" t="n">
        <x:f>C17*2400/992</x:f>
        <x:v>870.9677419354839</x:v>
      </x:c>
      <x:c r="I17" s="278" t="n">
        <x:f>D17*3600/1488</x:f>
        <x:v>2516.1290322580644</x:v>
      </x:c>
      <x:c r="J17" s="234" t="inlineStr">
        <x:is>
          <x:t xml:space="preserve">2400×3600</x:t>
        </x:is>
      </x:c>
      <x:c r="K17" s="234" t="inlineStr">
        <x:is>
          <x:t xml:space="preserve">Legacy estimate scaled only; NOT a pixel centroid measurement</x:t>
        </x:is>
      </x:c>
    </x:row>
    <x:row r="18">
      <x:c r="A18" s="234" t="n">
        <x:v>73</x:v>
      </x:c>
      <x:c r="B18" s="234" t="n">
        <x:v>3</x:v>
      </x:c>
      <x:c r="C18" s="234" t="n">
        <x:v>381</x:v>
      </x:c>
      <x:c r="D18" s="234" t="n">
        <x:v>1118</x:v>
      </x:c>
      <x:c r="E18" s="234" t="n">
        <x:v>0.38407</x:v>
      </x:c>
      <x:c r="F18" s="234" t="n">
        <x:v>0.75134</x:v>
      </x:c>
      <x:c r="G18" s="234" t="inlineStr">
        <x:is>
          <x:t xml:space="preserve">manual estimate; verify against source pixels</x:t>
        </x:is>
      </x:c>
      <x:c r="H18" s="278" t="n">
        <x:f>C18*2400/992</x:f>
        <x:v>921.7741935483871</x:v>
      </x:c>
      <x:c r="I18" s="278" t="n">
        <x:f>D18*3600/1488</x:f>
        <x:v>2704.8387096774195</x:v>
      </x:c>
      <x:c r="J18" s="234" t="inlineStr">
        <x:is>
          <x:t xml:space="preserve">2400×3600</x:t>
        </x:is>
      </x:c>
      <x:c r="K18" s="234" t="inlineStr">
        <x:is>
          <x:t xml:space="preserve">Legacy estimate scaled only; NOT a pixel centroid measurement</x:t>
        </x:is>
      </x:c>
    </x:row>
    <x:row r="19">
      <x:c r="A19" s="234" t="n">
        <x:v>73</x:v>
      </x:c>
      <x:c r="B19" s="234" t="n">
        <x:v>4</x:v>
      </x:c>
      <x:c r="C19" s="234" t="n">
        <x:v>663</x:v>
      </x:c>
      <x:c r="D19" s="234" t="n">
        <x:v>1110</x:v>
      </x:c>
      <x:c r="E19" s="234" t="n">
        <x:v>0.66835</x:v>
      </x:c>
      <x:c r="F19" s="234" t="n">
        <x:v>0.74597</x:v>
      </x:c>
      <x:c r="G19" s="234" t="inlineStr">
        <x:is>
          <x:t xml:space="preserve">manual estimate; verify against source pixels</x:t>
        </x:is>
      </x:c>
      <x:c r="H19" s="278" t="n">
        <x:f>C19*2400/992</x:f>
        <x:v>1604.032258064516</x:v>
      </x:c>
      <x:c r="I19" s="278" t="n">
        <x:f>D19*3600/1488</x:f>
        <x:v>2685.483870967742</x:v>
      </x:c>
      <x:c r="J19" s="234" t="inlineStr">
        <x:is>
          <x:t xml:space="preserve">2400×3600</x:t>
        </x:is>
      </x:c>
      <x:c r="K19" s="234" t="inlineStr">
        <x:is>
          <x:t xml:space="preserve">Legacy estimate scaled only; NOT a pixel centroid measurement</x:t>
        </x:is>
      </x:c>
    </x:row>
    <x:row r="20">
      <x:c r="A20" s="234" t="n">
        <x:v>73</x:v>
      </x:c>
      <x:c r="B20" s="234" t="n">
        <x:v>5</x:v>
      </x:c>
      <x:c r="C20" s="234" t="n">
        <x:v>582</x:v>
      </x:c>
      <x:c r="D20" s="234" t="n">
        <x:v>1136</x:v>
      </x:c>
      <x:c r="E20" s="234" t="n">
        <x:v>0.58669</x:v>
      </x:c>
      <x:c r="F20" s="234" t="n">
        <x:v>0.76344</x:v>
      </x:c>
      <x:c r="G20" s="234" t="inlineStr">
        <x:is>
          <x:t xml:space="preserve">manual estimate; verify against source pixels</x:t>
        </x:is>
      </x:c>
      <x:c r="H20" s="278" t="n">
        <x:f>C20*2400/992</x:f>
        <x:v>1408.0645161290322</x:v>
      </x:c>
      <x:c r="I20" s="278" t="n">
        <x:f>D20*3600/1488</x:f>
        <x:v>2748.3870967741937</x:v>
      </x:c>
      <x:c r="J20" s="234" t="inlineStr">
        <x:is>
          <x:t xml:space="preserve">2400×3600</x:t>
        </x:is>
      </x:c>
      <x:c r="K20" s="234" t="inlineStr">
        <x:is>
          <x:t xml:space="preserve">Legacy estimate scaled only; NOT a pixel centroid measurement</x:t>
        </x:is>
      </x:c>
    </x:row>
    <x:row r="21">
      <x:c r="A21" s="234" t="n"/>
      <x:c r="B21" s="234" t="n"/>
      <x:c r="C21" s="234" t="n"/>
      <x:c r="D21" s="234" t="n"/>
      <x:c r="E21" s="234" t="n"/>
      <x:c r="F21" s="234" t="n"/>
      <x:c r="G21" s="234" t="n"/>
    </x:row>
    <x:row r="22">
      <x:c r="A22" s="234" t="inlineStr">
        <x:is>
          <x:t xml:space="preserve">Comparison metric</x:t>
        </x:is>
      </x:c>
      <x:c r="B22" s="234" t="inlineStr">
        <x:is>
          <x:t xml:space="preserve">Definition</x:t>
        </x:is>
      </x:c>
      <x:c r="C22" s="234" t="inlineStr">
        <x:is>
          <x:t xml:space="preserve">Interpretation</x:t>
        </x:is>
      </x:c>
      <x:c r="D22" s="234" t="n"/>
      <x:c r="E22" s="234" t="n"/>
      <x:c r="F22" s="234" t="n"/>
      <x:c r="G22" s="234" t="n"/>
    </x:row>
    <x:row r="23">
      <x:c r="A23" s="234" t="inlineStr">
        <x:is>
          <x:t xml:space="preserve">Pairwise-distance signature</x:t>
        </x:is>
      </x:c>
      <x:c r="B23" s="234" t="inlineStr">
        <x:is>
          <x:t xml:space="preserve">For each page, compute all 10 Euclidean distances between five dot centers, divide by the page-specific median distance, then sort.</x:t>
        </x:is>
      </x:c>
      <x:c r="C23" s="234" t="inlineStr">
        <x:is>
          <x:t xml:space="preserve">Invariant to translation, rotation, reflection, and uniform scale; useful first test for constellation congruence.</x:t>
        </x:is>
      </x:c>
      <x:c r="D23" s="234" t="n"/>
      <x:c r="E23" s="234" t="n"/>
      <x:c r="F23" s="234" t="n"/>
      <x:c r="G23" s="234" t="n"/>
    </x:row>
    <x:row r="24">
      <x:c r="A24" s="234" t="inlineStr">
        <x:is>
          <x:t xml:space="preserve">Shape alignment</x:t>
        </x:is>
      </x:c>
      <x:c r="B24" s="234" t="inlineStr">
        <x:is>
          <x:t xml:space="preserve">After distance-signature screening, fit all point permutations and rotations/reflections using Procrustes alignment.</x:t>
        </x:is>
      </x:c>
      <x:c r="C24" s="234" t="inlineStr">
        <x:is>
          <x:t xml:space="preserve">Avoid assigning significance based on one hand-chosen point ordering.</x:t>
        </x:is>
      </x:c>
      <x:c r="D24" s="234" t="n"/>
      <x:c r="E24" s="234" t="n"/>
      <x:c r="F24" s="234" t="n"/>
      <x:c r="G24" s="234" t="n"/>
    </x:row>
    <x:row r="25">
      <x:c r="A25" s="234" t="inlineStr">
        <x:is>
          <x:t xml:space="preserve">Null/control test</x:t>
        </x:is>
      </x:c>
      <x:c r="B25" s="234" t="inlineStr">
        <x:is>
          <x:t xml:space="preserve">Compare the observed match score against many random five-point sets sampled within the same usable image region.</x:t>
        </x:is>
      </x:c>
      <x:c r="C25" s="234" t="inlineStr">
        <x:is>
          <x:t xml:space="preserve">A match is useful only if it is rare under the control distribution and survives reasonable coordinate uncertainty.</x:t>
        </x:is>
      </x:c>
      <x:c r="D25" s="234" t="n"/>
      <x:c r="E25" s="234" t="n"/>
      <x:c r="F25" s="234" t="n"/>
      <x:c r="G25" s="234" t="n"/>
    </x:row>
    <x:row r="26">
      <x:c r="A26" s="234" t="inlineStr">
        <x:is>
          <x:t xml:space="preserve">Cipher connection</x:t>
        </x:is>
      </x:c>
      <x:c r="B26" s="234" t="inlineStr">
        <x:is>
          <x:t xml:space="preserve">Only after geometric recurrence is confirmed, test whether a fixed point ordering maps consistently to rune indices/positions on related pages.</x:t>
        </x:is>
      </x:c>
      <x:c r="C26" s="234" t="inlineStr">
        <x:is>
          <x:t xml:space="preserve">Do not infer a key from geometry alone; require a reproducible plaintext or independently validated structural prediction.</x:t>
        </x:is>
      </x:c>
      <x:c r="D26" s="234" t="n"/>
      <x:c r="E26" s="234" t="n"/>
      <x:c r="F26" s="234" t="n"/>
      <x:c r="G26" s="234" t="n"/>
    </x:row>
    <x:row r="27">
      <x:c r="A27" s="234" t="inlineStr">
        <x:is>
          <x:t xml:space="preserve">Current result</x:t>
        </x:is>
      </x:c>
      <x:c r="B27" s="234" t="inlineStr">
        <x:is>
          <x:t xml:space="preserve">No geometric match has been established.</x:t>
        </x:is>
      </x:c>
      <x:c r="C27" s="234" t="inlineStr">
        <x:is>
          <x:t xml:space="preserve">This sheet defines a reproducible first experiment, not a claimed discovery.</x:t>
        </x:is>
      </x:c>
      <x:c r="D27" s="234" t="n"/>
      <x:c r="E27" s="234" t="n"/>
      <x:c r="F27" s="234" t="n"/>
      <x:c r="G27" s="234" t="n"/>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28" style="232" customWidth="1"/>
    <x:col min="2" max="2" width="105" style="232" customWidth="1"/>
    <x:col min="3" max="3" width="24" style="232" customWidth="1"/>
    <x:col min="4" max="4" width="26" style="232" customWidth="1"/>
    <x:col min="5" max="5" width="24" style="232" customWidth="1"/>
    <x:col min="6" max="6" width="68" style="232" customWidth="1"/>
    <x:col min="7" max="7" width="56" style="232" customWidth="1"/>
    <x:col min="8" max="8" width="24" style="232" customWidth="1"/>
    <x:col min="9" max="9" width="24" style="232" customWidth="1"/>
    <x:col min="10" max="10" width="18" style="232" customWidth="1"/>
    <x:col min="11" max="11" width="18" style="232" customWidth="1"/>
  </x:cols>
  <x:sheetData>
    <x:row r="1" s="232" customFormat="1" ht="30" customHeight="1">
      <x:c r="A1" s="279" t="inlineStr">
        <x:is>
          <x:t xml:space="preserve">Liber Primus Visual Geometry — Test Log v0.8 (2026-10-09)</x:t>
        </x:is>
      </x:c>
      <x:c r="B1" s="1" t="n"/>
      <x:c r="C1" s="1" t="n"/>
      <x:c r="D1" s="1" t="n"/>
      <x:c r="E1" s="1" t="n"/>
      <x:c r="F1" s="1" t="n"/>
      <x:c r="G1" s="1" t="n"/>
      <x:c r="H1" s="1" t="n"/>
      <x:c r="I1" s="1" t="n"/>
      <x:c r="J1" s="1" t="n"/>
      <x:c r="K1" s="1" t="n"/>
    </x:row>
    <x:row r="2" s="232" customFormat="1" ht="32" customHeight="1">
      <x:c r="A2" s="280" t="inlineStr">
        <x:is>
          <x:t xml:space="preserve">Exploratory result only. Existing Geometry Pilot coordinates remain legacy manual estimates; no pixel-centroid measurements have been substituted or represented as verified.</x:t>
        </x:is>
      </x:c>
      <x:c r="B2" s="1" t="n"/>
      <x:c r="C2" s="1" t="n"/>
      <x:c r="D2" s="1" t="n"/>
      <x:c r="E2" s="1" t="n"/>
      <x:c r="F2" s="1" t="n"/>
      <x:c r="G2" s="1" t="n"/>
      <x:c r="H2" s="1" t="n"/>
      <x:c r="I2" s="1" t="n"/>
      <x:c r="J2" s="1" t="n"/>
      <x:c r="K2" s="1" t="n"/>
    </x:row>
    <x:row r="4">
      <x:c r="A4" s="281" t="inlineStr">
        <x:is>
          <x:t xml:space="preserve">Current source audit</x:t>
        </x:is>
      </x:c>
      <x:c r="B4" s="1" t="n"/>
    </x:row>
    <x:row r="5" s="232" customFormat="1" ht="42" customHeight="1">
      <x:c r="A5" s="107" t="inlineStr">
        <x:is>
          <x:t xml:space="preserve">Artifact</x:t>
        </x:is>
      </x:c>
      <x:c r="B5" s="107" t="inlineStr">
        <x:is>
          <x:t xml:space="preserve">Verified status / finding</x:t>
        </x:is>
      </x:c>
    </x:row>
    <x:row r="6" s="232" customFormat="1" ht="42" customHeight="1">
      <x:c r="A6" s="108" t="inlineStr">
        <x:is>
          <x:t xml:space="preserve">Repository</x:t>
        </x:is>
      </x:c>
      <x:c r="B6" s="234" t="inlineStr">
        <x:is>
          <x:t xml:space="preserve">https://github.com/mrfentmen/annotated-pages (GitHub metadata/API access succeeded; local git clone failed because this runtime could not resolve github.com).</x:t>
        </x:is>
      </x:c>
    </x:row>
    <x:row r="7" s="232" customFormat="1" ht="42" customHeight="1">
      <x:c r="A7" s="108" t="inlineStr">
        <x:is>
          <x:t xml:space="preserve">CSV source integrity</x:t>
        </x:is>
      </x:c>
      <x:c r="B7" s="234" t="inlineStr">
        <x:is>
          <x:t xml:space="preserve">Exact Git blob match: dde2e5f229e1dda6b4311a55264e92e66f44f922; 10,368 bytes.</x:t>
        </x:is>
      </x:c>
    </x:row>
    <x:row r="8" s="232" customFormat="1" ht="42" customHeight="1">
      <x:c r="A8" s="108" t="inlineStr">
        <x:is>
          <x:t xml:space="preserve">Workbook source integrity</x:t>
        </x:is>
      </x:c>
      <x:c r="B8" s="234" t="inlineStr">
        <x:is>
          <x:t xml:space="preserve">Exact Git blob match: 1e7c9bdb7d29ce17dc3c5adbcccf712073a2bc86; 66,104 bytes.</x:t>
        </x:is>
      </x:c>
    </x:row>
    <x:row r="9" s="232" customFormat="1" ht="42" customHeight="1">
      <x:c r="A9" s="108" t="inlineStr">
        <x:is>
          <x:t xml:space="preserve">CSV content</x:t>
        </x:is>
      </x:c>
      <x:c r="B9" s="234" t="inlineStr">
        <x:is>
          <x:t xml:space="preserve">44 data records; 41 populated records; 42 unique page labels including empty page-74 record; two additional empty page-69 duplicate rows.</x:t>
        </x:is>
      </x:c>
    </x:row>
    <x:row r="10" s="232" customFormat="1" ht="42" customHeight="1">
      <x:c r="A10" s="108" t="inlineStr">
        <x:is>
          <x:t xml:space="preserve">Annotated image coverage</x:t>
        </x:is>
      </x:c>
      <x:c r="B10" s="234" t="inlineStr">
        <x:is>
          <x:t xml:space="preserve">26 image files in annotated-pages: 17–22, 24–32, 39–44, 50, 56, 57, 68, 73.</x:t>
        </x:is>
      </x:c>
    </x:row>
    <x:row r="11" s="232" customFormat="1" ht="42" customHeight="1">
      <x:c r="A11" s="108" t="inlineStr">
        <x:is>
          <x:t xml:space="preserve">Coverage gap</x:t>
        </x:is>
      </x:c>
      <x:c r="B11" s="234" t="inlineStr">
        <x:is>
          <x:t xml:space="preserve">15 populated CSV page records lack an annotated image in the repository: page 23, pages 58–67, and pages 69–72.</x:t>
        </x:is>
      </x:c>
    </x:row>
    <x:row r="12" s="232" customFormat="1" ht="42" customHeight="1">
      <x:c r="A12" s="108" t="inlineStr">
        <x:is>
          <x:t xml:space="preserve">Unrecorded range</x:t>
        </x:is>
      </x:c>
      <x:c r="B12" s="234" t="inlineStr">
        <x:is>
          <x:t xml:space="preserve">Pages 09–15 are referenced within the CSV notes only; no independent page-level observations exist for that range in the CSV.</x:t>
        </x:is>
      </x:c>
    </x:row>
    <x:row r="13" s="232" customFormat="1" ht="42" customHeight="1">
      <x:c r="A13" s="108" t="inlineStr">
        <x:is>
          <x:t xml:space="preserve">Master Dataset</x:t>
        </x:is>
      </x:c>
      <x:c r="B13" s="234" t="inlineStr">
        <x:is>
          <x:t xml:space="preserve">185 data rows: 183 populated source-record feature rows, one empty-source placeholder, and one cross-page range-reference row. Counts/statuses are feature-level, not independent page counts.</x:t>
        </x:is>
      </x:c>
    </x:row>
    <x:row r="14" s="232" customFormat="1" ht="42" customHeight="1">
      <x:c r="A14" s="108" t="inlineStr">
        <x:is>
          <x:t xml:space="preserve">Verification caveat</x:t>
        </x:is>
      </x:c>
      <x:c r="B14" s="234" t="inlineStr">
        <x:is>
          <x:t xml:space="preserve">89 feature rows are marked CSV_RECORDED_NOT_IMAGE_VERIFIED; 27 CSV_RECORDED_NOT_INDEPENDENTLY_RECOUNTED. These values are row counts, not unique pages.</x:t>
        </x:is>
      </x:c>
    </x:row>
    <x:row r="15" s="232" customFormat="1" ht="42" customHeight="1">
      <x:c r="A15" s="108" t="inlineStr">
        <x:is>
          <x:t xml:space="preserve">Version naming issue</x:t>
        </x:is>
      </x:c>
      <x:c r="B15" s="234" t="inlineStr">
        <x:is>
          <x:t xml:space="preserve">The file is named v0_3, while Scope &amp; Schema title still says v0.2. This workbook update labels the new analysis log v0.4 without deleting or rewriting the archived CSV source.</x:t>
        </x:is>
      </x:c>
    </x:row>
    <x:row r="17">
      <x:c r="A17" s="281" t="inlineStr">
        <x:is>
          <x:t xml:space="preserve">Primary scan provenance — five-dot pilot</x:t>
        </x:is>
      </x:c>
      <x:c r="B17" s="1" t="n"/>
      <x:c r="C17" s="1" t="n"/>
      <x:c r="D17" s="1" t="n"/>
      <x:c r="E17" s="1" t="n"/>
      <x:c r="F17" s="1" t="n"/>
      <x:c r="G17" s="1" t="n"/>
    </x:row>
    <x:row r="18">
      <x:c r="A18" s="105" t="inlineStr">
        <x:is>
          <x:t xml:space="preserve">Page</x:t>
        </x:is>
      </x:c>
      <x:c r="B18" s="105" t="inlineStr">
        <x:is>
          <x:t xml:space="preserve">Source filename</x:t>
        </x:is>
      </x:c>
      <x:c r="C18" s="105" t="inlineStr">
        <x:is>
          <x:t xml:space="preserve">Raster width</x:t>
        </x:is>
      </x:c>
      <x:c r="D18" s="105" t="inlineStr">
        <x:is>
          <x:t xml:space="preserve">Raster height</x:t>
        </x:is>
      </x:c>
      <x:c r="E18" s="105" t="inlineStr">
        <x:is>
          <x:t xml:space="preserve">Git blob SHA</x:t>
        </x:is>
      </x:c>
      <x:c r="F18" s="105" t="inlineStr">
        <x:is>
          <x:t xml:space="preserve">Source URL</x:t>
        </x:is>
      </x:c>
      <x:c r="G18" s="105" t="inlineStr">
        <x:is>
          <x:t xml:space="preserve">Pixel-measurement status</x:t>
        </x:is>
      </x:c>
    </x:row>
    <x:row r="19" s="232" customFormat="1" ht="58" customHeight="1">
      <x:c r="A19" s="234" t="n">
        <x:v>24</x:v>
      </x:c>
      <x:c r="B19" s="234" t="inlineStr">
        <x:is>
          <x:t xml:space="preserve">24.jpg</x:t>
        </x:is>
      </x:c>
      <x:c r="C19" s="234" t="n">
        <x:v>2400</x:v>
      </x:c>
      <x:c r="D19" s="234" t="n">
        <x:v>3600</x:v>
      </x:c>
      <x:c r="E19" s="234" t="inlineStr">
        <x:is>
          <x:t xml:space="preserve">2b4e09dbad1a9c602a2919864b1a84f49d7ff501</x:t>
        </x:is>
      </x:c>
      <x:c r="F19" s="234" t="inlineStr">
        <x:is>
          <x:t xml:space="preserve">https://github.com/scream314/cicada3301/blob/main/assets/2014/liber-primus-complete/24.jpg</x:t>
        </x:is>
      </x:c>
      <x:c r="G19" s="234" t="inlineStr">
        <x:is>
          <x:t xml:space="preserve">Original scan visually inspected; JPEG dimensions verified. Dot centroids not thresholded/measured from local pixels.</x:t>
        </x:is>
      </x:c>
    </x:row>
    <x:row r="20" s="232" customFormat="1" ht="58" customHeight="1">
      <x:c r="A20" s="234" t="n">
        <x:v>40</x:v>
      </x:c>
      <x:c r="B20" s="234" t="inlineStr">
        <x:is>
          <x:t xml:space="preserve">40.jpg</x:t>
        </x:is>
      </x:c>
      <x:c r="C20" s="234" t="n">
        <x:v>2400</x:v>
      </x:c>
      <x:c r="D20" s="234" t="n">
        <x:v>3600</x:v>
      </x:c>
      <x:c r="E20" s="234" t="inlineStr">
        <x:is>
          <x:t xml:space="preserve">feee4eed2a4f6d66456ff5a977f43c7ef297f8eb</x:t>
        </x:is>
      </x:c>
      <x:c r="F20" s="234" t="inlineStr">
        <x:is>
          <x:t xml:space="preserve">https://github.com/scream314/cicada3301/blob/main/assets/2014/liber-primus-complete/40.jpg</x:t>
        </x:is>
      </x:c>
      <x:c r="G20" s="234" t="inlineStr">
        <x:is>
          <x:t xml:space="preserve">Original scan visually inspected; JPEG dimensions verified. Dot centroids not thresholded/measured from local pixels.</x:t>
        </x:is>
      </x:c>
    </x:row>
    <x:row r="21" s="232" customFormat="1" ht="58" customHeight="1">
      <x:c r="A21" s="234" t="n">
        <x:v>73</x:v>
      </x:c>
      <x:c r="B21" s="234" t="inlineStr">
        <x:is>
          <x:t xml:space="preserve">73.jpg</x:t>
        </x:is>
      </x:c>
      <x:c r="C21" s="234" t="n">
        <x:v>2400</x:v>
      </x:c>
      <x:c r="D21" s="234" t="n">
        <x:v>3600</x:v>
      </x:c>
      <x:c r="E21" s="234" t="inlineStr">
        <x:is>
          <x:t xml:space="preserve">afa3428764199ddf590baf0c055c8caedc079cb1</x:t>
        </x:is>
      </x:c>
      <x:c r="F21" s="234" t="inlineStr">
        <x:is>
          <x:t xml:space="preserve">https://github.com/scream314/cicada3301/blob/main/assets/2014/liber-primus-complete/73.jpg</x:t>
        </x:is>
      </x:c>
      <x:c r="G21" s="234" t="inlineStr">
        <x:is>
          <x:t xml:space="preserve">Original scan visually inspected; JPEG dimensions verified. Dot centroids not thresholded/measured from local pixels.</x:t>
        </x:is>
      </x:c>
    </x:row>
    <x:row r="23">
      <x:c r="A23" s="281" t="inlineStr">
        <x:is>
          <x:t xml:space="preserve">Exploratory pairwise-distance signatures (from legacy estimates only)</x:t>
        </x:is>
      </x:c>
      <x:c r="B23" s="1" t="n"/>
      <x:c r="C23" s="1" t="n"/>
      <x:c r="D23" s="1" t="n"/>
      <x:c r="E23" s="1" t="n"/>
      <x:c r="F23" s="1" t="n"/>
      <x:c r="G23" s="1" t="n"/>
      <x:c r="H23" s="1" t="n"/>
      <x:c r="I23" s="1" t="n"/>
      <x:c r="J23" s="1" t="n"/>
      <x:c r="K23" s="1" t="n"/>
    </x:row>
    <x:row r="24">
      <x:c r="A24" s="105" t="inlineStr">
        <x:is>
          <x:t xml:space="preserve">Page</x:t>
        </x:is>
      </x:c>
      <x:c r="B24" s="105" t="inlineStr">
        <x:is>
          <x:t xml:space="preserve">d1</x:t>
        </x:is>
      </x:c>
      <x:c r="C24" s="105" t="inlineStr">
        <x:is>
          <x:t xml:space="preserve">d2</x:t>
        </x:is>
      </x:c>
      <x:c r="D24" s="105" t="inlineStr">
        <x:is>
          <x:t xml:space="preserve">d3</x:t>
        </x:is>
      </x:c>
      <x:c r="E24" s="105" t="inlineStr">
        <x:is>
          <x:t xml:space="preserve">d4</x:t>
        </x:is>
      </x:c>
      <x:c r="F24" s="105" t="inlineStr">
        <x:is>
          <x:t xml:space="preserve">d5</x:t>
        </x:is>
      </x:c>
      <x:c r="G24" s="105" t="inlineStr">
        <x:is>
          <x:t xml:space="preserve">d6</x:t>
        </x:is>
      </x:c>
      <x:c r="H24" s="105" t="inlineStr">
        <x:is>
          <x:t xml:space="preserve">d7</x:t>
        </x:is>
      </x:c>
      <x:c r="I24" s="105" t="inlineStr">
        <x:is>
          <x:t xml:space="preserve">d8</x:t>
        </x:is>
      </x:c>
      <x:c r="J24" s="105" t="inlineStr">
        <x:is>
          <x:t xml:space="preserve">d9</x:t>
        </x:is>
      </x:c>
      <x:c r="K24" s="105" t="inlineStr">
        <x:is>
          <x:t xml:space="preserve">d10</x:t>
        </x:is>
      </x:c>
    </x:row>
    <x:row r="25">
      <x:c r="A25" t="n">
        <x:v>24</x:v>
      </x:c>
      <x:c r="B25" s="282" t="n">
        <x:v>0.423090968135927</x:v>
      </x:c>
      <x:c r="C25" s="282" t="n">
        <x:v>0.4467513772120834</x:v>
      </x:c>
      <x:c r="D25" s="282" t="n">
        <x:v>0.5234712677161301</x:v>
      </x:c>
      <x:c r="E25" s="282" t="n">
        <x:v>0.6916747293874654</x:v>
      </x:c>
      <x:c r="F25" s="282" t="n">
        <x:v>0.9316680479294659</x:v>
      </x:c>
      <x:c r="G25" s="282" t="n">
        <x:v>1.068331952070534</x:v>
      </x:c>
      <x:c r="H25" s="282" t="n">
        <x:v>1.209264994806897</x:v>
      </x:c>
      <x:c r="I25" s="282" t="n">
        <x:v>1.267751184239696</x:v>
      </x:c>
      <x:c r="J25" s="282" t="n">
        <x:v>1.492045903202135</x:v>
      </x:c>
      <x:c r="K25" s="282" t="n">
        <x:v>1.633777931965412</x:v>
      </x:c>
    </x:row>
    <x:row r="26">
      <x:c r="A26" t="n">
        <x:v>40</x:v>
      </x:c>
      <x:c r="B26" s="282" t="n">
        <x:v>0.4223088174963315</x:v>
      </x:c>
      <x:c r="C26" s="282" t="n">
        <x:v>0.4475050851732655</x:v>
      </x:c>
      <x:c r="D26" s="282" t="n">
        <x:v>0.5240635399994611</x:v>
      </x:c>
      <x:c r="E26" s="282" t="n">
        <x:v>0.694691409924778</x:v>
      </x:c>
      <x:c r="F26" s="282" t="n">
        <x:v>0.9336430286842996</x:v>
      </x:c>
      <x:c r="G26" s="282" t="n">
        <x:v>1.0663569713157</x:v>
      </x:c>
      <x:c r="H26" s="282" t="n">
        <x:v>1.207029477009635</x:v>
      </x:c>
      <x:c r="I26" s="282" t="n">
        <x:v>1.265407545461564</x:v>
      </x:c>
      <x:c r="J26" s="282" t="n">
        <x:v>1.489445546511037</x:v>
      </x:c>
      <x:c r="K26" s="282" t="n">
        <x:v>1.629577885077178</x:v>
      </x:c>
    </x:row>
    <x:row r="27">
      <x:c r="A27" t="n">
        <x:v>73</x:v>
      </x:c>
      <x:c r="B27" s="282" t="n">
        <x:v>0.4259409074596597</x:v>
      </x:c>
      <x:c r="C27" s="282" t="n">
        <x:v>0.448578423314534</x:v>
      </x:c>
      <x:c r="D27" s="282" t="n">
        <x:v>0.5288022798486243</x:v>
      </x:c>
      <x:c r="E27" s="282" t="n">
        <x:v>0.6890119152833004</x:v>
      </x:c>
      <x:c r="F27" s="282" t="n">
        <x:v>0.9358823656353609</x:v>
      </x:c>
      <x:c r="G27" s="282" t="n">
        <x:v>1.064117634364639</x:v>
      </x:c>
      <x:c r="H27" s="282" t="n">
        <x:v>1.209924529643078</x:v>
      </x:c>
      <x:c r="I27" s="282" t="n">
        <x:v>1.275372436860013</x:v>
      </x:c>
      <x:c r="J27" s="282" t="n">
        <x:v>1.487588764151063</x:v>
      </x:c>
      <x:c r="K27" s="282" t="n">
        <x:v>1.639806260340739</x:v>
      </x:c>
    </x:row>
    <x:row r="28" s="232" customFormat="1" ht="45" customHeight="1">
      <x:c r="A28" s="283" t="inlineStr">
        <x:is>
          <x:t xml:space="preserve">Method: calculate all 10 Euclidean pairwise distances within each five-point group; divide each distance by that group's median distance; sort ascending. Scale/translation/rotation/reflection invariant. Inputs are the original 992×1488-render manual estimates preserved in Geometry Pilot, not independently measured centroids.</x:t>
        </x:is>
      </x:c>
      <x:c r="B28" s="1" t="n"/>
      <x:c r="C28" s="1" t="n"/>
      <x:c r="D28" s="1" t="n"/>
      <x:c r="E28" s="1" t="n"/>
      <x:c r="F28" s="1" t="n"/>
      <x:c r="G28" s="1" t="n"/>
      <x:c r="H28" s="1" t="n"/>
      <x:c r="I28" s="1" t="n"/>
      <x:c r="J28" s="1" t="n"/>
      <x:c r="K28" s="1" t="n"/>
    </x:row>
    <x:row r="30">
      <x:c r="A30" s="105" t="inlineStr">
        <x:is>
          <x:t xml:space="preserve">Page pair</x:t>
        </x:is>
      </x:c>
      <x:c r="B30" s="105" t="inlineStr">
        <x:is>
          <x:t xml:space="preserve">Signature RMS difference</x:t>
        </x:is>
      </x:c>
      <x:c r="C30" s="105" t="inlineStr">
        <x:is>
          <x:t xml:space="preserve">Maximum absolute difference</x:t>
        </x:is>
      </x:c>
      <x:c r="D30" s="105" t="inlineStr">
        <x:is>
          <x:t xml:space="preserve">24↔40 mirror fit</x:t>
        </x:is>
      </x:c>
      <x:c r="E30" s="105" t="inlineStr">
        <x:is>
          <x:t xml:space="preserve">Status</x:t>
        </x:is>
      </x:c>
      <x:c r="F30" s="105" t="inlineStr">
        <x:is>
          <x:t xml:space="preserve">Interpretation</x:t>
        </x:is>
      </x:c>
    </x:row>
    <x:row r="31" s="232" customFormat="1" ht="66" customHeight="1">
      <x:c r="A31" s="234" t="inlineStr">
        <x:is>
          <x:t xml:space="preserve">24–40</x:t>
        </x:is>
      </x:c>
      <x:c r="B31" s="284" t="n">
        <x:v>0.00230921</x:v>
      </x:c>
      <x:c r="C31" s="284" t="n">
        <x:v>0.0042</x:v>
      </x:c>
      <x:c r="D31" s="234" t="inlineStr">
        <x:is>
          <x:t xml:space="preserve">y40 ≈ 1518.4 − y24; RMS residual ≈0.49 render px; max residual 0.60 px</x:t>
        </x:is>
      </x:c>
      <x:c r="E31" s="234" t="inlineStr">
        <x:is>
          <x:t xml:space="preserve">Exploratory only</x:t>
        </x:is>
      </x:c>
      <x:c r="F31" s="234" t="inlineStr">
        <x:is>
          <x:t xml:space="preserve">Legacy x coordinate sets are identical; strong risk of coordinate dependence/constructed correspondence.</x:t>
        </x:is>
      </x:c>
    </x:row>
    <x:row r="32" s="232" customFormat="1" ht="66" customHeight="1">
      <x:c r="A32" s="234" t="inlineStr">
        <x:is>
          <x:t xml:space="preserve">24–73</x:t>
        </x:is>
      </x:c>
      <x:c r="B32" s="284" t="n">
        <x:v>0.00444091</x:v>
      </x:c>
      <x:c r="C32" s="284" t="n">
        <x:v>0.00762</x:v>
      </x:c>
      <x:c r="D32" s="234" t="str"/>
      <x:c r="E32" s="234" t="inlineStr">
        <x:is>
          <x:t xml:space="preserve">Exploratory only</x:t>
        </x:is>
      </x:c>
      <x:c r="F32" s="234" t="inlineStr">
        <x:is>
          <x:t xml:space="preserve">Very close normalized signature in legacy estimates; must be re-tested from independently extracted centroids.</x:t>
        </x:is>
      </x:c>
    </x:row>
    <x:row r="33" s="232" customFormat="1" ht="66" customHeight="1">
      <x:c r="A33" s="234" t="inlineStr">
        <x:is>
          <x:t xml:space="preserve">40–73</x:t>
        </x:is>
      </x:c>
      <x:c r="B33" s="284" t="n">
        <x:v>0.00542986</x:v>
      </x:c>
      <x:c r="C33" s="284" t="n">
        <x:v>0.01023</x:v>
      </x:c>
      <x:c r="D33" s="234" t="str"/>
      <x:c r="E33" s="234" t="inlineStr">
        <x:is>
          <x:t xml:space="preserve">Exploratory only</x:t>
        </x:is>
      </x:c>
      <x:c r="F33" s="234" t="inlineStr">
        <x:is>
          <x:t xml:space="preserve">Very close normalized signature in legacy estimates; must be re-tested from independently extracted centroids.</x:t>
        </x:is>
      </x:c>
    </x:row>
    <x:row r="35">
      <x:c r="A35" s="281" t="inlineStr">
        <x:is>
          <x:t xml:space="preserve">Exploratory null control — not confirmatory evidence</x:t>
        </x:is>
      </x:c>
      <x:c r="B35" s="1" t="n"/>
      <x:c r="C35" s="1" t="n"/>
    </x:row>
    <x:row r="36">
      <x:c r="A36" s="105" t="inlineStr">
        <x:is>
          <x:t xml:space="preserve">Control parameter</x:t>
        </x:is>
      </x:c>
      <x:c r="B36" s="105" t="inlineStr">
        <x:is>
          <x:t xml:space="preserve">Value</x:t>
        </x:is>
      </x:c>
      <x:c r="C36" s="105" t="inlineStr">
        <x:is>
          <x:t xml:space="preserve">Definition / limitation</x:t>
        </x:is>
      </x:c>
    </x:row>
    <x:row r="37" s="232" customFormat="1" ht="42" customHeight="1">
      <x:c r="A37" s="108" t="inlineStr">
        <x:is>
          <x:t xml:space="preserve">Random seed</x:t>
        </x:is>
      </x:c>
      <x:c r="B37" s="234" t="n">
        <x:v>3301</x:v>
      </x:c>
      <x:c r="C37" s="234" t="inlineStr">
        <x:is>
          <x:t xml:space="preserve">Fixed seed for reproducibility.</x:t>
        </x:is>
      </x:c>
    </x:row>
    <x:row r="38" s="232" customFormat="1" ht="42" customHeight="1">
      <x:c r="A38" s="108" t="inlineStr">
        <x:is>
          <x:t xml:space="preserve">Random five-point groups</x:t>
        </x:is>
      </x:c>
      <x:c r="B38" s="234" t="n">
        <x:v>12000</x:v>
      </x:c>
      <x:c r="C38" s="234" t="inlineStr">
        <x:is>
          <x:t xml:space="preserve">Each group has 5 points uniformly sampled inside a 2.4:1 rectangle, approximating the observed constellation bounding-box aspect ratio.</x:t>
        </x:is>
      </x:c>
    </x:row>
    <x:row r="39" s="232" customFormat="1" ht="42" customHeight="1">
      <x:c r="A39" s="108" t="inlineStr">
        <x:is>
          <x:t xml:space="preserve">Independent null-pair comparisons</x:t>
        </x:is>
      </x:c>
      <x:c r="B39" s="234" t="n">
        <x:v>60000</x:v>
      </x:c>
      <x:c r="C39" s="234" t="inlineStr">
        <x:is>
          <x:t xml:space="preserve">Pairs of random group distance signatures; same 10-distance median normalization and sorting.</x:t>
        </x:is>
      </x:c>
    </x:row>
    <x:row r="40" s="232" customFormat="1" ht="42" customHeight="1">
      <x:c r="A40" s="108" t="inlineStr">
        <x:is>
          <x:t xml:space="preserve">Null median RMS difference</x:t>
        </x:is>
      </x:c>
      <x:c r="B40" s="234" t="n">
        <x:v>0.23814363</x:v>
      </x:c>
      <x:c r="C40" s="234" t="inlineStr">
        <x:is>
          <x:t xml:space="preserve">Median RMS separation between independent random signatures.</x:t>
        </x:is>
      </x:c>
    </x:row>
    <x:row r="41" s="232" customFormat="1" ht="42" customHeight="1">
      <x:c r="A41" s="108" t="inlineStr">
        <x:is>
          <x:t xml:space="preserve">Null 0.1th percentile</x:t>
        </x:is>
      </x:c>
      <x:c r="B41" s="234" t="n">
        <x:v>0.05208428</x:v>
      </x:c>
      <x:c r="C41" s="234" t="inlineStr">
        <x:is>
          <x:t xml:space="preserve">99.9% of simulated pair differences are at least this large.</x:t>
        </x:is>
      </x:c>
    </x:row>
    <x:row r="42" s="232" customFormat="1" ht="42" customHeight="1">
      <x:c r="A42" s="108" t="inlineStr">
        <x:is>
          <x:t xml:space="preserve">Lower-tail null pairs at/below observed distances</x:t>
        </x:is>
      </x:c>
      <x:c r="B42" s="234" t="inlineStr">
        <x:is>
          <x:t xml:space="preserve">6 of 60,000</x:t>
        </x:is>
      </x:c>
      <x:c r="C42" s="234" t="inlineStr">
        <x:is>
          <x:t xml:space="preserve">Add-one empirical p ≈ 0.000117 per pair; Bonferroni across 3 pairs ≈ 0.000350. Exploratory only because coordinate inputs are not independent pixel measurements.</x:t>
        </x:is>
      </x:c>
    </x:row>
    <x:row r="43" s="232" customFormat="1" ht="42" customHeight="1">
      <x:c r="A43" s="108" t="inlineStr">
        <x:is>
          <x:t xml:space="preserve">Interpretation warning</x:t>
        </x:is>
      </x:c>
      <x:c r="B43" s="234" t="inlineStr">
        <x:is>
          <x:t xml:space="preserve">NOT INFERENTIAL</x:t>
        </x:is>
      </x:c>
      <x:c r="C43" s="234" t="inlineStr">
        <x:is>
          <x:t xml:space="preserve">Legacy points are manually estimated and appear dependent: pages 24 and 40 have exactly the same x-coordinate set and an almost exact reflected y pattern. Coordinate construction, selection bias and all prior hypotheses were not controlled. Do not treat these p-values as evidence of encoding.</x:t>
        </x:is>
      </x:c>
    </x:row>
    <x:row r="45">
      <x:c r="A45" s="281" t="inlineStr">
        <x:is>
          <x:t xml:space="preserve">Research interpretation and next experiment</x:t>
        </x:is>
      </x:c>
      <x:c r="B45" s="1" t="n"/>
      <x:c r="C45" s="1" t="n"/>
      <x:c r="D45" s="1" t="n"/>
      <x:c r="E45" s="1" t="n"/>
      <x:c r="F45" s="1" t="n"/>
    </x:row>
    <x:row r="46">
      <x:c r="A46" s="105" t="inlineStr">
        <x:is>
          <x:t xml:space="preserve">Field</x:t>
        </x:is>
      </x:c>
      <x:c r="B46" s="105" t="inlineStr">
        <x:is>
          <x:t xml:space="preserve">Record</x:t>
        </x:is>
      </x:c>
    </x:row>
    <x:row r="47" s="232" customFormat="1" ht="56" customHeight="1">
      <x:c r="A47" s="108" t="inlineStr">
        <x:is>
          <x:t xml:space="preserve">Observed fact</x:t>
        </x:is>
      </x:c>
      <x:c r="B47" s="234" t="inlineStr">
        <x:is>
          <x:t xml:space="preserve">The source scans for 24.jpg, 40.jpg and 73.jpg are 2400×3600 pixels and visually contain five spatially arranged black dots.</x:t>
        </x:is>
      </x:c>
    </x:row>
    <x:row r="48" s="232" customFormat="1" ht="56" customHeight="1">
      <x:c r="A48" s="108" t="inlineStr">
        <x:is>
          <x:t xml:space="preserve">Preliminary result</x:t>
        </x:is>
      </x:c>
      <x:c r="B48" s="234" t="inlineStr">
        <x:is>
          <x:t xml:space="preserve">Legacy coordinate estimates produce almost identical normalized pairwise-distance signatures across all three pages.</x:t>
        </x:is>
      </x:c>
    </x:row>
    <x:row r="49" s="232" customFormat="1" ht="56" customHeight="1">
      <x:c r="A49" s="108" t="inlineStr">
        <x:is>
          <x:t xml:space="preserve">What this supports</x:t>
        </x:is>
      </x:c>
      <x:c r="B49" s="234" t="inlineStr">
        <x:is>
          <x:t xml:space="preserve">The three groups should be prioritized for an independent, image-pixel measurement pass.</x:t>
        </x:is>
      </x:c>
    </x:row>
    <x:row r="50" s="232" customFormat="1" ht="56" customHeight="1">
      <x:c r="A50" s="108" t="inlineStr">
        <x:is>
          <x:t xml:space="preserve">What this does not support</x:t>
        </x:is>
      </x:c>
      <x:c r="B50" s="234" t="inlineStr">
        <x:is>
          <x:t xml:space="preserve">No confirmed geometric key, cipher relationship, encoding, decryption or statistically valid significance claim has been established.</x:t>
        </x:is>
      </x:c>
    </x:row>
    <x:row r="51" s="232" customFormat="1" ht="56" customHeight="1">
      <x:c r="A51" s="108" t="inlineStr">
        <x:is>
          <x:t xml:space="preserve">Specific blocker</x:t>
        </x:is>
      </x:c>
      <x:c r="B51" s="234" t="inlineStr">
        <x:is>
          <x:t xml:space="preserve">The runtime could retrieve and visually render primary scans through the GitHub connector, but could not clone/download the original JPEG byte streams into the local image-processing workspace. Therefore, pixel-threshold/connected-component centroid extraction could not honestly be completed in this pass.</x:t>
        </x:is>
      </x:c>
    </x:row>
    <x:row r="52" s="232" customFormat="1" ht="56" customHeight="1">
      <x:c r="A52" s="108" t="inlineStr">
        <x:is>
          <x:t xml:space="preserve">Next experiment</x:t>
        </x:is>
      </x:c>
      <x:c r="B52" s="234" t="inlineStr">
        <x:is>
          <x:t xml:space="preserve">Run /mnt/data/measure_constellations.py against exact local originals 24.jpg, 40.jpg, 73.jpg; verify Git blob SHA and 2400×3600 raster; review all candidate components and threshold sensitivity; only then compute measured signatures and controls.</x:t>
        </x:is>
      </x:c>
    </x:row>
    <x:row r="54" s="232" customFormat="1" ht="34" customHeight="1">
      <x:c r="A54" s="285" t="inlineStr">
        <x:is>
          <x:t xml:space="preserve">Additional shape-alignment diagnostic (legacy estimates only)</x:t>
        </x:is>
      </x:c>
      <x:c r="B54" s="1" t="n"/>
      <x:c r="C54" s="1" t="n"/>
      <x:c r="D54" s="1" t="n"/>
      <x:c r="E54" s="1" t="n"/>
      <x:c r="F54" s="1" t="n"/>
    </x:row>
    <x:row r="55" s="232" customFormat="1" ht="34" customHeight="1">
      <x:c r="A55" s="125" t="inlineStr">
        <x:is>
          <x:t xml:space="preserve">Page pair</x:t>
        </x:is>
      </x:c>
      <x:c r="B55" s="125" t="inlineStr">
        <x:is>
          <x:t xml:space="preserve">Best normalized Procrustes RMS point error</x:t>
        </x:is>
      </x:c>
      <x:c r="C55" s="125" t="inlineStr">
        <x:is>
          <x:t xml:space="preserve">Point correspondence search</x:t>
        </x:is>
      </x:c>
      <x:c r="D55" s="125" t="inlineStr">
        <x:is>
          <x:t xml:space="preserve">Reflection allowed</x:t>
        </x:is>
      </x:c>
      <x:c r="E55" s="125" t="inlineStr">
        <x:is>
          <x:t xml:space="preserve">Status</x:t>
        </x:is>
      </x:c>
      <x:c r="F55" s="125" t="inlineStr">
        <x:is>
          <x:t xml:space="preserve">Interpretation</x:t>
        </x:is>
      </x:c>
    </x:row>
    <x:row r="56" s="232" customFormat="1" ht="34" customHeight="1">
      <x:c r="A56" s="234" t="inlineStr">
        <x:is>
          <x:t xml:space="preserve">24–40</x:t>
        </x:is>
      </x:c>
      <x:c r="B56" s="234" t="n">
        <x:v>0.00151789</x:v>
      </x:c>
      <x:c r="C56" s="234" t="inlineStr">
        <x:is>
          <x:t xml:space="preserve">All 5! = 120 point permutations searched</x:t>
        </x:is>
      </x:c>
      <x:c r="D56" s="234" t="inlineStr">
        <x:is>
          <x:t xml:space="preserve">Yes</x:t>
        </x:is>
      </x:c>
      <x:c r="E56" s="234" t="inlineStr">
        <x:is>
          <x:t xml:space="preserve">NOT INFERENTIAL</x:t>
        </x:is>
      </x:c>
      <x:c r="F56" s="234" t="inlineStr">
        <x:is>
          <x:t xml:space="preserve">Extremely close fitted alignment, expected to be optimistic because point correspondence is optimized; coordinate estimates remain dependent.</x:t>
        </x:is>
      </x:c>
    </x:row>
    <x:row r="57" s="232" customFormat="1" ht="34" customHeight="1">
      <x:c r="A57" s="234" t="inlineStr">
        <x:is>
          <x:t xml:space="preserve">24–73</x:t>
        </x:is>
      </x:c>
      <x:c r="B57" s="234" t="n">
        <x:v>0.00261234</x:v>
      </x:c>
      <x:c r="C57" s="234" t="inlineStr">
        <x:is>
          <x:t xml:space="preserve">All 5! = 120 point permutations searched</x:t>
        </x:is>
      </x:c>
      <x:c r="D57" s="234" t="inlineStr">
        <x:is>
          <x:t xml:space="preserve">Yes</x:t>
        </x:is>
      </x:c>
      <x:c r="E57" s="234" t="inlineStr">
        <x:is>
          <x:t xml:space="preserve">NOT INFERENTIAL</x:t>
        </x:is>
      </x:c>
      <x:c r="F57" s="234" t="inlineStr">
        <x:is>
          <x:t xml:space="preserve">Very close fitted alignment on legacy estimates; not a test of cipher relevance and not pixel-measured.</x:t>
        </x:is>
      </x:c>
    </x:row>
    <x:row r="58" s="232" customFormat="1" ht="34" customHeight="1">
      <x:c r="A58" s="234" t="inlineStr">
        <x:is>
          <x:t xml:space="preserve">40–73</x:t>
        </x:is>
      </x:c>
      <x:c r="B58" s="234" t="n">
        <x:v>0.0026817</x:v>
      </x:c>
      <x:c r="C58" s="234" t="inlineStr">
        <x:is>
          <x:t xml:space="preserve">All 5! = 120 point permutations searched</x:t>
        </x:is>
      </x:c>
      <x:c r="D58" s="234" t="inlineStr">
        <x:is>
          <x:t xml:space="preserve">Yes</x:t>
        </x:is>
      </x:c>
      <x:c r="E58" s="234" t="inlineStr">
        <x:is>
          <x:t xml:space="preserve">NOT INFERENTIAL</x:t>
        </x:is>
      </x:c>
      <x:c r="F58" s="234" t="inlineStr">
        <x:is>
          <x:t xml:space="preserve">Very close fitted alignment on legacy estimates; do not treat as independent confirmation of the distance-signature result.</x:t>
        </x:is>
      </x:c>
    </x:row>
    <x:row r="60" s="232" customFormat="1" ht="42" customHeight="1">
      <x:c r="A60" s="286" t="inlineStr">
        <x:is>
          <x:t xml:space="preserve">Coordinate-estimate jitter sensitivity (exploratory, not a significance test)</x:t>
        </x:is>
      </x:c>
      <x:c r="B60" s="1" t="n"/>
      <x:c r="C60" s="1" t="n"/>
      <x:c r="D60" s="1" t="n"/>
      <x:c r="E60" s="1" t="n"/>
      <x:c r="F60" s="1" t="n"/>
    </x:row>
    <x:row r="61" s="232" customFormat="1" ht="42" customHeight="1">
      <x:c r="A61" s="146" t="inlineStr">
        <x:is>
          <x:t xml:space="preserve">Page pair</x:t>
        </x:is>
      </x:c>
      <x:c r="B61" s="146" t="inlineStr">
        <x:is>
          <x:t xml:space="preserve">Observed signature RMS (legacy estimates)</x:t>
        </x:is>
      </x:c>
      <x:c r="C61" s="146" t="inlineStr">
        <x:is>
          <x:t xml:space="preserve">Jitter median RMS</x:t>
        </x:is>
      </x:c>
      <x:c r="D61" s="146" t="inlineStr">
        <x:is>
          <x:t xml:space="preserve">Jitter 5th–95th percentile</x:t>
        </x:is>
      </x:c>
      <x:c r="E61" s="146" t="inlineStr">
        <x:is>
          <x:t xml:space="preserve">Fraction jitter ≤ observed</x:t>
        </x:is>
      </x:c>
      <x:c r="F61" s="146" t="inlineStr">
        <x:is>
          <x:t xml:space="preserve">Method / interpretation</x:t>
        </x:is>
      </x:c>
    </x:row>
    <x:row r="62" s="232" customFormat="1" ht="42" customHeight="1">
      <x:c r="A62" s="234" t="inlineStr">
        <x:is>
          <x:t xml:space="preserve">24–40</x:t>
        </x:is>
      </x:c>
      <x:c r="B62" s="287" t="n">
        <x:v>0.00230921</x:v>
      </x:c>
      <x:c r="C62" s="287" t="n">
        <x:v>0.01226531</x:v>
      </x:c>
      <x:c r="D62" s="288" t="inlineStr">
        <x:is>
          <x:t xml:space="preserve">0.00634293–0.02211953</x:t>
        </x:is>
      </x:c>
      <x:c r="E62" s="289" t="n">
        <x:v>0.0002</x:v>
      </x:c>
      <x:c r="F62" s="234" t="inlineStr">
        <x:is>
          <x:t xml:space="preserve">5,000 replicates; independently jitter each x/y estimate by uniform ±2 display px. 1/5,000 replicate was as close or closer.</x:t>
        </x:is>
      </x:c>
    </x:row>
    <x:row r="63" s="232" customFormat="1" ht="42" customHeight="1">
      <x:c r="A63" s="234" t="inlineStr">
        <x:is>
          <x:t xml:space="preserve">24–73</x:t>
        </x:is>
      </x:c>
      <x:c r="B63" s="287" t="n">
        <x:v>0.00444091</x:v>
      </x:c>
      <x:c r="C63" s="287" t="n">
        <x:v>0.01277408</x:v>
      </x:c>
      <x:c r="D63" s="288" t="inlineStr">
        <x:is>
          <x:t xml:space="preserve">0.00642969–0.02273352</x:t>
        </x:is>
      </x:c>
      <x:c r="E63" s="289" t="n">
        <x:v>0.0068</x:v>
      </x:c>
      <x:c r="F63" s="234" t="inlineStr">
        <x:is>
          <x:t xml:space="preserve">5,000 replicates; independently jitter each x/y estimate by uniform ±2 display px. 34/5,000 replicates were as close or closer.</x:t>
        </x:is>
      </x:c>
    </x:row>
    <x:row r="64" s="232" customFormat="1" ht="42" customHeight="1">
      <x:c r="A64" s="234" t="inlineStr">
        <x:is>
          <x:t xml:space="preserve">40–73</x:t>
        </x:is>
      </x:c>
      <x:c r="B64" s="287" t="n">
        <x:v>0.00542986</x:v>
      </x:c>
      <x:c r="C64" s="287" t="n">
        <x:v>0.01297994</x:v>
      </x:c>
      <x:c r="D64" s="288" t="inlineStr">
        <x:is>
          <x:t xml:space="preserve">0.00663828–0.02313272</x:t>
        </x:is>
      </x:c>
      <x:c r="E64" s="289" t="n">
        <x:v>0.0178</x:v>
      </x:c>
      <x:c r="F64" s="234" t="inlineStr">
        <x:is>
          <x:t xml:space="preserve">5,000 replicates; independently jitter each x/y estimate by uniform ±2 display px. 89/5,000 replicates were as close or closer.</x:t>
        </x:is>
      </x:c>
    </x:row>
    <x:row r="65" s="232" customFormat="1" ht="42" customHeight="1">
      <x:c r="A65" s="283" t="inlineStr">
        <x:is>
          <x:t xml:space="preserve">Jitter model</x:t>
        </x:is>
      </x:c>
      <x:c r="B65" s="1" t="n"/>
      <x:c r="C65" s="234" t="n"/>
      <x:c r="D65" s="234" t="n"/>
      <x:c r="E65" s="234" t="n"/>
      <x:c r="F65" s="234" t="inlineStr">
        <x:is>
          <x:t xml:space="preserve">The ±2-pixel amount is an assumed sensitivity scale, not measured annotation uncertainty.</x:t>
        </x:is>
      </x:c>
    </x:row>
    <x:row r="66" s="232" customFormat="1" ht="42" customHeight="1">
      <x:c r="A66" s="283" t="inlineStr">
        <x:is>
          <x:t xml:space="preserve">Interpretation warning</x:t>
        </x:is>
      </x:c>
      <x:c r="B66" s="1" t="n"/>
      <x:c r="C66" s="234" t="n"/>
      <x:c r="D66" s="234" t="n"/>
      <x:c r="E66" s="234" t="n"/>
      <x:c r="F66" s="234" t="inlineStr">
        <x:is>
          <x:t xml:space="preserve">This is as consistent with dependent/constructed estimates as with truly repeated geometry. The exact shared x coordinates on pages 24/40 and near-perfect y reflection are a critical confound. NOT EVIDENCE of a cipher.</x:t>
        </x:is>
      </x:c>
    </x:row>
    <x:row r="68">
      <x:c r="A68" s="290" t="str"/>
      <x:c r="B68" s="1" t="n"/>
    </x:row>
    <x:row r="69">
      <x:c r="A69" s="290" t="inlineStr">
        <x:is>
          <x:t xml:space="preserve">Connector-based retrieval and source audit — 2026-10-09</x:t>
        </x:is>
      </x:c>
      <x:c r="B69" s="1" t="n"/>
    </x:row>
    <x:row r="70">
      <x:c r="A70" s="161" t="inlineStr">
        <x:is>
          <x:t xml:space="preserve">Check</x:t>
        </x:is>
      </x:c>
      <x:c r="B70" s="161" t="inlineStr">
        <x:is>
          <x:t xml:space="preserve">Result / limitation</x:t>
        </x:is>
      </x:c>
    </x:row>
    <x:row r="71">
      <x:c r="A71" s="234" t="inlineStr">
        <x:is>
          <x:t xml:space="preserve">Local repository clone</x:t>
        </x:is>
      </x:c>
      <x:c r="B71" s="234" t="inlineStr">
        <x:is>
          <x:t xml:space="preserve">BLOCKED: git clone https://github.com/mrfentmen/annotated-pages.git failed with 'Could not resolve host: github.com'. A second direct-IP HTTPS attempt failed to connect; local outbound network is unavailable.</x:t>
        </x:is>
      </x:c>
    </x:row>
    <x:row r="72">
      <x:c r="A72" s="234" t="inlineStr">
        <x:is>
          <x:t xml:space="preserve">GitHub repository audit</x:t>
        </x:is>
      </x:c>
      <x:c r="B72" s="234" t="inlineStr">
        <x:is>
          <x:t xml:space="preserve">PASS via GitHub integration. Recursive tree is not truncated and contains 28 files: 26 annotated JPEGs plus cicadadataset.csv and liber_primus_visual_master_dataset_v0_3.xlsx. No README or measure_constellations.py is present in the current repository tree.</x:t>
        </x:is>
      </x:c>
    </x:row>
    <x:row r="73">
      <x:c r="A73" s="234" t="inlineStr">
        <x:is>
          <x:t xml:space="preserve">CSV integrity</x:t>
        </x:is>
      </x:c>
      <x:c r="B73" s="234" t="inlineStr">
        <x:is>
          <x:t xml:space="preserve">PASS: fetched/materialized CSV is 10,368 bytes; computed Git blob SHA-1 matches repository blob dde2e5f229e1dda6b4311a55264e92e66f44f922.</x:t>
        </x:is>
      </x:c>
    </x:row>
    <x:row r="74">
      <x:c r="A74" s="234" t="inlineStr">
        <x:is>
          <x:t xml:space="preserve">Workbook integrity</x:t>
        </x:is>
      </x:c>
      <x:c r="B74" s="234" t="inlineStr">
        <x:is>
          <x:t xml:space="preserve">PASS: v0.3 workbook is 66,104 bytes; computed Git blob SHA-1 matches repository blob 1e7c9bdb7d29ce17dc3c5adbcccf712073a2bc86.</x:t>
        </x:is>
      </x:c>
    </x:row>
    <x:row r="75">
      <x:c r="A75" s="234" t="inlineStr">
        <x:is>
          <x:t xml:space="preserve">Original JPEG byte-stream integrity</x:t>
        </x:is>
      </x:c>
      <x:c r="B75" s="234" t="inlineStr">
        <x:is>
          <x:t xml:space="preserve">PASS via connector retrieval: each source JPEG's computed Git blob SHA-1 matches GitHub. Pages 24, 40, 73 are 2400 × 3600 pixels as read from their JPEG SOF0 headers. Exact stream byte lengths and source hashes are in Source Visual Audit.</x:t>
        </x:is>
      </x:c>
    </x:row>
    <x:row r="76">
      <x:c r="A76" s="234" t="inlineStr">
        <x:is>
          <x:t xml:space="preserve">Annotated JPEG byte-stream integrity</x:t>
        </x:is>
      </x:c>
      <x:c r="B76" s="234" t="inlineStr">
        <x:is>
          <x:t xml:space="preserve">PASS via connector retrieval: annotated page 24, 40, 73 streams also match their GitHub blob hashes and report 2400 × 3600 pixels.</x:t>
        </x:is>
      </x:c>
    </x:row>
    <x:row r="77">
      <x:c r="A77" s="234" t="inlineStr">
        <x:is>
          <x:t xml:space="preserve">Annotation-to-dot label mapping</x:t>
        </x:is>
      </x:c>
      <x:c r="B77" s="234" t="inlineStr">
        <x:is>
          <x:t xml:space="preserve">VISUALLY CROSS-CHECKED against the original and annotated page renderings. Labels map to the physical positions recorded in Source Visual Audit. Coordinate values remain legacy render estimates.</x:t>
        </x:is>
      </x:c>
    </x:row>
    <x:row r="78">
      <x:c r="A78" s="234" t="inlineStr">
        <x:is>
          <x:t xml:space="preserve">Pixel centroid extraction</x:t>
        </x:is>
      </x:c>
      <x:c r="B78" s="234" t="inlineStr">
        <x:is>
          <x:t xml:space="preserve">At the time of the pre-measurement audit, pixel extraction had not run. Superseded by the in-memory source-pixel measurements recorded below and in Measured Centroids.</x:t>
        </x:is>
      </x:c>
    </x:row>
    <x:row r="79">
      <x:c r="A79" s="234" t="inlineStr">
        <x:is>
          <x:t xml:space="preserve">Approximate shape correspondences</x:t>
        </x:is>
      </x:c>
      <x:c r="B79" s="234" t="inlineStr">
        <x:is>
          <x:t xml:space="preserve">RECOMPUTED from the legacy 992 × 1488 displayed-image coordinate estimates only. See Source Visual Audit. Results are exploratory; coordinates remain dependent estimates and do not support inference about an intentional encoding.</x:t>
        </x:is>
      </x:c>
    </x:row>
    <x:row r="80">
      <x:c r="A80" s="234" t="inlineStr">
        <x:is>
          <x:t xml:space="preserve">Decision</x:t>
        </x:is>
      </x:c>
      <x:c r="B80" s="234" t="inlineStr">
        <x:is>
          <x:t xml:space="preserve">Historic decision before source-pixel measurement. Current status: the five-dot recurrence is supported geometrically but is not a cipher solution; see Measured Geometry.</x:t>
        </x:is>
      </x:c>
    </x:row>
    <x:row r="82">
      <x:c r="A82" s="291" t="inlineStr">
        <x:is>
          <x:t xml:space="preserve">MEASURED SOURCE-PIXEL UPDATE — 2026-10-09</x:t>
        </x:is>
      </x:c>
      <x:c r="B82" s="1" t="n"/>
      <x:c r="C82" s="1" t="n"/>
      <x:c r="D82" s="1" t="n"/>
      <x:c r="E82" s="1" t="n"/>
      <x:c r="F82" s="1" t="n"/>
      <x:c r="G82" s="1" t="n"/>
      <x:c r="H82" s="1" t="n"/>
      <x:c r="I82" s="1" t="n"/>
      <x:c r="J82" s="1" t="n"/>
      <x:c r="K82" s="1" t="n"/>
    </x:row>
    <x:row r="83" s="232" customFormat="1" ht="38" customHeight="1">
      <x:c r="A83" s="13" t="inlineStr">
        <x:is>
          <x:t xml:space="preserve">Original GitHub image streams for pages 24, 40, 73 were decoded in-memory after SHA/dimension verification. This resolves the centroid-measurement gap for the five-dot pilot, although local source-image materialization and independent decoder cross-check remain pending.</x:t>
        </x:is>
      </x:c>
      <x:c r="B83" s="1" t="n"/>
      <x:c r="C83" s="1" t="n"/>
      <x:c r="D83" s="1" t="n"/>
      <x:c r="E83" s="1" t="n"/>
      <x:c r="F83" s="1" t="n"/>
      <x:c r="G83" s="1" t="n"/>
      <x:c r="H83" s="1" t="n"/>
      <x:c r="I83" s="1" t="n"/>
      <x:c r="J83" s="1" t="n"/>
      <x:c r="K83" s="1" t="n"/>
    </x:row>
    <x:row r="85">
      <x:c r="A85" s="181" t="inlineStr">
        <x:is>
          <x:t xml:space="preserve">Measured check</x:t>
        </x:is>
      </x:c>
      <x:c r="B85" s="181" t="inlineStr">
        <x:is>
          <x:t xml:space="preserve">Result</x:t>
        </x:is>
      </x:c>
    </x:row>
    <x:row r="86">
      <x:c r="A86" s="233" t="inlineStr">
        <x:is>
          <x:t xml:space="preserve">Target dots</x:t>
        </x:is>
      </x:c>
      <x:c r="B86" s="233" t="inlineStr">
        <x:is>
          <x:t xml:space="preserve">15/15 target dots, all successfully measured at four thresholds (60/60 qualifying component checks).</x:t>
        </x:is>
      </x:c>
    </x:row>
    <x:row r="87">
      <x:c r="A87" s="233" t="inlineStr">
        <x:is>
          <x:t xml:space="preserve">Threshold stability</x:t>
        </x:is>
      </x:c>
      <x:c r="B87" s="233" t="inlineStr">
        <x:is>
          <x:t xml:space="preserve">Maximum centroid shift from threshold 60 = 0.174 source px; median per-dot maximum shift = 0.051 source px.</x:t>
        </x:is>
      </x:c>
    </x:row>
    <x:row r="88">
      <x:c r="A88" s="233" t="inlineStr">
        <x:is>
          <x:t xml:space="preserve">Repeated geometry</x:t>
        </x:is>
      </x:c>
      <x:c r="B88" s="233" t="inlineStr">
        <x:is>
          <x:t xml:space="preserve">Measured signatures: page 24–40 RMS 0.00007092; 24–73 RMS 0.00061920; 40–73 RMS 0.00064730.</x:t>
        </x:is>
      </x:c>
    </x:row>
    <x:row r="89">
      <x:c r="A89" s="233" t="inlineStr">
        <x:is>
          <x:t xml:space="preserve">24↔40 transform</x:t>
        </x:is>
      </x:c>
      <x:c r="B89" s="233" t="inlineStr">
        <x:is>
          <x:t xml:space="preserve">Vertical reflection; x offset 0.000082 px, y-sum constant 3674.018 px; RMS residual 0.037 px, max 0.074 px.</x:t>
        </x:is>
      </x:c>
    </x:row>
    <x:row r="90">
      <x:c r="A90" s="233" t="inlineStr">
        <x:is>
          <x:t xml:space="preserve">40↔73 transform</x:t>
        </x:is>
      </x:c>
      <x:c r="B90" s="233" t="inlineStr">
        <x:is>
          <x:t xml:space="preserve">180° rotation; x-sum 2400.627 px, y-sum 3254.661 px; RMS residual 0.263 px, max 0.346 px.</x:t>
        </x:is>
      </x:c>
    </x:row>
    <x:row r="91">
      <x:c r="A91" s="233" t="inlineStr">
        <x:is>
          <x:t xml:space="preserve">24↔73 transform</x:t>
        </x:is>
      </x:c>
      <x:c r="B91" s="233" t="inlineStr">
        <x:is>
          <x:t xml:space="preserve">Horizontal reflection plus vertical translation; x-sum 2400.627 px, y-offset −419.358 px; RMS residual 0.246 px, max 0.316 px.</x:t>
        </x:is>
      </x:c>
    </x:row>
    <x:row r="92">
      <x:c r="A92" s="233" t="inlineStr">
        <x:is>
          <x:t xml:space="preserve">Exploratory random control</x:t>
        </x:is>
      </x:c>
      <x:c r="B92" s="233" t="inlineStr">
        <x:is>
          <x:t xml:space="preserve">0/250,000 random signature-pair comparisons at or below each observed signature difference. Lower-tail floor ≈4×10⁻⁶ per pair under a simple uniform-rectangle control; not an inferential p-value.</x:t>
        </x:is>
      </x:c>
    </x:row>
    <x:row r="93">
      <x:c r="A93" s="233" t="inlineStr">
        <x:is>
          <x:t xml:space="preserve">Interpretation</x:t>
        </x:is>
      </x:c>
      <x:c r="B93" s="233" t="inlineStr">
        <x:is>
          <x:t xml:space="preserve">Strong evidence the three groups reuse one five-dot geometric template. This does not demonstrate a key, mapping, or decryption.</x:t>
        </x:is>
      </x:c>
    </x:row>
    <x:row r="94">
      <x:c r="A94" s="233" t="inlineStr">
        <x:is>
          <x:t xml:space="preserve">Next test</x:t>
        </x:is>
      </x:c>
      <x:c r="B94" s="233" t="inlineStr">
        <x:is>
          <x:t xml:space="preserve">Next test: measure the three-dot rows on pages 50 and 56 and the paired page 57 plant clusters; first cross-validate the custom JPEG-derived centroids with a second decoder. Keep page 68 and 39 as nonmatching contextual controls unless a class-based explanation changes the selection.</x:t>
        </x:is>
      </x:c>
    </x:row>
    <x:row r="96">
      <x:c r="A96" s="292" t="inlineStr">
        <x:is>
          <x:t xml:space="preserve">CONTEXTUAL CONTROL UPDATE — 2026-10-09</x:t>
        </x:is>
      </x:c>
      <x:c r="B96" s="1" t="n"/>
      <x:c r="C96" s="1" t="n"/>
      <x:c r="D96" s="1" t="n"/>
      <x:c r="E96" s="1" t="n"/>
      <x:c r="F96" s="1" t="n"/>
      <x:c r="G96" s="1" t="n"/>
      <x:c r="H96" s="1" t="n"/>
      <x:c r="I96" s="1" t="n"/>
      <x:c r="J96" s="1" t="n"/>
      <x:c r="K96" s="1" t="n"/>
    </x:row>
    <x:row r="97" s="232" customFormat="1" ht="45" customHeight="1">
      <x:c r="A97" s="283" t="inlineStr">
        <x:is>
          <x:t xml:space="preserve">Pages 50 and 56: their three-dot rows align under same-order scale-and-translate fit (scale 0.469437 from p50 to p56; RMS residual 0.0226 px; maximum 0.0318 px). Adjacent-gap fractions agree to ~0.00016. Dot-size ratio is ~2.122, consistent with resized reuse.</x:t>
        </x:is>
      </x:c>
      <x:c r="B97" s="1" t="n"/>
      <x:c r="C97" s="1" t="n"/>
      <x:c r="D97" s="1" t="n"/>
      <x:c r="E97" s="1" t="n"/>
      <x:c r="F97" s="1" t="n"/>
      <x:c r="G97" s="1" t="n"/>
      <x:c r="H97" s="1" t="n"/>
      <x:c r="I97" s="1" t="n"/>
      <x:c r="J97" s="1" t="n"/>
      <x:c r="K97" s="1" t="n"/>
    </x:row>
    <x:row r="98" s="232" customFormat="1" ht="45" customHeight="1">
      <x:c r="A98" s="283" t="inlineStr">
        <x:is>
          <x:t xml:space="preserve">Pages 57 and 68: right-side five-dot plant/petal-adjacent clusters have exactly matching reported centroids, component areas, and bounding boxes at thresholds 40/60/80/100; source-page hashes differ, so this is evidence of reused decorative artwork, not identical whole images.</x:t>
        </x:is>
      </x:c>
      <x:c r="B98" s="1" t="n"/>
      <x:c r="C98" s="1" t="n"/>
      <x:c r="D98" s="1" t="n"/>
      <x:c r="E98" s="1" t="n"/>
      <x:c r="F98" s="1" t="n"/>
      <x:c r="G98" s="1" t="n"/>
      <x:c r="H98" s="1" t="n"/>
      <x:c r="I98" s="1" t="n"/>
      <x:c r="J98" s="1" t="n"/>
      <x:c r="K98" s="1" t="n"/>
    </x:row>
    <x:row r="99" s="232" customFormat="1" ht="45" customHeight="1">
      <x:c r="A99" s="283" t="inlineStr">
        <x:is>
          <x:t xml:space="preserve">Pages 68 and 39 remain negative contextual controls for the isolated five-dot 24/40/73 template: p68 signature RMS ≈0.1913 from each target; best page-39 5-of-6 subset RMS ≈0.1051, compared with target-template signature distances ≤0.000348 under the same normalized metric.</x:t>
        </x:is>
      </x:c>
      <x:c r="B99" s="1" t="n"/>
      <x:c r="C99" s="1" t="n"/>
      <x:c r="D99" s="1" t="n"/>
      <x:c r="E99" s="1" t="n"/>
      <x:c r="F99" s="1" t="n"/>
      <x:c r="G99" s="1" t="n"/>
      <x:c r="H99" s="1" t="n"/>
      <x:c r="I99" s="1" t="n"/>
      <x:c r="J99" s="1" t="n"/>
      <x:c r="K99" s="1" t="n"/>
    </x:row>
    <x:row r="100" s="232" customFormat="1" ht="45" customHeight="1">
      <x:c r="A100" s="283" t="inlineStr">
        <x:is>
          <x:t xml:space="preserve">Next: independently cross-validate custom JPEG-derived centroids with a second decoder, then test other dot groups by predeclared feature class and correspondence rules. No dot-to-rune mapping is justified yet.</x:t>
        </x:is>
      </x:c>
      <x:c r="B100" s="1" t="n"/>
      <x:c r="C100" s="1" t="n"/>
      <x:c r="D100" s="1" t="n"/>
      <x:c r="E100" s="1" t="n"/>
      <x:c r="F100" s="1" t="n"/>
      <x:c r="G100" s="1" t="n"/>
      <x:c r="H100" s="1" t="n"/>
      <x:c r="I100" s="1" t="n"/>
      <x:c r="J100" s="1" t="n"/>
      <x:c r="K100" s="1" t="n"/>
    </x:row>
  </x:sheetData>
  <x:mergeCells>
    <x:mergeCell ref="A54:F54"/>
    <x:mergeCell ref="A83:K83"/>
    <x:mergeCell ref="A17:G17"/>
    <x:mergeCell ref="A82:K82"/>
    <x:mergeCell ref="A98:K98"/>
    <x:mergeCell ref="A1:K1"/>
    <x:mergeCell ref="A69:B69"/>
    <x:mergeCell ref="A65:B65"/>
    <x:mergeCell ref="A66:B66"/>
    <x:mergeCell ref="A99:K99"/>
    <x:mergeCell ref="A35:C35"/>
    <x:mergeCell ref="A2:K2"/>
    <x:mergeCell ref="A23:K23"/>
    <x:mergeCell ref="A4:B4"/>
    <x:mergeCell ref="A97:K97"/>
    <x:mergeCell ref="A60:F60"/>
    <x:mergeCell ref="A100:K100"/>
    <x:mergeCell ref="A96:K96"/>
    <x:mergeCell ref="A68:B68"/>
    <x:mergeCell ref="A45:F45"/>
    <x:mergeCell ref="A28:K28"/>
  </x:mergeCells>
  <x:pageMargins left="0.7" right="0.7" top="0.75" bottom="0.75" header="0.3" footer="0.3"/>
</x:worksheet>
</file>

<file path=xl/worksheets/sheet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34" style="232" customWidth="1"/>
    <x:col min="2" max="2" width="105" style="232" customWidth="1"/>
    <x:col min="3" max="3" width="70" style="232" customWidth="1"/>
    <x:col min="4" max="4" width="13" style="232" customWidth="1"/>
    <x:col min="5" max="5" width="13" style="232" customWidth="1"/>
    <x:col min="6" max="6" width="13" style="232" customWidth="1"/>
    <x:col min="7" max="7" width="13" style="232" customWidth="1"/>
    <x:col min="8" max="8" width="13" style="232" customWidth="1"/>
    <x:col min="9" max="9" width="13" style="232" customWidth="1"/>
    <x:col min="10" max="10" width="43" style="232" customWidth="1"/>
  </x:cols>
  <x:sheetData>
    <x:row r="1" s="232" customFormat="1" ht="29" customHeight="1">
      <x:c r="A1" s="293" t="inlineStr">
        <x:is>
          <x:t xml:space="preserve">Five-Dot Pilot — Pixel Measurement Protocol</x:t>
        </x:is>
      </x:c>
      <x:c r="B1" s="1" t="n"/>
      <x:c r="C1" s="1" t="n"/>
      <x:c r="D1" s="1" t="n"/>
      <x:c r="E1" s="1" t="n"/>
      <x:c r="F1" s="1" t="n"/>
      <x:c r="G1" s="1" t="n"/>
      <x:c r="H1" s="1" t="n"/>
      <x:c r="I1" s="1" t="n"/>
      <x:c r="J1" s="1" t="n"/>
    </x:row>
    <x:row r="2" s="232" customFormat="1" ht="48" customHeight="1">
      <x:c r="A2" s="294" t="inlineStr">
        <x:is>
          <x:t xml:space="preserve">Status: the pre-existing Python extraction script was not run because original JPEGs could not be materialized locally. Dot centroids were nevertheless measured from the verified connector-returned JPEG streams using an in-memory baseline-JPEG luminance decoder; see Measured Centroids and Measured Geometry. Cross-validation against a second JPEG decoder remains pending.</x:t>
        </x:is>
      </x:c>
      <x:c r="B2" s="1" t="n"/>
      <x:c r="C2" s="1" t="n"/>
      <x:c r="D2" s="1" t="n"/>
      <x:c r="E2" s="1" t="n"/>
      <x:c r="F2" s="1" t="n"/>
      <x:c r="G2" s="1" t="n"/>
      <x:c r="H2" s="1" t="n"/>
      <x:c r="I2" s="1" t="n"/>
      <x:c r="J2" s="1" t="n"/>
    </x:row>
    <x:row r="4" s="232" customFormat="1" ht="38" customHeight="1">
      <x:c r="A4" s="125" t="inlineStr">
        <x:is>
          <x:t xml:space="preserve">Page</x:t>
        </x:is>
      </x:c>
      <x:c r="B4" s="125" t="inlineStr">
        <x:is>
          <x:t xml:space="preserve">Original file</x:t>
        </x:is>
      </x:c>
      <x:c r="C4" s="125" t="inlineStr">
        <x:is>
          <x:t xml:space="preserve">Width px</x:t>
        </x:is>
      </x:c>
      <x:c r="D4" s="125" t="inlineStr">
        <x:is>
          <x:t xml:space="preserve">Height px</x:t>
        </x:is>
      </x:c>
      <x:c r="E4" s="125" t="inlineStr">
        <x:is>
          <x:t xml:space="preserve">ROI x0</x:t>
        </x:is>
      </x:c>
      <x:c r="F4" s="125" t="inlineStr">
        <x:is>
          <x:t xml:space="preserve">ROI y0</x:t>
        </x:is>
      </x:c>
      <x:c r="G4" s="125" t="inlineStr">
        <x:is>
          <x:t xml:space="preserve">ROI x1</x:t>
        </x:is>
      </x:c>
      <x:c r="H4" s="125" t="inlineStr">
        <x:is>
          <x:t xml:space="preserve">ROI y1</x:t>
        </x:is>
      </x:c>
      <x:c r="I4" s="125" t="inlineStr">
        <x:is>
          <x:t xml:space="preserve">Expected points</x:t>
        </x:is>
      </x:c>
      <x:c r="J4" s="125" t="inlineStr">
        <x:is>
          <x:t xml:space="preserve">Source Git blob SHA</x:t>
        </x:is>
      </x:c>
    </x:row>
    <x:row r="5" s="232" customFormat="1" ht="34" customHeight="1">
      <x:c r="A5" s="233" t="n">
        <x:v>24</x:v>
      </x:c>
      <x:c r="B5" s="233" t="inlineStr">
        <x:is>
          <x:t xml:space="preserve">24.jpg</x:t>
        </x:is>
      </x:c>
      <x:c r="C5" s="233" t="n">
        <x:v>2400</x:v>
      </x:c>
      <x:c r="D5" s="233" t="n">
        <x:v>3600</x:v>
      </x:c>
      <x:c r="E5" s="233" t="n">
        <x:v>650</x:v>
      </x:c>
      <x:c r="F5" s="233" t="n">
        <x:v>2700</x:v>
      </x:c>
      <x:c r="G5" s="233" t="n">
        <x:v>1700</x:v>
      </x:c>
      <x:c r="H5" s="233" t="n">
        <x:v>3300</x:v>
      </x:c>
      <x:c r="I5" s="233" t="n">
        <x:v>5</x:v>
      </x:c>
      <x:c r="J5" s="233" t="inlineStr">
        <x:is>
          <x:t xml:space="preserve">2b4e09dbad1a9c602a2919864b1a84f49d7ff501</x:t>
        </x:is>
      </x:c>
    </x:row>
    <x:row r="6" s="232" customFormat="1" ht="34" customHeight="1">
      <x:c r="A6" s="233" t="n">
        <x:v>40</x:v>
      </x:c>
      <x:c r="B6" s="233" t="inlineStr">
        <x:is>
          <x:t xml:space="preserve">40.jpg</x:t>
        </x:is>
      </x:c>
      <x:c r="C6" s="233" t="n">
        <x:v>2400</x:v>
      </x:c>
      <x:c r="D6" s="233" t="n">
        <x:v>3600</x:v>
      </x:c>
      <x:c r="E6" s="233" t="n">
        <x:v>650</x:v>
      </x:c>
      <x:c r="F6" s="233" t="n">
        <x:v>400</x:v>
      </x:c>
      <x:c r="G6" s="233" t="n">
        <x:v>1700</x:v>
      </x:c>
      <x:c r="H6" s="233" t="n">
        <x:v>900</x:v>
      </x:c>
      <x:c r="I6" s="233" t="n">
        <x:v>5</x:v>
      </x:c>
      <x:c r="J6" s="233" t="inlineStr">
        <x:is>
          <x:t xml:space="preserve">feee4eed2a4f6d66456ff5a977f43c7ef297f8eb</x:t>
        </x:is>
      </x:c>
    </x:row>
    <x:row r="7" s="232" customFormat="1" ht="34" customHeight="1">
      <x:c r="A7" s="233" t="n">
        <x:v>73</x:v>
      </x:c>
      <x:c r="B7" s="233" t="inlineStr">
        <x:is>
          <x:t xml:space="preserve">73.jpg</x:t>
        </x:is>
      </x:c>
      <x:c r="C7" s="233" t="n">
        <x:v>2400</x:v>
      </x:c>
      <x:c r="D7" s="233" t="n">
        <x:v>3600</x:v>
      </x:c>
      <x:c r="E7" s="233" t="n">
        <x:v>750</x:v>
      </x:c>
      <x:c r="F7" s="233" t="n">
        <x:v>2290</x:v>
      </x:c>
      <x:c r="G7" s="233" t="n">
        <x:v>1770</x:v>
      </x:c>
      <x:c r="H7" s="233" t="n">
        <x:v>2910</x:v>
      </x:c>
      <x:c r="I7" s="233" t="n">
        <x:v>5</x:v>
      </x:c>
      <x:c r="J7" s="233" t="inlineStr">
        <x:is>
          <x:t xml:space="preserve">afa3428764199ddf590baf0c055c8caedc079cb1</x:t>
        </x:is>
      </x:c>
    </x:row>
    <x:row r="9" s="232" customFormat="1" ht="36" customHeight="1">
      <x:c r="A9" s="125" t="inlineStr">
        <x:is>
          <x:t xml:space="preserve">Method step</x:t>
        </x:is>
      </x:c>
      <x:c r="B9" s="125" t="inlineStr">
        <x:is>
          <x:t xml:space="preserve">Specification</x:t>
        </x:is>
      </x:c>
      <x:c r="C9" s="125" t="inlineStr">
        <x:is>
          <x:t xml:space="preserve">Caveat / acceptance rule</x:t>
        </x:is>
      </x:c>
    </x:row>
    <x:row r="10" s="232" customFormat="1" ht="48" customHeight="1">
      <x:c r="A10" s="234" t="inlineStr">
        <x:is>
          <x:t xml:space="preserve">Source integrity</x:t>
        </x:is>
      </x:c>
      <x:c r="B10" s="234" t="inlineStr">
        <x:is>
          <x:t xml:space="preserve">Validate Git blob SHA-1 and 2400×3600 pixel dimensions before processing.</x:t>
        </x:is>
      </x:c>
      <x:c r="C10" s="234" t="inlineStr">
        <x:is>
          <x:t xml:space="preserve">Any mismatch blocks measurement and requires source review.</x:t>
        </x:is>
      </x:c>
    </x:row>
    <x:row r="11" s="232" customFormat="1" ht="48" customHeight="1">
      <x:c r="A11" s="234" t="inlineStr">
        <x:is>
          <x:t xml:space="preserve">Coordinate convention</x:t>
        </x:is>
      </x:c>
      <x:c r="B11" s="234" t="inlineStr">
        <x:is>
          <x:t xml:space="preserve">Origin at top-left; x increases rightward; y increases downward; report original source pixels.</x:t>
        </x:is>
      </x:c>
      <x:c r="C11" s="234" t="inlineStr">
        <x:is>
          <x:t xml:space="preserve">Do not mix display-render coordinates with original-image coordinates.</x:t>
        </x:is>
      </x:c>
    </x:row>
    <x:row r="12" s="232" customFormat="1" ht="48" customHeight="1">
      <x:c r="A12" s="234" t="inlineStr">
        <x:is>
          <x:t xml:space="preserve">ROI selection</x:t>
        </x:is>
      </x:c>
      <x:c r="B12" s="234" t="inlineStr">
        <x:is>
          <x:t xml:space="preserve">Use the page-specific XYXY window in rows 5–7.</x:t>
        </x:is>
      </x:c>
      <x:c r="C12" s="234" t="inlineStr">
        <x:is>
          <x:t xml:space="preserve">ROIs were selected from legacy estimates to isolate the dot fields; review visually before treating as final.</x:t>
        </x:is>
      </x:c>
    </x:row>
    <x:row r="13" s="232" customFormat="1" ht="48" customHeight="1">
      <x:c r="A13" s="234" t="inlineStr">
        <x:is>
          <x:t xml:space="preserve">Threshold sensitivity</x:t>
        </x:is>
      </x:c>
      <x:c r="B13" s="234" t="inlineStr">
        <x:is>
          <x:t xml:space="preserve">Segment grayscale values below thresholds 40, 60, 80 and 100; primary threshold 60.</x:t>
        </x:is>
      </x:c>
      <x:c r="C13" s="234" t="inlineStr">
        <x:is>
          <x:t xml:space="preserve">Component centers should remain stable across thresholds; count changes trigger manual review.</x:t>
        </x:is>
      </x:c>
    </x:row>
    <x:row r="14" s="232" customFormat="1" ht="48" customHeight="1">
      <x:c r="A14" s="234" t="inlineStr">
        <x:is>
          <x:t xml:space="preserve">Component definition</x:t>
        </x:is>
      </x:c>
      <x:c r="B14" s="234" t="inlineStr">
        <x:is>
          <x:t xml:space="preserve">8-connected binary connected components; filter area 600–12000 px, bounding-box dimensions 25–120 px, aspect ratio 0.65–1.55, fill ratio ≥0.48.</x:t>
        </x:is>
      </x:c>
      <x:c r="C14" s="234" t="inlineStr">
        <x:is>
          <x:t xml:space="preserve">Report all candidate components; never force five detections if output differs.</x:t>
        </x:is>
      </x:c>
    </x:row>
    <x:row r="15" s="232" customFormat="1" ht="48" customHeight="1">
      <x:c r="A15" s="234" t="inlineStr">
        <x:is>
          <x:t xml:space="preserve">Dot identities</x:t>
        </x:is>
      </x:c>
      <x:c r="B15" s="234" t="inlineStr">
        <x:is>
          <x:t xml:space="preserve">Candidate order is sorted by y then x only for stable output.</x:t>
        </x:is>
      </x:c>
      <x:c r="C15" s="234" t="inlineStr">
        <x:is>
          <x:t xml:space="preserve">Do not assume sorted labels reproduce user-added numbering or intended reading order.</x:t>
        </x:is>
      </x:c>
    </x:row>
    <x:row r="16" s="232" customFormat="1" ht="48" customHeight="1">
      <x:c r="A16" s="234" t="inlineStr">
        <x:is>
          <x:t xml:space="preserve">Uncertainty</x:t>
        </x:is>
      </x:c>
      <x:c r="B16" s="234" t="inlineStr">
        <x:is>
          <x:t xml:space="preserve">Compare centroid locations across thresholds and check original image visually.</x:t>
        </x:is>
      </x:c>
      <x:c r="C16" s="234" t="inlineStr">
        <x:is>
          <x:t xml:space="preserve">Threshold sensitivity alone does not capture source-artifact or ROI-selection uncertainty.</x:t>
        </x:is>
      </x:c>
    </x:row>
    <x:row r="17" s="232" customFormat="1" ht="48" customHeight="1">
      <x:c r="A17" s="234" t="inlineStr">
        <x:is>
          <x:t xml:space="preserve">Outputs</x:t>
        </x:is>
      </x:c>
      <x:c r="B17" s="234" t="inlineStr">
        <x:is>
          <x:t xml:space="preserve">constellation_centroid_candidates.csv and constellation_measurement_report.json.</x:t>
        </x:is>
      </x:c>
      <x:c r="C17" s="234" t="inlineStr">
        <x:is>
          <x:t xml:space="preserve">If exactly five stable candidates are detected for each page, compute signatures and the predeclared random control.</x:t>
        </x:is>
      </x:c>
    </x:row>
    <x:row r="18" s="232" customFormat="1" ht="48" customHeight="1">
      <x:c r="A18" s="234" t="inlineStr">
        <x:is>
          <x:t xml:space="preserve">Cipher link</x:t>
        </x:is>
      </x:c>
      <x:c r="B18" s="234" t="inlineStr">
        <x:is>
          <x:t xml:space="preserve">No rune mapping until independent geometric recurrence survives controls.</x:t>
        </x:is>
      </x:c>
      <x:c r="C18" s="234" t="inlineStr">
        <x:is>
          <x:t xml:space="preserve">A close shape match does not itself demonstrate encoding or solve any ciphertext.</x:t>
        </x:is>
      </x:c>
    </x:row>
    <x:row r="20" s="232" customFormat="1" ht="28" customHeight="1">
      <x:c r="A20" s="124" t="inlineStr">
        <x:is>
          <x:t xml:space="preserve">Script validation</x:t>
        </x:is>
      </x:c>
      <x:c r="B20" s="124" t="inlineStr">
        <x:is>
          <x:t xml:space="preserve">Result</x:t>
        </x:is>
      </x:c>
      <x:c r="C20" s="124" t="inlineStr">
        <x:is>
          <x:t xml:space="preserve">Scope</x:t>
        </x:is>
      </x:c>
    </x:row>
    <x:row r="21" s="232" customFormat="1" ht="44" customHeight="1">
      <x:c r="A21" s="234" t="inlineStr">
        <x:is>
          <x:t xml:space="preserve">Syntax check</x:t>
        </x:is>
      </x:c>
      <x:c r="B21" s="234" t="inlineStr">
        <x:is>
          <x:t xml:space="preserve">PASS</x:t>
        </x:is>
      </x:c>
      <x:c r="C21" s="234" t="inlineStr">
        <x:is>
          <x:t xml:space="preserve">Python script compiled successfully.</x:t>
        </x:is>
      </x:c>
    </x:row>
    <x:row r="22" s="232" customFormat="1" ht="44" customHeight="1">
      <x:c r="A22" s="234" t="inlineStr">
        <x:is>
          <x:t xml:space="preserve">Synthetic component test</x:t>
        </x:is>
      </x:c>
      <x:c r="B22" s="234" t="inlineStr">
        <x:is>
          <x:t xml:space="preserve">PASS: 5/5 synthetic circles recovered at thresholds 40, 60, 80, 100; zero centroid drift across these thresholds in synthetic images.</x:t>
        </x:is>
      </x:c>
      <x:c r="C22" s="234" t="inlineStr">
        <x:is>
          <x:t xml:space="preserve">Tests algorithm plumbing only; this does not validate extraction on original Liber Primus images.</x:t>
        </x:is>
      </x:c>
    </x:row>
    <x:row r="23" s="232" customFormat="1" ht="44" customHeight="1">
      <x:c r="A23" s="234" t="inlineStr">
        <x:is>
          <x:t xml:space="preserve">Source-image measurement (in-memory)</x:t>
        </x:is>
      </x:c>
      <x:c r="B23" s="234" t="inlineStr">
        <x:is>
          <x:t xml:space="preserve">COMPLETED: 15 dot centroids measured from original source JPEG bytes at thresholds 40, 60, 80, 100. Detailed results recorded in Measured Centroids; geometric comparison in Measured Geometry. This is not a run of the existing Python script.</x:t>
        </x:is>
      </x:c>
      <x:c r="C23" s="234" t="inlineStr">
        <x:is>
          <x:t xml:space="preserve">Original image bytes could be retrieved and rendered through GitHub connector but not written into local pixel-analysis filesystem by this runtime.</x:t>
        </x:is>
      </x:c>
      <x:c r="D23" s="233" t="n"/>
      <x:c r="E23" s="233" t="n"/>
      <x:c r="F23" s="233" t="n"/>
      <x:c r="G23" s="233" t="n"/>
      <x:c r="H23" s="233" t="n"/>
      <x:c r="I23" s="233" t="n"/>
      <x:c r="J23" s="233" t="n"/>
    </x:row>
    <x:row r="25">
      <x:c r="A25" s="290" t="inlineStr">
        <x:is>
          <x:t xml:space="preserve">Current retrieval update — 2026-10-09</x:t>
        </x:is>
      </x:c>
      <x:c r="B25" s="1" t="n"/>
    </x:row>
    <x:row r="26">
      <x:c r="A26" s="234" t="inlineStr">
        <x:is>
          <x:t xml:space="preserve">Connector byte-stream validation</x:t>
        </x:is>
      </x:c>
      <x:c r="B26" s="234" t="inlineStr">
        <x:is>
          <x:t xml:space="preserve">PASS: retrieved original images for pages 24, 40, and 73 as base64 through the GitHub integration; independent Git blob SHA-1 calculation matched each GitHub object.</x:t>
        </x:is>
      </x:c>
    </x:row>
    <x:row r="27">
      <x:c r="A27" s="234" t="inlineStr">
        <x:is>
          <x:t xml:space="preserve">JPEG raster verification</x:t>
        </x:is>
      </x:c>
      <x:c r="B27" s="234" t="inlineStr">
        <x:is>
          <x:t xml:space="preserve">PASS: 2400 × 3600 dimensions parsed from JPEG SOF0 headers for original pages 24, 40, 73 and annotated copies 24, 40, 73.</x:t>
        </x:is>
      </x:c>
    </x:row>
    <x:row r="28">
      <x:c r="A28" s="234" t="inlineStr">
        <x:is>
          <x:t xml:space="preserve">Local filesystem handoff</x:t>
        </x:is>
      </x:c>
      <x:c r="B28" s="234" t="inlineStr">
        <x:is>
          <x:t xml:space="preserve">Still blocked: direct clone/download fails due outbound network/DNS. This was worked around for the five-dot pilot by decoding source JPEG bytes in memory through the GitHub integration; local files are not present.</x:t>
        </x:is>
      </x:c>
      <x:c r="C28" s="233" t="n"/>
      <x:c r="D28" s="233" t="n"/>
      <x:c r="E28" s="233" t="n"/>
      <x:c r="F28" s="233" t="n"/>
      <x:c r="G28" s="233" t="n"/>
      <x:c r="H28" s="233" t="n"/>
      <x:c r="I28" s="233" t="n"/>
      <x:c r="J28" s="233" t="n"/>
    </x:row>
    <x:row r="29">
      <x:c r="A29" s="234" t="inlineStr">
        <x:is>
          <x:t xml:space="preserve">Pixel-centroid status</x:t>
        </x:is>
      </x:c>
      <x:c r="B29" s="234" t="inlineStr">
        <x:is>
          <x:t xml:space="preserve">MEASURED (pilot): 60/60 qualifying dot-window checks passed across four thresholds; max centroid shift 0.174 source px. See Measured Centroids. Independent decoder cross-check remains pending.</x:t>
        </x:is>
      </x:c>
      <x:c r="C29" s="233" t="n"/>
      <x:c r="D29" s="233" t="n"/>
      <x:c r="E29" s="233" t="n"/>
      <x:c r="F29" s="233" t="n"/>
      <x:c r="G29" s="233" t="n"/>
      <x:c r="H29" s="233" t="n"/>
      <x:c r="I29" s="233" t="n"/>
      <x:c r="J29" s="233" t="n"/>
    </x:row>
    <x:row r="30">
      <x:c r="A30" s="234" t="inlineStr">
        <x:is>
          <x:t xml:space="preserve">Available visual audit</x:t>
        </x:is>
      </x:c>
      <x:c r="B30" s="234" t="inlineStr">
        <x:is>
          <x:t xml:space="preserve">Fifteen target circles were measured from decoded Y/luminance samples in the original source stream. Each local 200×200 crop was chosen from prior approximate positions, but centroids were computed from the thresholded source pixels, not copied from those estimates. This was a targeted measurement, not a full-page search.</x:t>
        </x:is>
      </x:c>
      <x:c r="C30" s="233" t="n"/>
      <x:c r="D30" s="233" t="n"/>
      <x:c r="E30" s="233" t="n"/>
      <x:c r="F30" s="233" t="n"/>
      <x:c r="G30" s="233" t="n"/>
      <x:c r="H30" s="233" t="n"/>
      <x:c r="I30" s="233" t="n"/>
      <x:c r="J30" s="233" t="n"/>
    </x:row>
  </x:sheetData>
  <x:mergeCells>
    <x:mergeCell ref="A25:B25"/>
    <x:mergeCell ref="A1:J1"/>
    <x:mergeCell ref="A2:J2"/>
  </x:mergeCells>
  <x:pageMargins left="0.7" right="0.7" top="0.75" bottom="0.75" header="0.3" footer="0.3"/>
</x:worksheet>
</file>

<file path=xl/worksheets/sheet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2" style="232" customWidth="1"/>
    <x:col min="2" max="2" width="18" style="232" customWidth="1"/>
    <x:col min="3" max="3" width="34" style="232" customWidth="1"/>
    <x:col min="4" max="4" width="53" style="232" customWidth="1"/>
    <x:col min="5" max="5" width="43" style="232" customWidth="1"/>
    <x:col min="6" max="6" width="19" style="232" customWidth="1"/>
    <x:col min="7" max="7" width="15" style="232" customWidth="1"/>
    <x:col min="8" max="8" width="18" style="232" customWidth="1"/>
    <x:col min="9" max="9" width="32" style="232" customWidth="1"/>
  </x:cols>
  <x:sheetData>
    <x:row r="1" s="232" customFormat="1" ht="28" customHeight="1">
      <x:c r="A1" s="295" t="inlineStr">
        <x:is>
          <x:t xml:space="preserve">Source Image Retrieval &amp; Label Audit — v0.7</x:t>
        </x:is>
      </x:c>
      <x:c r="B1" s="1" t="n"/>
      <x:c r="C1" s="1" t="n"/>
      <x:c r="D1" s="1" t="n"/>
      <x:c r="E1" s="1" t="n"/>
      <x:c r="F1" s="1" t="n"/>
      <x:c r="G1" s="1" t="n"/>
      <x:c r="H1" s="1" t="n"/>
      <x:c r="I1" s="1" t="n"/>
    </x:row>
    <x:row r="2" s="232" customFormat="1" ht="42" customHeight="1">
      <x:c r="A2" s="296" t="inlineStr">
        <x:is>
          <x:t xml:space="preserve">Original and annotated scans were retrieved through connected GitHub and their source hashes/dimensions verified. The five-dot source pixels have now been measured in-memory; the coordinate table below remains the legacy display-estimate audit and must not be mistaken for those measured centroids. Use Measured Centroids for source-raster coordinates.</x:t>
        </x:is>
      </x:c>
      <x:c r="B2" s="1" t="n"/>
      <x:c r="C2" s="1" t="n"/>
      <x:c r="D2" s="1" t="n"/>
      <x:c r="E2" s="1" t="n"/>
      <x:c r="F2" s="1" t="n"/>
      <x:c r="G2" s="1" t="n"/>
      <x:c r="H2" s="1" t="n"/>
      <x:c r="I2" s="1" t="n"/>
    </x:row>
    <x:row r="4" s="232" customFormat="1" ht="35" customHeight="1">
      <x:c r="A4" s="161" t="inlineStr">
        <x:is>
          <x:t xml:space="preserve">Page</x:t>
        </x:is>
      </x:c>
      <x:c r="B4" s="161" t="inlineStr">
        <x:is>
          <x:t xml:space="preserve">Image role</x:t>
        </x:is>
      </x:c>
      <x:c r="C4" s="161" t="inlineStr">
        <x:is>
          <x:t xml:space="preserve">Repository/path</x:t>
        </x:is>
      </x:c>
      <x:c r="D4" s="161" t="inlineStr">
        <x:is>
          <x:t xml:space="preserve">Browser URL</x:t>
        </x:is>
      </x:c>
      <x:c r="E4" s="161" t="inlineStr">
        <x:is>
          <x:t xml:space="preserve">Git blob SHA-1</x:t>
        </x:is>
      </x:c>
      <x:c r="F4" s="161" t="inlineStr">
        <x:is>
          <x:t xml:space="preserve">Computed hash</x:t>
        </x:is>
      </x:c>
      <x:c r="G4" s="161" t="inlineStr">
        <x:is>
          <x:t xml:space="preserve">Bytes</x:t>
        </x:is>
      </x:c>
      <x:c r="H4" s="161" t="inlineStr">
        <x:is>
          <x:t xml:space="preserve">JPEG dimensions</x:t>
        </x:is>
      </x:c>
      <x:c r="I4" s="161" t="inlineStr">
        <x:is>
          <x:t xml:space="preserve">Local availability</x:t>
        </x:is>
      </x:c>
    </x:row>
    <x:row r="5">
      <x:c r="A5" s="234" t="n">
        <x:v>24</x:v>
      </x:c>
      <x:c r="B5" s="234" t="inlineStr">
        <x:is>
          <x:t xml:space="preserve">Original scan</x:t>
        </x:is>
      </x:c>
      <x:c r="C5" s="234" t="inlineStr">
        <x:is>
          <x:t xml:space="preserve">scream314/cicada3301 — assets/2014/liber-primus-complete/24.jpg</x:t>
        </x:is>
      </x:c>
      <x:c r="D5" s="234" t="inlineStr">
        <x:is>
          <x:t xml:space="preserve">https://github.com/scream314/cicada3301/blob/master/assets/2014/liber-primus-complete/24.jpg</x:t>
        </x:is>
      </x:c>
      <x:c r="E5" s="234" t="inlineStr">
        <x:is>
          <x:t xml:space="preserve">2b4e09dbad1a9c602a2919864b1a84f49d7ff501</x:t>
        </x:is>
      </x:c>
      <x:c r="F5" s="234" t="inlineStr">
        <x:is>
          <x:t xml:space="preserve">PASS</x:t>
        </x:is>
      </x:c>
      <x:c r="G5" s="234" t="n">
        <x:v>580968</x:v>
      </x:c>
      <x:c r="H5" s="234" t="inlineStr">
        <x:is>
          <x:t xml:space="preserve">2400 × 3600</x:t>
        </x:is>
      </x:c>
      <x:c r="I5" s="234" t="inlineStr">
        <x:is>
          <x:t xml:space="preserve">Connector only; not on local filesystem</x:t>
        </x:is>
      </x:c>
    </x:row>
    <x:row r="6">
      <x:c r="A6" s="234" t="n">
        <x:v>40</x:v>
      </x:c>
      <x:c r="B6" s="234" t="inlineStr">
        <x:is>
          <x:t xml:space="preserve">Original scan</x:t>
        </x:is>
      </x:c>
      <x:c r="C6" s="234" t="inlineStr">
        <x:is>
          <x:t xml:space="preserve">scream314/cicada3301 — assets/2014/liber-primus-complete/40.jpg</x:t>
        </x:is>
      </x:c>
      <x:c r="D6" s="234" t="inlineStr">
        <x:is>
          <x:t xml:space="preserve">https://github.com/scream314/cicada3301/blob/master/assets/2014/liber-primus-complete/40.jpg</x:t>
        </x:is>
      </x:c>
      <x:c r="E6" s="234" t="inlineStr">
        <x:is>
          <x:t xml:space="preserve">feee4eed2a4f6d66456ff5a977f43c7ef297f8eb</x:t>
        </x:is>
      </x:c>
      <x:c r="F6" s="234" t="inlineStr">
        <x:is>
          <x:t xml:space="preserve">PASS</x:t>
        </x:is>
      </x:c>
      <x:c r="G6" s="234" t="n">
        <x:v>484095</x:v>
      </x:c>
      <x:c r="H6" s="234" t="inlineStr">
        <x:is>
          <x:t xml:space="preserve">2400 × 3600</x:t>
        </x:is>
      </x:c>
      <x:c r="I6" s="234" t="inlineStr">
        <x:is>
          <x:t xml:space="preserve">Connector only; not on local filesystem</x:t>
        </x:is>
      </x:c>
    </x:row>
    <x:row r="7">
      <x:c r="A7" s="234" t="n">
        <x:v>73</x:v>
      </x:c>
      <x:c r="B7" s="234" t="inlineStr">
        <x:is>
          <x:t xml:space="preserve">Original scan</x:t>
        </x:is>
      </x:c>
      <x:c r="C7" s="234" t="inlineStr">
        <x:is>
          <x:t xml:space="preserve">scream314/cicada3301 — assets/2014/liber-primus-complete/73.jpg</x:t>
        </x:is>
      </x:c>
      <x:c r="D7" s="234" t="inlineStr">
        <x:is>
          <x:t xml:space="preserve">https://github.com/scream314/cicada3301/blob/master/assets/2014/liber-primus-complete/73.jpg</x:t>
        </x:is>
      </x:c>
      <x:c r="E7" s="234" t="inlineStr">
        <x:is>
          <x:t xml:space="preserve">afa3428764199ddf590baf0c055c8caedc079cb1</x:t>
        </x:is>
      </x:c>
      <x:c r="F7" s="234" t="inlineStr">
        <x:is>
          <x:t xml:space="preserve">PASS</x:t>
        </x:is>
      </x:c>
      <x:c r="G7" s="234" t="n">
        <x:v>389813</x:v>
      </x:c>
      <x:c r="H7" s="234" t="inlineStr">
        <x:is>
          <x:t xml:space="preserve">2400 × 3600</x:t>
        </x:is>
      </x:c>
      <x:c r="I7" s="234" t="inlineStr">
        <x:is>
          <x:t xml:space="preserve">Connector only; not on local filesystem</x:t>
        </x:is>
      </x:c>
    </x:row>
    <x:row r="8">
      <x:c r="A8" s="234" t="n">
        <x:v>24</x:v>
      </x:c>
      <x:c r="B8" s="234" t="inlineStr">
        <x:is>
          <x:t xml:space="preserve">Annotated copy</x:t>
        </x:is>
      </x:c>
      <x:c r="C8" s="234" t="inlineStr">
        <x:is>
          <x:t xml:space="preserve">mrfentmen/annotated-pages — 24.jpg</x:t>
        </x:is>
      </x:c>
      <x:c r="D8" s="234" t="inlineStr">
        <x:is>
          <x:t xml:space="preserve">https://github.com/mrfentmen/annotated-pages/blob/main/24.jpg</x:t>
        </x:is>
      </x:c>
      <x:c r="E8" s="234" t="inlineStr">
        <x:is>
          <x:t xml:space="preserve">235e0a1c8d7c93439e5d834a4bf6bbe293da392b</x:t>
        </x:is>
      </x:c>
      <x:c r="F8" s="234" t="inlineStr">
        <x:is>
          <x:t xml:space="preserve">PASS</x:t>
        </x:is>
      </x:c>
      <x:c r="G8" s="234" t="n">
        <x:v>678129</x:v>
      </x:c>
      <x:c r="H8" s="234" t="inlineStr">
        <x:is>
          <x:t xml:space="preserve">2400 × 3600</x:t>
        </x:is>
      </x:c>
      <x:c r="I8" s="234" t="inlineStr">
        <x:is>
          <x:t xml:space="preserve">Connector only; not on local filesystem</x:t>
        </x:is>
      </x:c>
    </x:row>
    <x:row r="9">
      <x:c r="A9" s="234" t="n">
        <x:v>40</x:v>
      </x:c>
      <x:c r="B9" s="234" t="inlineStr">
        <x:is>
          <x:t xml:space="preserve">Annotated copy</x:t>
        </x:is>
      </x:c>
      <x:c r="C9" s="234" t="inlineStr">
        <x:is>
          <x:t xml:space="preserve">mrfentmen/annotated-pages — 40.jpg</x:t>
        </x:is>
      </x:c>
      <x:c r="D9" s="234" t="inlineStr">
        <x:is>
          <x:t xml:space="preserve">https://github.com/mrfentmen/annotated-pages/blob/main/40.jpg</x:t>
        </x:is>
      </x:c>
      <x:c r="E9" s="234" t="inlineStr">
        <x:is>
          <x:t xml:space="preserve">6f83d16a6ea7b8a0710165d424cb0fdbe475da56</x:t>
        </x:is>
      </x:c>
      <x:c r="F9" s="234" t="inlineStr">
        <x:is>
          <x:t xml:space="preserve">PASS</x:t>
        </x:is>
      </x:c>
      <x:c r="G9" s="234" t="n">
        <x:v>592993</x:v>
      </x:c>
      <x:c r="H9" s="234" t="inlineStr">
        <x:is>
          <x:t xml:space="preserve">2400 × 3600</x:t>
        </x:is>
      </x:c>
      <x:c r="I9" s="234" t="inlineStr">
        <x:is>
          <x:t xml:space="preserve">Connector only; not on local filesystem</x:t>
        </x:is>
      </x:c>
    </x:row>
    <x:row r="10">
      <x:c r="A10" s="234" t="n">
        <x:v>73</x:v>
      </x:c>
      <x:c r="B10" s="234" t="inlineStr">
        <x:is>
          <x:t xml:space="preserve">Annotated copy</x:t>
        </x:is>
      </x:c>
      <x:c r="C10" s="234" t="inlineStr">
        <x:is>
          <x:t xml:space="preserve">mrfentmen/annotated-pages — 73.jpg</x:t>
        </x:is>
      </x:c>
      <x:c r="D10" s="234" t="inlineStr">
        <x:is>
          <x:t xml:space="preserve">https://github.com/mrfentmen/annotated-pages/blob/main/73.jpg</x:t>
        </x:is>
      </x:c>
      <x:c r="E10" s="234" t="inlineStr">
        <x:is>
          <x:t xml:space="preserve">0f59dbd5578bcce85584550ff5891d4dba7aac8b</x:t>
        </x:is>
      </x:c>
      <x:c r="F10" s="234" t="inlineStr">
        <x:is>
          <x:t xml:space="preserve">PASS</x:t>
        </x:is>
      </x:c>
      <x:c r="G10" s="234" t="n">
        <x:v>479646</x:v>
      </x:c>
      <x:c r="H10" s="234" t="inlineStr">
        <x:is>
          <x:t xml:space="preserve">2400 × 3600</x:t>
        </x:is>
      </x:c>
      <x:c r="I10" s="234" t="inlineStr">
        <x:is>
          <x:t xml:space="preserve">Connector only; not on local filesystem</x:t>
        </x:is>
      </x:c>
    </x:row>
    <x:row r="12" s="232" customFormat="1" ht="25" customHeight="1">
      <x:c r="A12" s="290" t="inlineStr">
        <x:is>
          <x:t xml:space="preserve">Annotation label-to-dot map — visual correspondence only; all coordinates remain manual estimates</x:t>
        </x:is>
      </x:c>
      <x:c r="B12" s="1" t="n"/>
      <x:c r="C12" s="1" t="n"/>
      <x:c r="D12" s="1" t="n"/>
      <x:c r="E12" s="1" t="n"/>
      <x:c r="F12" s="1" t="n"/>
      <x:c r="G12" s="1" t="n"/>
      <x:c r="H12" s="1" t="n"/>
      <x:c r="I12" s="1" t="n"/>
    </x:row>
    <x:row r="13" s="232" customFormat="1" ht="42" customHeight="1">
      <x:c r="A13" s="297" t="inlineStr">
        <x:is>
          <x:t xml:space="preserve">Position descriptions were checked against the source scan and the numbered annotated copy. Display coordinates are preserved from Geometry Pilot; source coordinates are only scale-converted from the 992 × 1488 render (x × 2400/992, y × 3600/1488).</x:t>
        </x:is>
      </x:c>
      <x:c r="B13" s="1" t="n"/>
      <x:c r="C13" s="1" t="n"/>
      <x:c r="D13" s="1" t="n"/>
      <x:c r="E13" s="1" t="n"/>
      <x:c r="F13" s="1" t="n"/>
      <x:c r="G13" s="1" t="n"/>
      <x:c r="H13" s="1" t="n"/>
      <x:c r="I13" s="1" t="n"/>
    </x:row>
    <x:row r="14" s="232" customFormat="1" ht="42" customHeight="1">
      <x:c r="A14" s="161" t="inlineStr">
        <x:is>
          <x:t xml:space="preserve">Page</x:t>
        </x:is>
      </x:c>
      <x:c r="B14" s="161" t="inlineStr">
        <x:is>
          <x:t xml:space="preserve">Label</x:t>
        </x:is>
      </x:c>
      <x:c r="C14" s="161" t="inlineStr">
        <x:is>
          <x:t xml:space="preserve">Physical position</x:t>
        </x:is>
      </x:c>
      <x:c r="D14" s="161" t="inlineStr">
        <x:is>
          <x:t xml:space="preserve">Display x estimate</x:t>
        </x:is>
      </x:c>
      <x:c r="E14" s="161" t="inlineStr">
        <x:is>
          <x:t xml:space="preserve">Display y estimate</x:t>
        </x:is>
      </x:c>
      <x:c r="F14" s="161" t="inlineStr">
        <x:is>
          <x:t xml:space="preserve">Scaled source x estimate</x:t>
        </x:is>
      </x:c>
      <x:c r="G14" s="161" t="inlineStr">
        <x:is>
          <x:t xml:space="preserve">Scaled source y estimate</x:t>
        </x:is>
      </x:c>
      <x:c r="H14" s="161" t="inlineStr">
        <x:is>
          <x:t xml:space="preserve">Coordinate status</x:t>
        </x:is>
      </x:c>
      <x:c r="I14" s="161" t="inlineStr">
        <x:is>
          <x:t xml:space="preserve">Mapping status</x:t>
        </x:is>
      </x:c>
    </x:row>
    <x:row r="15" s="232" customFormat="1" ht="28" customHeight="1">
      <x:c r="A15" s="234" t="n">
        <x:v>24</x:v>
      </x:c>
      <x:c r="B15" s="234" t="n">
        <x:v>1</x:v>
      </x:c>
      <x:c r="C15" s="234" t="inlineStr">
        <x:is>
          <x:t xml:space="preserve">lower-left</x:t>
        </x:is>
      </x:c>
      <x:c r="D15" s="234" t="n">
        <x:v>329</x:v>
      </x:c>
      <x:c r="E15" s="234" t="n">
        <x:v>1284</x:v>
      </x:c>
      <x:c r="F15" s="298" t="n">
        <x:v>795.9677419354839</x:v>
      </x:c>
      <x:c r="G15" s="298" t="n">
        <x:v>3106.451612903226</x:v>
      </x:c>
      <x:c r="H15" s="234" t="inlineStr">
        <x:is>
          <x:t xml:space="preserve">Legacy estimate — NOT centroid</x:t>
        </x:is>
      </x:c>
      <x:c r="I15" s="234" t="inlineStr">
        <x:is>
          <x:t xml:space="preserve">Visually matched</x:t>
        </x:is>
      </x:c>
    </x:row>
    <x:row r="16" s="232" customFormat="1" ht="28" customHeight="1">
      <x:c r="A16" s="234" t="n">
        <x:v>24</x:v>
      </x:c>
      <x:c r="B16" s="234" t="n">
        <x:v>2</x:v>
      </x:c>
      <x:c r="C16" s="234" t="inlineStr">
        <x:is>
          <x:t xml:space="preserve">bottom / lower-middle</x:t>
        </x:is>
      </x:c>
      <x:c r="D16" s="234" t="n">
        <x:v>410</x:v>
      </x:c>
      <x:c r="E16" s="234" t="n">
        <x:v>1309</x:v>
      </x:c>
      <x:c r="F16" s="298" t="n">
        <x:v>991.9354838709677</x:v>
      </x:c>
      <x:c r="G16" s="298" t="n">
        <x:v>3166.935483870968</x:v>
      </x:c>
      <x:c r="H16" s="234" t="inlineStr">
        <x:is>
          <x:t xml:space="preserve">Legacy estimate — NOT centroid</x:t>
        </x:is>
      </x:c>
      <x:c r="I16" s="234" t="inlineStr">
        <x:is>
          <x:t xml:space="preserve">Visually matched</x:t>
        </x:is>
      </x:c>
    </x:row>
    <x:row r="17" s="232" customFormat="1" ht="28" customHeight="1">
      <x:c r="A17" s="234" t="n">
        <x:v>24</x:v>
      </x:c>
      <x:c r="B17" s="234" t="n">
        <x:v>3</x:v>
      </x:c>
      <x:c r="C17" s="234" t="inlineStr">
        <x:is>
          <x:t xml:space="preserve">lower-right</x:t>
        </x:is>
      </x:c>
      <x:c r="D17" s="234" t="n">
        <x:v>612</x:v>
      </x:c>
      <x:c r="E17" s="234" t="n">
        <x:v>1292</x:v>
      </x:c>
      <x:c r="F17" s="298" t="n">
        <x:v>1480.645161290323</x:v>
      </x:c>
      <x:c r="G17" s="298" t="n">
        <x:v>3125.806451612903</x:v>
      </x:c>
      <x:c r="H17" s="234" t="inlineStr">
        <x:is>
          <x:t xml:space="preserve">Legacy estimate — NOT centroid</x:t>
        </x:is>
      </x:c>
      <x:c r="I17" s="234" t="inlineStr">
        <x:is>
          <x:t xml:space="preserve">Visually matched</x:t>
        </x:is>
      </x:c>
    </x:row>
    <x:row r="18" s="232" customFormat="1" ht="28" customHeight="1">
      <x:c r="A18" s="234" t="n">
        <x:v>24</x:v>
      </x:c>
      <x:c r="B18" s="234" t="n">
        <x:v>4</x:v>
      </x:c>
      <x:c r="C18" s="234" t="inlineStr">
        <x:is>
          <x:t xml:space="preserve">upper-right</x:t>
        </x:is>
      </x:c>
      <x:c r="D18" s="234" t="n">
        <x:v>631</x:v>
      </x:c>
      <x:c r="E18" s="234" t="n">
        <x:v>1214</x:v>
      </x:c>
      <x:c r="F18" s="298" t="n">
        <x:v>1526.612903225806</x:v>
      </x:c>
      <x:c r="G18" s="298" t="n">
        <x:v>2937.096774193548</x:v>
      </x:c>
      <x:c r="H18" s="234" t="inlineStr">
        <x:is>
          <x:t xml:space="preserve">Legacy estimate — NOT centroid</x:t>
        </x:is>
      </x:c>
      <x:c r="I18" s="234" t="inlineStr">
        <x:is>
          <x:t xml:space="preserve">Visually matched</x:t>
        </x:is>
      </x:c>
    </x:row>
    <x:row r="19" s="232" customFormat="1" ht="28" customHeight="1">
      <x:c r="A19" s="234" t="n">
        <x:v>24</x:v>
      </x:c>
      <x:c r="B19" s="234" t="n">
        <x:v>5</x:v>
      </x:c>
      <x:c r="C19" s="234" t="inlineStr">
        <x:is>
          <x:t xml:space="preserve">upper-middle</x:t>
        </x:is>
      </x:c>
      <x:c r="D19" s="234" t="n">
        <x:v>536</x:v>
      </x:c>
      <x:c r="E19" s="234" t="n">
        <x:v>1185</x:v>
      </x:c>
      <x:c r="F19" s="298" t="n">
        <x:v>1296.774193548387</x:v>
      </x:c>
      <x:c r="G19" s="298" t="n">
        <x:v>2866.935483870968</x:v>
      </x:c>
      <x:c r="H19" s="234" t="inlineStr">
        <x:is>
          <x:t xml:space="preserve">Legacy estimate — NOT centroid</x:t>
        </x:is>
      </x:c>
      <x:c r="I19" s="234" t="inlineStr">
        <x:is>
          <x:t xml:space="preserve">Visually matched</x:t>
        </x:is>
      </x:c>
    </x:row>
    <x:row r="20" s="232" customFormat="1" ht="28" customHeight="1">
      <x:c r="A20" s="234" t="n">
        <x:v>40</x:v>
      </x:c>
      <x:c r="B20" s="234" t="n">
        <x:v>1</x:v>
      </x:c>
      <x:c r="C20" s="234" t="inlineStr">
        <x:is>
          <x:t xml:space="preserve">upper-left</x:t>
        </x:is>
      </x:c>
      <x:c r="D20" s="234" t="n">
        <x:v>329</x:v>
      </x:c>
      <x:c r="E20" s="234" t="n">
        <x:v>235</x:v>
      </x:c>
      <x:c r="F20" s="298" t="n">
        <x:v>795.9677419354839</x:v>
      </x:c>
      <x:c r="G20" s="298" t="n">
        <x:v>568.5483870967741</x:v>
      </x:c>
      <x:c r="H20" s="234" t="inlineStr">
        <x:is>
          <x:t xml:space="preserve">Legacy estimate — NOT centroid</x:t>
        </x:is>
      </x:c>
      <x:c r="I20" s="234" t="inlineStr">
        <x:is>
          <x:t xml:space="preserve">Visually matched</x:t>
        </x:is>
      </x:c>
    </x:row>
    <x:row r="21" s="232" customFormat="1" ht="28" customHeight="1">
      <x:c r="A21" s="234" t="n">
        <x:v>40</x:v>
      </x:c>
      <x:c r="B21" s="234" t="n">
        <x:v>2</x:v>
      </x:c>
      <x:c r="C21" s="234" t="inlineStr">
        <x:is>
          <x:t xml:space="preserve">upper-middle</x:t>
        </x:is>
      </x:c>
      <x:c r="D21" s="234" t="n">
        <x:v>410</x:v>
      </x:c>
      <x:c r="E21" s="234" t="n">
        <x:v>209</x:v>
      </x:c>
      <x:c r="F21" s="298" t="n">
        <x:v>991.9354838709677</x:v>
      </x:c>
      <x:c r="G21" s="298" t="n">
        <x:v>505.6451612903226</x:v>
      </x:c>
      <x:c r="H21" s="234" t="inlineStr">
        <x:is>
          <x:t xml:space="preserve">Legacy estimate — NOT centroid</x:t>
        </x:is>
      </x:c>
      <x:c r="I21" s="234" t="inlineStr">
        <x:is>
          <x:t xml:space="preserve">Visually matched</x:t>
        </x:is>
      </x:c>
    </x:row>
    <x:row r="22" s="232" customFormat="1" ht="28" customHeight="1">
      <x:c r="A22" s="234" t="n">
        <x:v>40</x:v>
      </x:c>
      <x:c r="B22" s="234" t="n">
        <x:v>3</x:v>
      </x:c>
      <x:c r="C22" s="234" t="inlineStr">
        <x:is>
          <x:t xml:space="preserve">lower-left</x:t>
        </x:is>
      </x:c>
      <x:c r="D22" s="234" t="n">
        <x:v>536</x:v>
      </x:c>
      <x:c r="E22" s="234" t="n">
        <x:v>334</x:v>
      </x:c>
      <x:c r="F22" s="298" t="n">
        <x:v>1296.774193548387</x:v>
      </x:c>
      <x:c r="G22" s="298" t="n">
        <x:v>808.0645161290323</x:v>
      </x:c>
      <x:c r="H22" s="234" t="inlineStr">
        <x:is>
          <x:t xml:space="preserve">Legacy estimate — NOT centroid</x:t>
        </x:is>
      </x:c>
      <x:c r="I22" s="234" t="inlineStr">
        <x:is>
          <x:t xml:space="preserve">Visually matched</x:t>
        </x:is>
      </x:c>
    </x:row>
    <x:row r="23" s="232" customFormat="1" ht="28" customHeight="1">
      <x:c r="A23" s="234" t="n">
        <x:v>40</x:v>
      </x:c>
      <x:c r="B23" s="234" t="n">
        <x:v>4</x:v>
      </x:c>
      <x:c r="C23" s="234" t="inlineStr">
        <x:is>
          <x:t xml:space="preserve">lower-right</x:t>
        </x:is>
      </x:c>
      <x:c r="D23" s="234" t="n">
        <x:v>631</x:v>
      </x:c>
      <x:c r="E23" s="234" t="n">
        <x:v>304</x:v>
      </x:c>
      <x:c r="F23" s="298" t="n">
        <x:v>1526.612903225806</x:v>
      </x:c>
      <x:c r="G23" s="298" t="n">
        <x:v>735.483870967742</x:v>
      </x:c>
      <x:c r="H23" s="234" t="inlineStr">
        <x:is>
          <x:t xml:space="preserve">Legacy estimate — NOT centroid</x:t>
        </x:is>
      </x:c>
      <x:c r="I23" s="234" t="inlineStr">
        <x:is>
          <x:t xml:space="preserve">Visually matched</x:t>
        </x:is>
      </x:c>
    </x:row>
    <x:row r="24" s="232" customFormat="1" ht="28" customHeight="1">
      <x:c r="A24" s="234" t="n">
        <x:v>40</x:v>
      </x:c>
      <x:c r="B24" s="234" t="n">
        <x:v>5</x:v>
      </x:c>
      <x:c r="C24" s="234" t="inlineStr">
        <x:is>
          <x:t xml:space="preserve">upper-right</x:t>
        </x:is>
      </x:c>
      <x:c r="D24" s="234" t="n">
        <x:v>612</x:v>
      </x:c>
      <x:c r="E24" s="234" t="n">
        <x:v>226</x:v>
      </x:c>
      <x:c r="F24" s="298" t="n">
        <x:v>1480.645161290323</x:v>
      </x:c>
      <x:c r="G24" s="298" t="n">
        <x:v>546.7741935483871</x:v>
      </x:c>
      <x:c r="H24" s="234" t="inlineStr">
        <x:is>
          <x:t xml:space="preserve">Legacy estimate — NOT centroid</x:t>
        </x:is>
      </x:c>
      <x:c r="I24" s="234" t="inlineStr">
        <x:is>
          <x:t xml:space="preserve">Visually matched</x:t>
        </x:is>
      </x:c>
    </x:row>
    <x:row r="25" s="232" customFormat="1" ht="28" customHeight="1">
      <x:c r="A25" s="234" t="n">
        <x:v>73</x:v>
      </x:c>
      <x:c r="B25" s="234" t="n">
        <x:v>1</x:v>
      </x:c>
      <x:c r="C25" s="234" t="inlineStr">
        <x:is>
          <x:t xml:space="preserve">upper-middle</x:t>
        </x:is>
      </x:c>
      <x:c r="D25" s="234" t="n">
        <x:v>456</x:v>
      </x:c>
      <x:c r="E25" s="234" t="n">
        <x:v>1011</x:v>
      </x:c>
      <x:c r="F25" s="298" t="n">
        <x:v>1103.225806451613</x:v>
      </x:c>
      <x:c r="G25" s="298" t="n">
        <x:v>2445.967741935484</x:v>
      </x:c>
      <x:c r="H25" s="234" t="inlineStr">
        <x:is>
          <x:t xml:space="preserve">Legacy estimate — NOT centroid</x:t>
        </x:is>
      </x:c>
      <x:c r="I25" s="234" t="inlineStr">
        <x:is>
          <x:t xml:space="preserve">Visually matched</x:t>
        </x:is>
      </x:c>
    </x:row>
    <x:row r="26" s="232" customFormat="1" ht="28" customHeight="1">
      <x:c r="A26" s="234" t="n">
        <x:v>73</x:v>
      </x:c>
      <x:c r="B26" s="234" t="n">
        <x:v>2</x:v>
      </x:c>
      <x:c r="C26" s="234" t="inlineStr">
        <x:is>
          <x:t xml:space="preserve">upper-left</x:t>
        </x:is>
      </x:c>
      <x:c r="D26" s="234" t="n">
        <x:v>360</x:v>
      </x:c>
      <x:c r="E26" s="234" t="n">
        <x:v>1040</x:v>
      </x:c>
      <x:c r="F26" s="298" t="n">
        <x:v>870.9677419354839</x:v>
      </x:c>
      <x:c r="G26" s="298" t="n">
        <x:v>2516.129032258064</x:v>
      </x:c>
      <x:c r="H26" s="234" t="inlineStr">
        <x:is>
          <x:t xml:space="preserve">Legacy estimate — NOT centroid</x:t>
        </x:is>
      </x:c>
      <x:c r="I26" s="234" t="inlineStr">
        <x:is>
          <x:t xml:space="preserve">Visually matched</x:t>
        </x:is>
      </x:c>
    </x:row>
    <x:row r="27" s="232" customFormat="1" ht="28" customHeight="1">
      <x:c r="A27" s="234" t="n">
        <x:v>73</x:v>
      </x:c>
      <x:c r="B27" s="234" t="n">
        <x:v>3</x:v>
      </x:c>
      <x:c r="C27" s="234" t="inlineStr">
        <x:is>
          <x:t xml:space="preserve">lower-left</x:t>
        </x:is>
      </x:c>
      <x:c r="D27" s="234" t="n">
        <x:v>381</x:v>
      </x:c>
      <x:c r="E27" s="234" t="n">
        <x:v>1118</x:v>
      </x:c>
      <x:c r="F27" s="298" t="n">
        <x:v>921.7741935483871</x:v>
      </x:c>
      <x:c r="G27" s="298" t="n">
        <x:v>2704.83870967742</x:v>
      </x:c>
      <x:c r="H27" s="234" t="inlineStr">
        <x:is>
          <x:t xml:space="preserve">Legacy estimate — NOT centroid</x:t>
        </x:is>
      </x:c>
      <x:c r="I27" s="234" t="inlineStr">
        <x:is>
          <x:t xml:space="preserve">Visually matched</x:t>
        </x:is>
      </x:c>
    </x:row>
    <x:row r="28" s="232" customFormat="1" ht="28" customHeight="1">
      <x:c r="A28" s="234" t="n">
        <x:v>73</x:v>
      </x:c>
      <x:c r="B28" s="234" t="n">
        <x:v>4</x:v>
      </x:c>
      <x:c r="C28" s="234" t="inlineStr">
        <x:is>
          <x:t xml:space="preserve">lower-right</x:t>
        </x:is>
      </x:c>
      <x:c r="D28" s="234" t="n">
        <x:v>663</x:v>
      </x:c>
      <x:c r="E28" s="234" t="n">
        <x:v>1110</x:v>
      </x:c>
      <x:c r="F28" s="298" t="n">
        <x:v>1604.032258064516</x:v>
      </x:c>
      <x:c r="G28" s="298" t="n">
        <x:v>2685.483870967742</x:v>
      </x:c>
      <x:c r="H28" s="234" t="inlineStr">
        <x:is>
          <x:t xml:space="preserve">Legacy estimate — NOT centroid</x:t>
        </x:is>
      </x:c>
      <x:c r="I28" s="234" t="inlineStr">
        <x:is>
          <x:t xml:space="preserve">Visually matched</x:t>
        </x:is>
      </x:c>
    </x:row>
    <x:row r="29" s="232" customFormat="1" ht="28" customHeight="1">
      <x:c r="A29" s="234" t="n">
        <x:v>73</x:v>
      </x:c>
      <x:c r="B29" s="234" t="n">
        <x:v>5</x:v>
      </x:c>
      <x:c r="C29" s="234" t="inlineStr">
        <x:is>
          <x:t xml:space="preserve">bottom / lower-middle</x:t>
        </x:is>
      </x:c>
      <x:c r="D29" s="234" t="n">
        <x:v>582</x:v>
      </x:c>
      <x:c r="E29" s="234" t="n">
        <x:v>1136</x:v>
      </x:c>
      <x:c r="F29" s="298" t="n">
        <x:v>1408.064516129032</x:v>
      </x:c>
      <x:c r="G29" s="298" t="n">
        <x:v>2748.387096774194</x:v>
      </x:c>
      <x:c r="H29" s="234" t="inlineStr">
        <x:is>
          <x:t xml:space="preserve">Legacy estimate — NOT centroid</x:t>
        </x:is>
      </x:c>
      <x:c r="I29" s="234" t="inlineStr">
        <x:is>
          <x:t xml:space="preserve">Visually matched</x:t>
        </x:is>
      </x:c>
    </x:row>
    <x:row r="31">
      <x:c r="A31" s="290" t="inlineStr">
        <x:is>
          <x:t xml:space="preserve">Exploratory label correspondences from optimal Procrustes fit — legacy coordinates only</x:t>
        </x:is>
      </x:c>
      <x:c r="B31" s="1" t="n"/>
      <x:c r="C31" s="1" t="n"/>
      <x:c r="D31" s="1" t="n"/>
      <x:c r="E31" s="1" t="n"/>
      <x:c r="F31" s="1" t="n"/>
    </x:row>
    <x:row r="32" s="232" customFormat="1" ht="36" customHeight="1">
      <x:c r="A32" s="161" t="inlineStr">
        <x:is>
          <x:t xml:space="preserve">Page pair</x:t>
        </x:is>
      </x:c>
      <x:c r="B32" s="161" t="inlineStr">
        <x:is>
          <x:t xml:space="preserve">Mapping from A labels to B labels</x:t>
        </x:is>
      </x:c>
      <x:c r="C32" s="161" t="inlineStr">
        <x:is>
          <x:t xml:space="preserve">Best normalized Procrustes RMS</x:t>
        </x:is>
      </x:c>
      <x:c r="D32" s="161" t="inlineStr">
        <x:is>
          <x:t xml:space="preserve">Reflection permitted</x:t>
        </x:is>
      </x:c>
      <x:c r="E32" s="161" t="inlineStr">
        <x:is>
          <x:t xml:space="preserve">Status</x:t>
        </x:is>
      </x:c>
      <x:c r="F32" s="161" t="inlineStr">
        <x:is>
          <x:t xml:space="preserve">Interpretation</x:t>
        </x:is>
      </x:c>
    </x:row>
    <x:row r="33" s="232" customFormat="1" ht="52" customHeight="1">
      <x:c r="A33" s="234" t="inlineStr">
        <x:is>
          <x:t xml:space="preserve">24 → 40</x:t>
        </x:is>
      </x:c>
      <x:c r="B33" s="234" t="inlineStr">
        <x:is>
          <x:t xml:space="preserve">1→1; 2→2; 3→5; 4→4; 5→3</x:t>
        </x:is>
      </x:c>
      <x:c r="C33" s="234" t="n">
        <x:v>0.001517888169628596</x:v>
      </x:c>
      <x:c r="D33" s="234" t="inlineStr">
        <x:is>
          <x:t xml:space="preserve">Yes</x:t>
        </x:is>
      </x:c>
      <x:c r="E33" s="234" t="inlineStr">
        <x:is>
          <x:t xml:space="preserve">NOT INFERENTIAL</x:t>
        </x:is>
      </x:c>
      <x:c r="F33" s="234" t="inlineStr">
        <x:is>
          <x:t xml:space="preserve">Matches a vertical reflection pattern in the estimates; exact x set reuse is a major dependence warning.</x:t>
        </x:is>
      </x:c>
    </x:row>
    <x:row r="34" s="232" customFormat="1" ht="52" customHeight="1">
      <x:c r="A34" s="234" t="inlineStr">
        <x:is>
          <x:t xml:space="preserve">24 → 73</x:t>
        </x:is>
      </x:c>
      <x:c r="B34" s="234" t="inlineStr">
        <x:is>
          <x:t xml:space="preserve">1→4; 2→5; 3→3; 4→2; 5→1</x:t>
        </x:is>
      </x:c>
      <x:c r="C34" s="234" t="n">
        <x:v>0.002612338121398757</x:v>
      </x:c>
      <x:c r="D34" s="234" t="inlineStr">
        <x:is>
          <x:t xml:space="preserve">Yes</x:t>
        </x:is>
      </x:c>
      <x:c r="E34" s="234" t="inlineStr">
        <x:is>
          <x:t xml:space="preserve">NOT INFERENTIAL</x:t>
        </x:is>
      </x:c>
      <x:c r="F34" s="234" t="inlineStr">
        <x:is>
          <x:t xml:space="preserve">Best correspondence among 120 permutations; requires independent centroids before any reading-order test.</x:t>
        </x:is>
      </x:c>
    </x:row>
    <x:row r="35" s="232" customFormat="1" ht="52" customHeight="1">
      <x:c r="A35" s="234" t="inlineStr">
        <x:is>
          <x:t xml:space="preserve">40 → 73</x:t>
        </x:is>
      </x:c>
      <x:c r="B35" s="234" t="inlineStr">
        <x:is>
          <x:t xml:space="preserve">1→4; 2→5; 3→1; 4→2; 5→3</x:t>
        </x:is>
      </x:c>
      <x:c r="C35" s="234" t="n">
        <x:v>0.002681700775501991</x:v>
      </x:c>
      <x:c r="D35" s="234" t="inlineStr">
        <x:is>
          <x:t xml:space="preserve">No</x:t>
        </x:is>
      </x:c>
      <x:c r="E35" s="234" t="inlineStr">
        <x:is>
          <x:t xml:space="preserve">NOT INFERENTIAL</x:t>
        </x:is>
      </x:c>
      <x:c r="F35" s="234" t="inlineStr">
        <x:is>
          <x:t xml:space="preserve">Exploratory fit; optimized correspondence is expected to appear close and does not establish an encoding.</x:t>
        </x:is>
      </x:c>
    </x:row>
    <x:row r="37" s="232" customFormat="1" ht="38" customHeight="1">
      <x:c r="A37" s="297" t="inlineStr">
        <x:is>
          <x:t xml:space="preserve">Decision: keep the five-dot pilot open, but withhold inference until independent local pixel-centroid extraction and matched controls are run.</x:t>
        </x:is>
      </x:c>
      <x:c r="B37" s="1" t="n"/>
      <x:c r="C37" s="1" t="n"/>
      <x:c r="D37" s="1" t="n"/>
      <x:c r="E37" s="1" t="n"/>
      <x:c r="F37" s="1" t="n"/>
    </x:row>
  </x:sheetData>
  <x:mergeCells>
    <x:mergeCell ref="A2:I2"/>
    <x:mergeCell ref="A13:I13"/>
    <x:mergeCell ref="A37:F37"/>
    <x:mergeCell ref="A1:I1"/>
    <x:mergeCell ref="A31:F31"/>
    <x:mergeCell ref="A12:I12"/>
  </x:mergeCells>
  <x:pageMargins left="0.7" right="0.7" top="0.75" bottom="0.75" header="0.3" footer="0.3"/>
</x:worksheet>
</file>

<file path=xl/worksheets/sheet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9" style="232" customWidth="1"/>
    <x:col min="2" max="2" width="10" style="232" customWidth="1"/>
    <x:col min="3" max="3" width="22" style="232" customWidth="1"/>
    <x:col min="4" max="4" width="17" style="232" customWidth="1"/>
    <x:col min="5" max="5" width="17" style="232" customWidth="1"/>
    <x:col min="6" max="6" width="14" style="232" customWidth="1"/>
    <x:col min="7" max="7" width="14" style="232" customWidth="1"/>
    <x:col min="8" max="8" width="12" style="232" customWidth="1"/>
    <x:col min="9" max="9" width="12" style="232" customWidth="1"/>
    <x:col min="10" max="10" width="12" style="232" customWidth="1"/>
    <x:col min="11" max="11" width="12" style="232" customWidth="1"/>
    <x:col min="12" max="12" width="12" style="232" customWidth="1"/>
    <x:col min="13" max="13" width="12" style="232" customWidth="1"/>
    <x:col min="14" max="14" width="12" style="232" customWidth="1"/>
    <x:col min="15" max="15" width="20" style="232" customWidth="1"/>
    <x:col min="16" max="16" width="19" style="232" customWidth="1"/>
    <x:col min="17" max="17" width="17" style="232" customWidth="1"/>
    <x:col min="18" max="18" width="17" style="232" customWidth="1"/>
    <x:col min="19" max="19" width="13" style="232" customWidth="1"/>
    <x:col min="20" max="20" width="43" style="232" customWidth="1"/>
    <x:col min="21" max="21" width="64" style="232" customWidth="1"/>
  </x:cols>
  <x:sheetData>
    <x:row r="1" s="232" customFormat="1" ht="26" customHeight="1">
      <x:c r="A1" s="291" t="inlineStr">
        <x:is>
          <x:t xml:space="preserve">Measured Dot Centroids — Five-Dot Pilot v0.8</x:t>
        </x:is>
      </x:c>
      <x:c r="B1" s="1" t="n"/>
      <x:c r="C1" s="1" t="n"/>
      <x:c r="D1" s="1" t="n"/>
      <x:c r="E1" s="1" t="n"/>
      <x:c r="F1" s="1" t="n"/>
      <x:c r="G1" s="1" t="n"/>
      <x:c r="H1" s="1" t="n"/>
      <x:c r="I1" s="1" t="n"/>
      <x:c r="J1" s="1" t="n"/>
      <x:c r="K1" s="1" t="n"/>
      <x:c r="L1" s="1" t="n"/>
      <x:c r="M1" s="1" t="n"/>
      <x:c r="N1" s="1" t="n"/>
      <x:c r="O1" s="1" t="n"/>
      <x:c r="P1" s="1" t="n"/>
      <x:c r="Q1" s="1" t="n"/>
      <x:c r="R1" s="1" t="n"/>
      <x:c r="S1" s="1" t="n"/>
      <x:c r="T1" s="1" t="n"/>
      <x:c r="U1" s="1" t="n"/>
    </x:row>
    <x:row r="2" s="232" customFormat="1" ht="42" customHeight="1">
      <x:c r="A2" s="13" t="inlineStr">
        <x:is>
          <x:t xml:space="preserve">Direct measurements from the verified original JPEG byte streams. Coordinates are source-raster pixels (2400 × 3600), origin top-left. Centroid threshold 60 is primary; seed coordinates only bounded the local crops and are not the reported measurements.</x:t>
        </x:is>
      </x:c>
      <x:c r="B2" s="1" t="n"/>
      <x:c r="C2" s="1" t="n"/>
      <x:c r="D2" s="1" t="n"/>
      <x:c r="E2" s="1" t="n"/>
      <x:c r="F2" s="1" t="n"/>
      <x:c r="G2" s="1" t="n"/>
      <x:c r="H2" s="1" t="n"/>
      <x:c r="I2" s="1" t="n"/>
      <x:c r="J2" s="1" t="n"/>
      <x:c r="K2" s="1" t="n"/>
      <x:c r="L2" s="1" t="n"/>
      <x:c r="M2" s="1" t="n"/>
      <x:c r="N2" s="1" t="n"/>
      <x:c r="O2" s="1" t="n"/>
      <x:c r="P2" s="1" t="n"/>
      <x:c r="Q2" s="1" t="n"/>
      <x:c r="R2" s="1" t="n"/>
      <x:c r="S2" s="1" t="n"/>
      <x:c r="T2" s="1" t="n"/>
      <x:c r="U2" s="1" t="n"/>
    </x:row>
    <x:row r="4" s="232" customFormat="1" ht="42" customHeight="1">
      <x:c r="A4" s="181" t="inlineStr">
        <x:is>
          <x:t xml:space="preserve">Page</x:t>
        </x:is>
      </x:c>
      <x:c r="B4" s="181" t="inlineStr">
        <x:is>
          <x:t xml:space="preserve">Dot label</x:t>
        </x:is>
      </x:c>
      <x:c r="C4" s="181" t="inlineStr">
        <x:is>
          <x:t xml:space="preserve">Annotated physical position</x:t>
        </x:is>
      </x:c>
      <x:c r="D4" s="181" t="inlineStr">
        <x:is>
          <x:t xml:space="preserve">Centroid X px (T=60)</x:t>
        </x:is>
      </x:c>
      <x:c r="E4" s="181" t="inlineStr">
        <x:is>
          <x:t xml:space="preserve">Centroid Y px (T=60)</x:t>
        </x:is>
      </x:c>
      <x:c r="F4" s="181" t="inlineStr">
        <x:is>
          <x:t xml:space="preserve">X normalized</x:t>
        </x:is>
      </x:c>
      <x:c r="G4" s="181" t="inlineStr">
        <x:is>
          <x:t xml:space="preserve">Y normalized</x:t>
        </x:is>
      </x:c>
      <x:c r="H4" s="181" t="inlineStr">
        <x:is>
          <x:t xml:space="preserve">Area px (T=60)</x:t>
        </x:is>
      </x:c>
      <x:c r="I4" s="181" t="inlineStr">
        <x:is>
          <x:t xml:space="preserve">BBox X0 px</x:t>
        </x:is>
      </x:c>
      <x:c r="J4" s="181" t="inlineStr">
        <x:is>
          <x:t xml:space="preserve">BBox Y0 px</x:t>
        </x:is>
      </x:c>
      <x:c r="K4" s="181" t="inlineStr">
        <x:is>
          <x:t xml:space="preserve">BBox X1 px</x:t>
        </x:is>
      </x:c>
      <x:c r="L4" s="181" t="inlineStr">
        <x:is>
          <x:t xml:space="preserve">BBox Y1 px</x:t>
        </x:is>
      </x:c>
      <x:c r="M4" s="181" t="inlineStr">
        <x:is>
          <x:t xml:space="preserve">BBox width px</x:t>
        </x:is>
      </x:c>
      <x:c r="N4" s="181" t="inlineStr">
        <x:is>
          <x:t xml:space="preserve">BBox height px</x:t>
        </x:is>
      </x:c>
      <x:c r="O4" s="181" t="inlineStr">
        <x:is>
          <x:t xml:space="preserve">Max centroid shift vs T=60 px</x:t>
        </x:is>
      </x:c>
      <x:c r="P4" s="181" t="inlineStr">
        <x:is>
          <x:t xml:space="preserve">Qualifying detections / 4 thresholds</x:t>
        </x:is>
      </x:c>
      <x:c r="Q4" s="181" t="inlineStr">
        <x:is>
          <x:t xml:space="preserve">ROI seed X (display px)</x:t>
        </x:is>
      </x:c>
      <x:c r="R4" s="181" t="inlineStr">
        <x:is>
          <x:t xml:space="preserve">ROI seed Y (display px)</x:t>
        </x:is>
      </x:c>
      <x:c r="S4" s="181" t="inlineStr">
        <x:is>
          <x:t xml:space="preserve">Source bytes</x:t>
        </x:is>
      </x:c>
      <x:c r="T4" s="181" t="inlineStr">
        <x:is>
          <x:t xml:space="preserve">Source Git blob SHA-1</x:t>
        </x:is>
      </x:c>
      <x:c r="U4" s="181" t="inlineStr">
        <x:is>
          <x:t xml:space="preserve">Original scan URL</x:t>
        </x:is>
      </x:c>
    </x:row>
    <x:row r="5">
      <x:c r="A5" s="233" t="n">
        <x:v>24</x:v>
      </x:c>
      <x:c r="B5" s="233" t="n">
        <x:v>1</x:v>
      </x:c>
      <x:c r="C5" s="233" t="inlineStr">
        <x:is>
          <x:t xml:space="preserve">lower-left</x:t>
        </x:is>
      </x:c>
      <x:c r="D5" s="233" t="n">
        <x:v>796.941276</x:v>
      </x:c>
      <x:c r="E5" s="233" t="n">
        <x:v>3105.773292</x:v>
      </x:c>
      <x:c r="F5" s="233" t="n">
        <x:v>0.33205886</x:v>
      </x:c>
      <x:c r="G5" s="233" t="n">
        <x:v>0.8627148</x:v>
      </x:c>
      <x:c r="H5" s="233" t="n">
        <x:v>3542</x:v>
      </x:c>
      <x:c r="I5" s="233" t="n">
        <x:v>763</x:v>
      </x:c>
      <x:c r="J5" s="233" t="n">
        <x:v>3071</x:v>
      </x:c>
      <x:c r="K5" s="233" t="n">
        <x:v>831</x:v>
      </x:c>
      <x:c r="L5" s="233" t="n">
        <x:v>3140</x:v>
      </x:c>
      <x:c r="M5" s="233" t="n">
        <x:v>69</x:v>
      </x:c>
      <x:c r="N5" s="233" t="n">
        <x:v>70</x:v>
      </x:c>
      <x:c r="O5" s="233" t="n">
        <x:v>0.1068</x:v>
      </x:c>
      <x:c r="P5" s="233" t="n">
        <x:v>4</x:v>
      </x:c>
      <x:c r="Q5" s="233" t="n">
        <x:v>329</x:v>
      </x:c>
      <x:c r="R5" s="233" t="n">
        <x:v>1284</x:v>
      </x:c>
      <x:c r="S5" s="233" t="n">
        <x:v>580968</x:v>
      </x:c>
      <x:c r="T5" s="233" t="inlineStr">
        <x:is>
          <x:t xml:space="preserve">2b4e09dbad1a9c602a2919864b1a84f49d7ff501</x:t>
        </x:is>
      </x:c>
      <x:c r="U5" s="233" t="inlineStr">
        <x:is>
          <x:t xml:space="preserve">https://github.com/scream314/cicada3301/blob/master/assets/2014/liber-primus-complete/24.jpg</x:t>
        </x:is>
      </x:c>
    </x:row>
    <x:row r="6">
      <x:c r="A6" s="233" t="n">
        <x:v>24</x:v>
      </x:c>
      <x:c r="B6" s="233" t="n">
        <x:v>2</x:v>
      </x:c>
      <x:c r="C6" s="233" t="inlineStr">
        <x:is>
          <x:t xml:space="preserve">bottom / lower-middle</x:t>
        </x:is>
      </x:c>
      <x:c r="D6" s="233" t="n">
        <x:v>992.5</x:v>
      </x:c>
      <x:c r="E6" s="233" t="n">
        <x:v>3166.637079</x:v>
      </x:c>
      <x:c r="F6" s="233" t="n">
        <x:v>0.41354167</x:v>
      </x:c>
      <x:c r="G6" s="233" t="n">
        <x:v>0.87962141</x:v>
      </x:c>
      <x:c r="H6" s="233" t="n">
        <x:v>3560</x:v>
      </x:c>
      <x:c r="I6" s="233" t="n">
        <x:v>958</x:v>
      </x:c>
      <x:c r="J6" s="233" t="n">
        <x:v>3132</x:v>
      </x:c>
      <x:c r="K6" s="233" t="n">
        <x:v>1027</x:v>
      </x:c>
      <x:c r="L6" s="233" t="n">
        <x:v>3201</x:v>
      </x:c>
      <x:c r="M6" s="233" t="n">
        <x:v>70</x:v>
      </x:c>
      <x:c r="N6" s="233" t="n">
        <x:v>70</x:v>
      </x:c>
      <x:c r="O6" s="233" t="n">
        <x:v>0.0912</x:v>
      </x:c>
      <x:c r="P6" s="233" t="n">
        <x:v>4</x:v>
      </x:c>
      <x:c r="Q6" s="233" t="n">
        <x:v>410</x:v>
      </x:c>
      <x:c r="R6" s="233" t="n">
        <x:v>1309</x:v>
      </x:c>
      <x:c r="S6" s="233" t="n">
        <x:v>580968</x:v>
      </x:c>
      <x:c r="T6" s="233" t="inlineStr">
        <x:is>
          <x:t xml:space="preserve">2b4e09dbad1a9c602a2919864b1a84f49d7ff501</x:t>
        </x:is>
      </x:c>
      <x:c r="U6" s="233" t="inlineStr">
        <x:is>
          <x:t xml:space="preserve">https://github.com/scream314/cicada3301/blob/master/assets/2014/liber-primus-complete/24.jpg</x:t>
        </x:is>
      </x:c>
    </x:row>
    <x:row r="7">
      <x:c r="A7" s="233" t="n">
        <x:v>24</x:v>
      </x:c>
      <x:c r="B7" s="233" t="n">
        <x:v>3</x:v>
      </x:c>
      <x:c r="C7" s="233" t="inlineStr">
        <x:is>
          <x:t xml:space="preserve">lower-right</x:t>
        </x:is>
      </x:c>
      <x:c r="D7" s="233" t="n">
        <x:v>1479.264688</x:v>
      </x:c>
      <x:c r="E7" s="233" t="n">
        <x:v>3127.5</x:v>
      </x:c>
      <x:c r="F7" s="233" t="n">
        <x:v>0.61636029</x:v>
      </x:c>
      <x:c r="G7" s="233" t="n">
        <x:v>0.86875</x:v>
      </x:c>
      <x:c r="H7" s="233" t="n">
        <x:v>3370</x:v>
      </x:c>
      <x:c r="I7" s="233" t="n">
        <x:v>1445</x:v>
      </x:c>
      <x:c r="J7" s="233" t="n">
        <x:v>3093</x:v>
      </x:c>
      <x:c r="K7" s="233" t="n">
        <x:v>1514</x:v>
      </x:c>
      <x:c r="L7" s="233" t="n">
        <x:v>3162</x:v>
      </x:c>
      <x:c r="M7" s="233" t="n">
        <x:v>70</x:v>
      </x:c>
      <x:c r="N7" s="233" t="n">
        <x:v>70</x:v>
      </x:c>
      <x:c r="O7" s="233" t="n">
        <x:v>0.0565</x:v>
      </x:c>
      <x:c r="P7" s="233" t="n">
        <x:v>4</x:v>
      </x:c>
      <x:c r="Q7" s="233" t="n">
        <x:v>612</x:v>
      </x:c>
      <x:c r="R7" s="233" t="n">
        <x:v>1292</x:v>
      </x:c>
      <x:c r="S7" s="233" t="n">
        <x:v>580968</x:v>
      </x:c>
      <x:c r="T7" s="233" t="inlineStr">
        <x:is>
          <x:t xml:space="preserve">2b4e09dbad1a9c602a2919864b1a84f49d7ff501</x:t>
        </x:is>
      </x:c>
      <x:c r="U7" s="233" t="inlineStr">
        <x:is>
          <x:t xml:space="preserve">https://github.com/scream314/cicada3301/blob/master/assets/2014/liber-primus-complete/24.jpg</x:t>
        </x:is>
      </x:c>
    </x:row>
    <x:row r="8">
      <x:c r="A8" s="233" t="n">
        <x:v>24</x:v>
      </x:c>
      <x:c r="B8" s="233" t="n">
        <x:v>4</x:v>
      </x:c>
      <x:c r="C8" s="233" t="inlineStr">
        <x:is>
          <x:t xml:space="preserve">upper-right</x:t>
        </x:is>
      </x:c>
      <x:c r="D8" s="233" t="n">
        <x:v>1527.153147</x:v>
      </x:c>
      <x:c r="E8" s="233" t="n">
        <x:v>2936.153147</x:v>
      </x:c>
      <x:c r="F8" s="233" t="n">
        <x:v>0.63631381</x:v>
      </x:c>
      <x:c r="G8" s="233" t="n">
        <x:v>0.8155981</x:v>
      </x:c>
      <x:c r="H8" s="233" t="n">
        <x:v>3415</x:v>
      </x:c>
      <x:c r="I8" s="233" t="n">
        <x:v>1493</x:v>
      </x:c>
      <x:c r="J8" s="233" t="n">
        <x:v>2902</x:v>
      </x:c>
      <x:c r="K8" s="233" t="n">
        <x:v>1562</x:v>
      </x:c>
      <x:c r="L8" s="233" t="n">
        <x:v>2971</x:v>
      </x:c>
      <x:c r="M8" s="233" t="n">
        <x:v>70</x:v>
      </x:c>
      <x:c r="N8" s="233" t="n">
        <x:v>70</x:v>
      </x:c>
      <x:c r="O8" s="233" t="n">
        <x:v>0.0335</x:v>
      </x:c>
      <x:c r="P8" s="233" t="n">
        <x:v>4</x:v>
      </x:c>
      <x:c r="Q8" s="233" t="n">
        <x:v>631</x:v>
      </x:c>
      <x:c r="R8" s="233" t="n">
        <x:v>1214</x:v>
      </x:c>
      <x:c r="S8" s="233" t="n">
        <x:v>580968</x:v>
      </x:c>
      <x:c r="T8" s="233" t="inlineStr">
        <x:is>
          <x:t xml:space="preserve">2b4e09dbad1a9c602a2919864b1a84f49d7ff501</x:t>
        </x:is>
      </x:c>
      <x:c r="U8" s="233" t="inlineStr">
        <x:is>
          <x:t xml:space="preserve">https://github.com/scream314/cicada3301/blob/master/assets/2014/liber-primus-complete/24.jpg</x:t>
        </x:is>
      </x:c>
    </x:row>
    <x:row r="9">
      <x:c r="A9" s="233" t="n">
        <x:v>24</x:v>
      </x:c>
      <x:c r="B9" s="233" t="n">
        <x:v>5</x:v>
      </x:c>
      <x:c r="C9" s="233" t="inlineStr">
        <x:is>
          <x:t xml:space="preserve">upper-middle</x:t>
        </x:is>
      </x:c>
      <x:c r="D9" s="233" t="n">
        <x:v>1296.931479</x:v>
      </x:c>
      <x:c r="E9" s="233" t="n">
        <x:v>2866.788872</x:v>
      </x:c>
      <x:c r="F9" s="233" t="n">
        <x:v>0.54038812</x:v>
      </x:c>
      <x:c r="G9" s="233" t="n">
        <x:v>0.79633024</x:v>
      </x:c>
      <x:c r="H9" s="233" t="n">
        <x:v>3415</x:v>
      </x:c>
      <x:c r="I9" s="233" t="n">
        <x:v>1263</x:v>
      </x:c>
      <x:c r="J9" s="233" t="n">
        <x:v>2832</x:v>
      </x:c>
      <x:c r="K9" s="233" t="n">
        <x:v>1331</x:v>
      </x:c>
      <x:c r="L9" s="233" t="n">
        <x:v>2901</x:v>
      </x:c>
      <x:c r="M9" s="233" t="n">
        <x:v>69</x:v>
      </x:c>
      <x:c r="N9" s="233" t="n">
        <x:v>70</x:v>
      </x:c>
      <x:c r="O9" s="233" t="n">
        <x:v>0.0492</x:v>
      </x:c>
      <x:c r="P9" s="233" t="n">
        <x:v>4</x:v>
      </x:c>
      <x:c r="Q9" s="233" t="n">
        <x:v>536</x:v>
      </x:c>
      <x:c r="R9" s="233" t="n">
        <x:v>1185</x:v>
      </x:c>
      <x:c r="S9" s="233" t="n">
        <x:v>580968</x:v>
      </x:c>
      <x:c r="T9" s="233" t="inlineStr">
        <x:is>
          <x:t xml:space="preserve">2b4e09dbad1a9c602a2919864b1a84f49d7ff501</x:t>
        </x:is>
      </x:c>
      <x:c r="U9" s="233" t="inlineStr">
        <x:is>
          <x:t xml:space="preserve">https://github.com/scream314/cicada3301/blob/master/assets/2014/liber-primus-complete/24.jpg</x:t>
        </x:is>
      </x:c>
    </x:row>
    <x:row r="10">
      <x:c r="A10" s="233" t="n">
        <x:v>40</x:v>
      </x:c>
      <x:c r="B10" s="233" t="n">
        <x:v>1</x:v>
      </x:c>
      <x:c r="C10" s="233" t="inlineStr">
        <x:is>
          <x:t xml:space="preserve">upper-left</x:t>
        </x:is>
      </x:c>
      <x:c r="D10" s="233" t="n">
        <x:v>796.941</x:v>
      </x:c>
      <x:c r="E10" s="233" t="n">
        <x:v>568.227</x:v>
      </x:c>
      <x:c r="F10" s="233" t="n">
        <x:v>0.33205875</x:v>
      </x:c>
      <x:c r="G10" s="233" t="n">
        <x:v>0.15784083</x:v>
      </x:c>
      <x:c r="H10" s="233" t="n">
        <x:v>3542</x:v>
      </x:c>
      <x:c r="I10" s="233" t="n">
        <x:v>763</x:v>
      </x:c>
      <x:c r="J10" s="233" t="n">
        <x:v>534</x:v>
      </x:c>
      <x:c r="K10" s="233" t="n">
        <x:v>831</x:v>
      </x:c>
      <x:c r="L10" s="233" t="n">
        <x:v>603</x:v>
      </x:c>
      <x:c r="M10" s="233" t="n">
        <x:v>69</x:v>
      </x:c>
      <x:c r="N10" s="233" t="n">
        <x:v>70</x:v>
      </x:c>
      <x:c r="O10" s="233" t="n">
        <x:v>0.051</x:v>
      </x:c>
      <x:c r="P10" s="233" t="n">
        <x:v>4</x:v>
      </x:c>
      <x:c r="Q10" s="233" t="n">
        <x:v>329</x:v>
      </x:c>
      <x:c r="R10" s="233" t="n">
        <x:v>235</x:v>
      </x:c>
      <x:c r="S10" s="233" t="n">
        <x:v>484095</x:v>
      </x:c>
      <x:c r="T10" s="233" t="inlineStr">
        <x:is>
          <x:t xml:space="preserve">feee4eed2a4f6d66456ff5a977f43c7ef297f8eb</x:t>
        </x:is>
      </x:c>
      <x:c r="U10" s="233" t="inlineStr">
        <x:is>
          <x:t xml:space="preserve">https://github.com/scream314/cicada3301/blob/master/assets/2014/liber-primus-complete/40.jpg</x:t>
        </x:is>
      </x:c>
    </x:row>
    <x:row r="11">
      <x:c r="A11" s="233" t="n">
        <x:v>40</x:v>
      </x:c>
      <x:c r="B11" s="233" t="n">
        <x:v>2</x:v>
      </x:c>
      <x:c r="C11" s="233" t="inlineStr">
        <x:is>
          <x:t xml:space="preserve">upper-middle</x:t>
        </x:is>
      </x:c>
      <x:c r="D11" s="233" t="n">
        <x:v>992.5</x:v>
      </x:c>
      <x:c r="E11" s="233" t="n">
        <x:v>507.363</x:v>
      </x:c>
      <x:c r="F11" s="233" t="n">
        <x:v>0.41354167</x:v>
      </x:c>
      <x:c r="G11" s="233" t="n">
        <x:v>0.14093417</x:v>
      </x:c>
      <x:c r="H11" s="233" t="n">
        <x:v>3560</x:v>
      </x:c>
      <x:c r="I11" s="233" t="n">
        <x:v>958</x:v>
      </x:c>
      <x:c r="J11" s="233" t="n">
        <x:v>473</x:v>
      </x:c>
      <x:c r="K11" s="233" t="n">
        <x:v>1027</x:v>
      </x:c>
      <x:c r="L11" s="233" t="n">
        <x:v>542</x:v>
      </x:c>
      <x:c r="M11" s="233" t="n">
        <x:v>70</x:v>
      </x:c>
      <x:c r="N11" s="233" t="n">
        <x:v>70</x:v>
      </x:c>
      <x:c r="O11" s="233" t="n">
        <x:v>0.1736</x:v>
      </x:c>
      <x:c r="P11" s="233" t="n">
        <x:v>4</x:v>
      </x:c>
      <x:c r="Q11" s="233" t="n">
        <x:v>410</x:v>
      </x:c>
      <x:c r="R11" s="233" t="n">
        <x:v>209</x:v>
      </x:c>
      <x:c r="S11" s="233" t="n">
        <x:v>484095</x:v>
      </x:c>
      <x:c r="T11" s="233" t="inlineStr">
        <x:is>
          <x:t xml:space="preserve">feee4eed2a4f6d66456ff5a977f43c7ef297f8eb</x:t>
        </x:is>
      </x:c>
      <x:c r="U11" s="233" t="inlineStr">
        <x:is>
          <x:t xml:space="preserve">https://github.com/scream314/cicada3301/blob/master/assets/2014/liber-primus-complete/40.jpg</x:t>
        </x:is>
      </x:c>
    </x:row>
    <x:row r="12">
      <x:c r="A12" s="233" t="n">
        <x:v>40</x:v>
      </x:c>
      <x:c r="B12" s="233" t="n">
        <x:v>3</x:v>
      </x:c>
      <x:c r="C12" s="233" t="inlineStr">
        <x:is>
          <x:t xml:space="preserve">lower-left</x:t>
        </x:is>
      </x:c>
      <x:c r="D12" s="233" t="n">
        <x:v>1296.931</x:v>
      </x:c>
      <x:c r="E12" s="233" t="n">
        <x:v>807.211</x:v>
      </x:c>
      <x:c r="F12" s="233" t="n">
        <x:v>0.54038792</x:v>
      </x:c>
      <x:c r="G12" s="233" t="n">
        <x:v>0.22422528</x:v>
      </x:c>
      <x:c r="H12" s="233" t="n">
        <x:v>3415</x:v>
      </x:c>
      <x:c r="I12" s="233" t="n">
        <x:v>1263</x:v>
      </x:c>
      <x:c r="J12" s="233" t="n">
        <x:v>773</x:v>
      </x:c>
      <x:c r="K12" s="233" t="n">
        <x:v>1331</x:v>
      </x:c>
      <x:c r="L12" s="233" t="n">
        <x:v>842</x:v>
      </x:c>
      <x:c r="M12" s="233" t="n">
        <x:v>69</x:v>
      </x:c>
      <x:c r="N12" s="233" t="n">
        <x:v>70</x:v>
      </x:c>
      <x:c r="O12" s="233" t="n">
        <x:v>0.0659</x:v>
      </x:c>
      <x:c r="P12" s="233" t="n">
        <x:v>4</x:v>
      </x:c>
      <x:c r="Q12" s="233" t="n">
        <x:v>536</x:v>
      </x:c>
      <x:c r="R12" s="233" t="n">
        <x:v>334</x:v>
      </x:c>
      <x:c r="S12" s="233" t="n">
        <x:v>484095</x:v>
      </x:c>
      <x:c r="T12" s="233" t="inlineStr">
        <x:is>
          <x:t xml:space="preserve">feee4eed2a4f6d66456ff5a977f43c7ef297f8eb</x:t>
        </x:is>
      </x:c>
      <x:c r="U12" s="233" t="inlineStr">
        <x:is>
          <x:t xml:space="preserve">https://github.com/scream314/cicada3301/blob/master/assets/2014/liber-primus-complete/40.jpg</x:t>
        </x:is>
      </x:c>
    </x:row>
    <x:row r="13">
      <x:c r="A13" s="233" t="n">
        <x:v>40</x:v>
      </x:c>
      <x:c r="B13" s="233" t="n">
        <x:v>4</x:v>
      </x:c>
      <x:c r="C13" s="233" t="inlineStr">
        <x:is>
          <x:t xml:space="preserve">lower-right</x:t>
        </x:is>
      </x:c>
      <x:c r="D13" s="233" t="n">
        <x:v>1527.154</x:v>
      </x:c>
      <x:c r="E13" s="233" t="n">
        <x:v>737.939</x:v>
      </x:c>
      <x:c r="F13" s="233" t="n">
        <x:v>0.63631417</x:v>
      </x:c>
      <x:c r="G13" s="233" t="n">
        <x:v>0.20498306</x:v>
      </x:c>
      <x:c r="H13" s="233" t="n">
        <x:v>3406</x:v>
      </x:c>
      <x:c r="I13" s="233" t="n">
        <x:v>1493</x:v>
      </x:c>
      <x:c r="J13" s="233" t="n">
        <x:v>704</x:v>
      </x:c>
      <x:c r="K13" s="233" t="n">
        <x:v>1562</x:v>
      </x:c>
      <x:c r="L13" s="233" t="n">
        <x:v>772</x:v>
      </x:c>
      <x:c r="M13" s="233" t="n">
        <x:v>70</x:v>
      </x:c>
      <x:c r="N13" s="233" t="n">
        <x:v>69</x:v>
      </x:c>
      <x:c r="O13" s="233" t="n">
        <x:v>0.0342</x:v>
      </x:c>
      <x:c r="P13" s="233" t="n">
        <x:v>4</x:v>
      </x:c>
      <x:c r="Q13" s="233" t="n">
        <x:v>631</x:v>
      </x:c>
      <x:c r="R13" s="233" t="n">
        <x:v>304</x:v>
      </x:c>
      <x:c r="S13" s="233" t="n">
        <x:v>484095</x:v>
      </x:c>
      <x:c r="T13" s="233" t="inlineStr">
        <x:is>
          <x:t xml:space="preserve">feee4eed2a4f6d66456ff5a977f43c7ef297f8eb</x:t>
        </x:is>
      </x:c>
      <x:c r="U13" s="233" t="inlineStr">
        <x:is>
          <x:t xml:space="preserve">https://github.com/scream314/cicada3301/blob/master/assets/2014/liber-primus-complete/40.jpg</x:t>
        </x:is>
      </x:c>
    </x:row>
    <x:row r="14">
      <x:c r="A14" s="233" t="n">
        <x:v>40</x:v>
      </x:c>
      <x:c r="B14" s="233" t="n">
        <x:v>5</x:v>
      </x:c>
      <x:c r="C14" s="233" t="inlineStr">
        <x:is>
          <x:t xml:space="preserve">upper-right</x:t>
        </x:is>
      </x:c>
      <x:c r="D14" s="233" t="n">
        <x:v>1479.265</x:v>
      </x:c>
      <x:c r="E14" s="233" t="n">
        <x:v>546.5</x:v>
      </x:c>
      <x:c r="F14" s="233" t="n">
        <x:v>0.61636042</x:v>
      </x:c>
      <x:c r="G14" s="233" t="n">
        <x:v>0.15180556</x:v>
      </x:c>
      <x:c r="H14" s="233" t="n">
        <x:v>3370</x:v>
      </x:c>
      <x:c r="I14" s="233" t="n">
        <x:v>1445</x:v>
      </x:c>
      <x:c r="J14" s="233" t="n">
        <x:v>512</x:v>
      </x:c>
      <x:c r="K14" s="233" t="n">
        <x:v>1514</x:v>
      </x:c>
      <x:c r="L14" s="233" t="n">
        <x:v>581</x:v>
      </x:c>
      <x:c r="M14" s="233" t="n">
        <x:v>70</x:v>
      </x:c>
      <x:c r="N14" s="233" t="n">
        <x:v>70</x:v>
      </x:c>
      <x:c r="O14" s="233" t="n">
        <x:v>0.0219</x:v>
      </x:c>
      <x:c r="P14" s="233" t="n">
        <x:v>4</x:v>
      </x:c>
      <x:c r="Q14" s="233" t="n">
        <x:v>612</x:v>
      </x:c>
      <x:c r="R14" s="233" t="n">
        <x:v>226</x:v>
      </x:c>
      <x:c r="S14" s="233" t="n">
        <x:v>484095</x:v>
      </x:c>
      <x:c r="T14" s="233" t="inlineStr">
        <x:is>
          <x:t xml:space="preserve">feee4eed2a4f6d66456ff5a977f43c7ef297f8eb</x:t>
        </x:is>
      </x:c>
      <x:c r="U14" s="233" t="inlineStr">
        <x:is>
          <x:t xml:space="preserve">https://github.com/scream314/cicada3301/blob/master/assets/2014/liber-primus-complete/40.jpg</x:t>
        </x:is>
      </x:c>
    </x:row>
    <x:row r="15">
      <x:c r="A15" s="233" t="n">
        <x:v>73</x:v>
      </x:c>
      <x:c r="B15" s="233" t="n">
        <x:v>1</x:v>
      </x:c>
      <x:c r="C15" s="233" t="inlineStr">
        <x:is>
          <x:t xml:space="preserve">upper-middle</x:t>
        </x:is>
      </x:c>
      <x:c r="D15" s="233" t="n">
        <x:v>1103.931</x:v>
      </x:c>
      <x:c r="E15" s="233" t="n">
        <x:v>2447.221</x:v>
      </x:c>
      <x:c r="F15" s="233" t="n">
        <x:v>0.45997125</x:v>
      </x:c>
      <x:c r="G15" s="233" t="n">
        <x:v>0.67978361</x:v>
      </x:c>
      <x:c r="H15" s="233" t="n">
        <x:v>3407</x:v>
      </x:c>
      <x:c r="I15" s="233" t="n">
        <x:v>1070</x:v>
      </x:c>
      <x:c r="J15" s="233" t="n">
        <x:v>2413</x:v>
      </x:c>
      <x:c r="K15" s="233" t="n">
        <x:v>1138</x:v>
      </x:c>
      <x:c r="L15" s="233" t="n">
        <x:v>2482</x:v>
      </x:c>
      <x:c r="M15" s="233" t="n">
        <x:v>69</x:v>
      </x:c>
      <x:c r="N15" s="233" t="n">
        <x:v>70</x:v>
      </x:c>
      <x:c r="O15" s="233" t="n">
        <x:v>0.0789</x:v>
      </x:c>
      <x:c r="P15" s="233" t="n">
        <x:v>4</x:v>
      </x:c>
      <x:c r="Q15" s="233" t="n">
        <x:v>456</x:v>
      </x:c>
      <x:c r="R15" s="233" t="n">
        <x:v>1011</x:v>
      </x:c>
      <x:c r="S15" s="233" t="n">
        <x:v>389813</x:v>
      </x:c>
      <x:c r="T15" s="233" t="inlineStr">
        <x:is>
          <x:t xml:space="preserve">afa3428764199ddf590baf0c055c8caedc079cb1</x:t>
        </x:is>
      </x:c>
      <x:c r="U15" s="233" t="inlineStr">
        <x:is>
          <x:t xml:space="preserve">https://github.com/scream314/cicada3301/blob/master/assets/2014/liber-primus-complete/73.jpg</x:t>
        </x:is>
      </x:c>
    </x:row>
    <x:row r="16">
      <x:c r="A16" s="233" t="n">
        <x:v>73</x:v>
      </x:c>
      <x:c r="B16" s="233" t="n">
        <x:v>2</x:v>
      </x:c>
      <x:c r="C16" s="233" t="inlineStr">
        <x:is>
          <x:t xml:space="preserve">upper-left</x:t>
        </x:is>
      </x:c>
      <x:c r="D16" s="233" t="n">
        <x:v>873.2670000000001</x:v>
      </x:c>
      <x:c r="E16" s="233" t="n">
        <x:v>2517</x:v>
      </x:c>
      <x:c r="F16" s="233" t="n">
        <x:v>0.36386125</x:v>
      </x:c>
      <x:c r="G16" s="233" t="n">
        <x:v>0.69916667</x:v>
      </x:c>
      <x:c r="H16" s="233" t="n">
        <x:v>3408</x:v>
      </x:c>
      <x:c r="I16" s="233" t="n">
        <x:v>839</x:v>
      </x:c>
      <x:c r="J16" s="233" t="n">
        <x:v>2483</x:v>
      </x:c>
      <x:c r="K16" s="233" t="n">
        <x:v>908</x:v>
      </x:c>
      <x:c r="L16" s="233" t="n">
        <x:v>2551</x:v>
      </x:c>
      <x:c r="M16" s="233" t="n">
        <x:v>70</x:v>
      </x:c>
      <x:c r="N16" s="233" t="n">
        <x:v>69</x:v>
      </x:c>
      <x:c r="O16" s="233" t="n">
        <x:v>0.0222</x:v>
      </x:c>
      <x:c r="P16" s="233" t="n">
        <x:v>4</x:v>
      </x:c>
      <x:c r="Q16" s="233" t="n">
        <x:v>360</x:v>
      </x:c>
      <x:c r="R16" s="233" t="n">
        <x:v>1040</x:v>
      </x:c>
      <x:c r="S16" s="233" t="n">
        <x:v>389813</x:v>
      </x:c>
      <x:c r="T16" s="233" t="inlineStr">
        <x:is>
          <x:t xml:space="preserve">afa3428764199ddf590baf0c055c8caedc079cb1</x:t>
        </x:is>
      </x:c>
      <x:c r="U16" s="233" t="inlineStr">
        <x:is>
          <x:t xml:space="preserve">https://github.com/scream314/cicada3301/blob/master/assets/2014/liber-primus-complete/73.jpg</x:t>
        </x:is>
      </x:c>
    </x:row>
    <x:row r="17">
      <x:c r="A17" s="233" t="n">
        <x:v>73</x:v>
      </x:c>
      <x:c r="B17" s="233" t="n">
        <x:v>3</x:v>
      </x:c>
      <x:c r="C17" s="233" t="inlineStr">
        <x:is>
          <x:t xml:space="preserve">lower-left</x:t>
        </x:is>
      </x:c>
      <x:c r="D17" s="233" t="n">
        <x:v>921.154</x:v>
      </x:c>
      <x:c r="E17" s="233" t="n">
        <x:v>2708.061</x:v>
      </x:c>
      <x:c r="F17" s="233" t="n">
        <x:v>0.38381417</x:v>
      </x:c>
      <x:c r="G17" s="233" t="n">
        <x:v>0.75223917</x:v>
      </x:c>
      <x:c r="H17" s="233" t="n">
        <x:v>3406</x:v>
      </x:c>
      <x:c r="I17" s="233" t="n">
        <x:v>887</x:v>
      </x:c>
      <x:c r="J17" s="233" t="n">
        <x:v>2674</x:v>
      </x:c>
      <x:c r="K17" s="233" t="n">
        <x:v>956</x:v>
      </x:c>
      <x:c r="L17" s="233" t="n">
        <x:v>2742</x:v>
      </x:c>
      <x:c r="M17" s="233" t="n">
        <x:v>70</x:v>
      </x:c>
      <x:c r="N17" s="233" t="n">
        <x:v>69</x:v>
      </x:c>
      <x:c r="O17" s="233" t="n">
        <x:v>0.048</x:v>
      </x:c>
      <x:c r="P17" s="233" t="n">
        <x:v>4</x:v>
      </x:c>
      <x:c r="Q17" s="233" t="n">
        <x:v>381</x:v>
      </x:c>
      <x:c r="R17" s="233" t="n">
        <x:v>1118</x:v>
      </x:c>
      <x:c r="S17" s="233" t="n">
        <x:v>389813</x:v>
      </x:c>
      <x:c r="T17" s="233" t="inlineStr">
        <x:is>
          <x:t xml:space="preserve">afa3428764199ddf590baf0c055c8caedc079cb1</x:t>
        </x:is>
      </x:c>
      <x:c r="U17" s="233" t="inlineStr">
        <x:is>
          <x:t xml:space="preserve">https://github.com/scream314/cicada3301/blob/master/assets/2014/liber-primus-complete/73.jpg</x:t>
        </x:is>
      </x:c>
    </x:row>
    <x:row r="18">
      <x:c r="A18" s="233" t="n">
        <x:v>73</x:v>
      </x:c>
      <x:c r="B18" s="233" t="n">
        <x:v>4</x:v>
      </x:c>
      <x:c r="C18" s="233" t="inlineStr">
        <x:is>
          <x:t xml:space="preserve">lower-right</x:t>
        </x:is>
      </x:c>
      <x:c r="D18" s="233" t="n">
        <x:v>1603.926</x:v>
      </x:c>
      <x:c r="E18" s="233" t="n">
        <x:v>2686.5</x:v>
      </x:c>
      <x:c r="F18" s="233" t="n">
        <x:v>0.6683025</x:v>
      </x:c>
      <x:c r="G18" s="233" t="n">
        <x:v>0.74625</x:v>
      </x:c>
      <x:c r="H18" s="233" t="n">
        <x:v>3532</x:v>
      </x:c>
      <x:c r="I18" s="233" t="n">
        <x:v>1570</x:v>
      </x:c>
      <x:c r="J18" s="233" t="n">
        <x:v>2652</x:v>
      </x:c>
      <x:c r="K18" s="233" t="n">
        <x:v>1638</x:v>
      </x:c>
      <x:c r="L18" s="233" t="n">
        <x:v>2721</x:v>
      </x:c>
      <x:c r="M18" s="233" t="n">
        <x:v>69</x:v>
      </x:c>
      <x:c r="N18" s="233" t="n">
        <x:v>70</x:v>
      </x:c>
      <x:c r="O18" s="233" t="n">
        <x:v>0.0311</x:v>
      </x:c>
      <x:c r="P18" s="233" t="n">
        <x:v>4</x:v>
      </x:c>
      <x:c r="Q18" s="233" t="n">
        <x:v>663</x:v>
      </x:c>
      <x:c r="R18" s="233" t="n">
        <x:v>1110</x:v>
      </x:c>
      <x:c r="S18" s="233" t="n">
        <x:v>389813</x:v>
      </x:c>
      <x:c r="T18" s="233" t="inlineStr">
        <x:is>
          <x:t xml:space="preserve">afa3428764199ddf590baf0c055c8caedc079cb1</x:t>
        </x:is>
      </x:c>
      <x:c r="U18" s="233" t="inlineStr">
        <x:is>
          <x:t xml:space="preserve">https://github.com/scream314/cicada3301/blob/master/assets/2014/liber-primus-complete/73.jpg</x:t>
        </x:is>
      </x:c>
    </x:row>
    <x:row r="19">
      <x:c r="A19" s="233" t="n">
        <x:v>73</x:v>
      </x:c>
      <x:c r="B19" s="233" t="n">
        <x:v>5</x:v>
      </x:c>
      <x:c r="C19" s="233" t="inlineStr">
        <x:is>
          <x:t xml:space="preserve">bottom / lower-middle</x:t>
        </x:is>
      </x:c>
      <x:c r="D19" s="233" t="n">
        <x:v>1408.066</x:v>
      </x:c>
      <x:c r="E19" s="233" t="n">
        <x:v>2747.282</x:v>
      </x:c>
      <x:c r="F19" s="233" t="n">
        <x:v>0.58669417</x:v>
      </x:c>
      <x:c r="G19" s="233" t="n">
        <x:v>0.76313389</x:v>
      </x:c>
      <x:c r="H19" s="233" t="n">
        <x:v>3551</x:v>
      </x:c>
      <x:c r="I19" s="233" t="n">
        <x:v>1374</x:v>
      </x:c>
      <x:c r="J19" s="233" t="n">
        <x:v>2713</x:v>
      </x:c>
      <x:c r="K19" s="233" t="n">
        <x:v>1442</x:v>
      </x:c>
      <x:c r="L19" s="233" t="n">
        <x:v>2782</x:v>
      </x:c>
      <x:c r="M19" s="233" t="n">
        <x:v>69</x:v>
      </x:c>
      <x:c r="N19" s="233" t="n">
        <x:v>70</x:v>
      </x:c>
      <x:c r="O19" s="233" t="n">
        <x:v>0.1238</x:v>
      </x:c>
      <x:c r="P19" s="233" t="n">
        <x:v>4</x:v>
      </x:c>
      <x:c r="Q19" s="233" t="n">
        <x:v>582</x:v>
      </x:c>
      <x:c r="R19" s="233" t="n">
        <x:v>1136</x:v>
      </x:c>
      <x:c r="S19" s="233" t="n">
        <x:v>389813</x:v>
      </x:c>
      <x:c r="T19" s="233" t="inlineStr">
        <x:is>
          <x:t xml:space="preserve">afa3428764199ddf590baf0c055c8caedc079cb1</x:t>
        </x:is>
      </x:c>
      <x:c r="U19" s="233" t="inlineStr">
        <x:is>
          <x:t xml:space="preserve">https://github.com/scream314/cicada3301/blob/master/assets/2014/liber-primus-complete/73.jpg</x:t>
        </x:is>
      </x:c>
    </x:row>
    <x:row r="22">
      <x:c r="A22" s="299" t="inlineStr">
        <x:is>
          <x:t xml:space="preserve">Threshold Robustness Detail — 15 dot windows × thresholds 40, 60, 80, 100</x:t>
        </x:is>
      </x:c>
      <x:c r="B22" s="1" t="n"/>
      <x:c r="C22" s="1" t="n"/>
      <x:c r="D22" s="1" t="n"/>
      <x:c r="E22" s="1" t="n"/>
      <x:c r="F22" s="1" t="n"/>
      <x:c r="G22" s="1" t="n"/>
      <x:c r="H22" s="1" t="n"/>
      <x:c r="I22" s="1" t="n"/>
      <x:c r="J22" s="1" t="n"/>
      <x:c r="K22" s="1" t="n"/>
      <x:c r="L22" s="1" t="n"/>
      <x:c r="M22" s="1" t="n"/>
    </x:row>
    <x:row r="23" s="232" customFormat="1" ht="32" customHeight="1">
      <x:c r="A23" s="181" t="inlineStr">
        <x:is>
          <x:t xml:space="preserve">Page</x:t>
        </x:is>
      </x:c>
      <x:c r="B23" s="181" t="inlineStr">
        <x:is>
          <x:t xml:space="preserve">Dot label</x:t>
        </x:is>
      </x:c>
      <x:c r="C23" s="181" t="inlineStr">
        <x:is>
          <x:t xml:space="preserve">Gray threshold</x:t>
        </x:is>
      </x:c>
      <x:c r="D23" s="181" t="inlineStr">
        <x:is>
          <x:t xml:space="preserve">Centroid X px</x:t>
        </x:is>
      </x:c>
      <x:c r="E23" s="181" t="inlineStr">
        <x:is>
          <x:t xml:space="preserve">Centroid Y px</x:t>
        </x:is>
      </x:c>
      <x:c r="F23" s="181" t="inlineStr">
        <x:is>
          <x:t xml:space="preserve">Area px</x:t>
        </x:is>
      </x:c>
      <x:c r="G23" s="181" t="inlineStr">
        <x:is>
          <x:t xml:space="preserve">BBox X0 px</x:t>
        </x:is>
      </x:c>
      <x:c r="H23" s="181" t="inlineStr">
        <x:is>
          <x:t xml:space="preserve">BBox Y0 px</x:t>
        </x:is>
      </x:c>
      <x:c r="I23" s="181" t="inlineStr">
        <x:is>
          <x:t xml:space="preserve">BBox X1 px</x:t>
        </x:is>
      </x:c>
      <x:c r="J23" s="181" t="inlineStr">
        <x:is>
          <x:t xml:space="preserve">BBox Y1 px</x:t>
        </x:is>
      </x:c>
      <x:c r="K23" s="181" t="inlineStr">
        <x:is>
          <x:t xml:space="preserve">BBox width px</x:t>
        </x:is>
      </x:c>
      <x:c r="L23" s="181" t="inlineStr">
        <x:is>
          <x:t xml:space="preserve">BBox height px</x:t>
        </x:is>
      </x:c>
      <x:c r="M23" s="181" t="inlineStr">
        <x:is>
          <x:t xml:space="preserve">Qualifying components in window</x:t>
        </x:is>
      </x:c>
    </x:row>
    <x:row r="24">
      <x:c r="A24" s="233" t="n">
        <x:v>24</x:v>
      </x:c>
      <x:c r="B24" s="233" t="n">
        <x:v>1</x:v>
      </x:c>
      <x:c r="C24" s="233" t="n">
        <x:v>40</x:v>
      </x:c>
      <x:c r="D24" s="233" t="n">
        <x:v>796.938135</x:v>
      </x:c>
      <x:c r="E24" s="233" t="n">
        <x:v>3105.880046</x:v>
      </x:c>
      <x:c r="F24" s="233" t="n">
        <x:v>3443</x:v>
      </x:c>
      <x:c r="G24" s="233" t="n">
        <x:v>763</x:v>
      </x:c>
      <x:c r="H24" s="233" t="n">
        <x:v>3071</x:v>
      </x:c>
      <x:c r="I24" s="233" t="n">
        <x:v>831</x:v>
      </x:c>
      <x:c r="J24" s="233" t="n">
        <x:v>3140</x:v>
      </x:c>
      <x:c r="K24" s="233" t="n">
        <x:v>69</x:v>
      </x:c>
      <x:c r="L24" s="233" t="n">
        <x:v>70</x:v>
      </x:c>
      <x:c r="M24" s="233" t="n">
        <x:v>1</x:v>
      </x:c>
    </x:row>
    <x:row r="25">
      <x:c r="A25" s="233" t="n">
        <x:v>24</x:v>
      </x:c>
      <x:c r="B25" s="233" t="n">
        <x:v>1</x:v>
      </x:c>
      <x:c r="C25" s="233" t="n">
        <x:v>60</x:v>
      </x:c>
      <x:c r="D25" s="233" t="n">
        <x:v>796.941276</x:v>
      </x:c>
      <x:c r="E25" s="233" t="n">
        <x:v>3105.773292</x:v>
      </x:c>
      <x:c r="F25" s="233" t="n">
        <x:v>3542</x:v>
      </x:c>
      <x:c r="G25" s="233" t="n">
        <x:v>763</x:v>
      </x:c>
      <x:c r="H25" s="233" t="n">
        <x:v>3071</x:v>
      </x:c>
      <x:c r="I25" s="233" t="n">
        <x:v>831</x:v>
      </x:c>
      <x:c r="J25" s="233" t="n">
        <x:v>3140</x:v>
      </x:c>
      <x:c r="K25" s="233" t="n">
        <x:v>69</x:v>
      </x:c>
      <x:c r="L25" s="233" t="n">
        <x:v>70</x:v>
      </x:c>
      <x:c r="M25" s="233" t="n">
        <x:v>1</x:v>
      </x:c>
    </x:row>
    <x:row r="26">
      <x:c r="A26" s="233" t="n">
        <x:v>24</x:v>
      </x:c>
      <x:c r="B26" s="233" t="n">
        <x:v>1</x:v>
      </x:c>
      <x:c r="C26" s="233" t="n">
        <x:v>80</x:v>
      </x:c>
      <x:c r="D26" s="233" t="n">
        <x:v>796.941276</x:v>
      </x:c>
      <x:c r="E26" s="233" t="n">
        <x:v>3105.773292</x:v>
      </x:c>
      <x:c r="F26" s="233" t="n">
        <x:v>3542</x:v>
      </x:c>
      <x:c r="G26" s="233" t="n">
        <x:v>763</x:v>
      </x:c>
      <x:c r="H26" s="233" t="n">
        <x:v>3071</x:v>
      </x:c>
      <x:c r="I26" s="233" t="n">
        <x:v>831</x:v>
      </x:c>
      <x:c r="J26" s="233" t="n">
        <x:v>3140</x:v>
      </x:c>
      <x:c r="K26" s="233" t="n">
        <x:v>69</x:v>
      </x:c>
      <x:c r="L26" s="233" t="n">
        <x:v>70</x:v>
      </x:c>
      <x:c r="M26" s="233" t="n">
        <x:v>1</x:v>
      </x:c>
    </x:row>
    <x:row r="27">
      <x:c r="A27" s="233" t="n">
        <x:v>24</x:v>
      </x:c>
      <x:c r="B27" s="233" t="n">
        <x:v>1</x:v>
      </x:c>
      <x:c r="C27" s="233" t="n">
        <x:v>100</x:v>
      </x:c>
      <x:c r="D27" s="233" t="n">
        <x:v>796.935156</x:v>
      </x:c>
      <x:c r="E27" s="233" t="n">
        <x:v>3105.782069</x:v>
      </x:c>
      <x:c r="F27" s="233" t="n">
        <x:v>3547</x:v>
      </x:c>
      <x:c r="G27" s="233" t="n">
        <x:v>763</x:v>
      </x:c>
      <x:c r="H27" s="233" t="n">
        <x:v>3071</x:v>
      </x:c>
      <x:c r="I27" s="233" t="n">
        <x:v>831</x:v>
      </x:c>
      <x:c r="J27" s="233" t="n">
        <x:v>3140</x:v>
      </x:c>
      <x:c r="K27" s="233" t="n">
        <x:v>69</x:v>
      </x:c>
      <x:c r="L27" s="233" t="n">
        <x:v>70</x:v>
      </x:c>
      <x:c r="M27" s="233" t="n">
        <x:v>1</x:v>
      </x:c>
    </x:row>
    <x:row r="28">
      <x:c r="A28" s="233" t="n">
        <x:v>24</x:v>
      </x:c>
      <x:c r="B28" s="233" t="n">
        <x:v>2</x:v>
      </x:c>
      <x:c r="C28" s="233" t="n">
        <x:v>40</x:v>
      </x:c>
      <x:c r="D28" s="233" t="n">
        <x:v>992.503967</x:v>
      </x:c>
      <x:c r="E28" s="233" t="n">
        <x:v>3166.728181</x:v>
      </x:c>
      <x:c r="F28" s="233" t="n">
        <x:v>3403</x:v>
      </x:c>
      <x:c r="G28" s="233" t="n">
        <x:v>958</x:v>
      </x:c>
      <x:c r="H28" s="233" t="n">
        <x:v>3132</x:v>
      </x:c>
      <x:c r="I28" s="233" t="n">
        <x:v>1027</x:v>
      </x:c>
      <x:c r="J28" s="233" t="n">
        <x:v>3201</x:v>
      </x:c>
      <x:c r="K28" s="233" t="n">
        <x:v>70</x:v>
      </x:c>
      <x:c r="L28" s="233" t="n">
        <x:v>70</x:v>
      </x:c>
      <x:c r="M28" s="233" t="n">
        <x:v>1</x:v>
      </x:c>
    </x:row>
    <x:row r="29">
      <x:c r="A29" s="233" t="n">
        <x:v>24</x:v>
      </x:c>
      <x:c r="B29" s="233" t="n">
        <x:v>2</x:v>
      </x:c>
      <x:c r="C29" s="233" t="n">
        <x:v>60</x:v>
      </x:c>
      <x:c r="D29" s="233" t="n">
        <x:v>992.5</x:v>
      </x:c>
      <x:c r="E29" s="233" t="n">
        <x:v>3166.637079</x:v>
      </x:c>
      <x:c r="F29" s="233" t="n">
        <x:v>3560</x:v>
      </x:c>
      <x:c r="G29" s="233" t="n">
        <x:v>958</x:v>
      </x:c>
      <x:c r="H29" s="233" t="n">
        <x:v>3132</x:v>
      </x:c>
      <x:c r="I29" s="233" t="n">
        <x:v>1027</x:v>
      </x:c>
      <x:c r="J29" s="233" t="n">
        <x:v>3201</x:v>
      </x:c>
      <x:c r="K29" s="233" t="n">
        <x:v>70</x:v>
      </x:c>
      <x:c r="L29" s="233" t="n">
        <x:v>70</x:v>
      </x:c>
      <x:c r="M29" s="233" t="n">
        <x:v>1</x:v>
      </x:c>
    </x:row>
    <x:row r="30">
      <x:c r="A30" s="233" t="n">
        <x:v>24</x:v>
      </x:c>
      <x:c r="B30" s="233" t="n">
        <x:v>2</x:v>
      </x:c>
      <x:c r="C30" s="233" t="n">
        <x:v>80</x:v>
      </x:c>
      <x:c r="D30" s="233" t="n">
        <x:v>992.5</x:v>
      </x:c>
      <x:c r="E30" s="233" t="n">
        <x:v>3166.637079</x:v>
      </x:c>
      <x:c r="F30" s="233" t="n">
        <x:v>3560</x:v>
      </x:c>
      <x:c r="G30" s="233" t="n">
        <x:v>958</x:v>
      </x:c>
      <x:c r="H30" s="233" t="n">
        <x:v>3132</x:v>
      </x:c>
      <x:c r="I30" s="233" t="n">
        <x:v>1027</x:v>
      </x:c>
      <x:c r="J30" s="233" t="n">
        <x:v>3201</x:v>
      </x:c>
      <x:c r="K30" s="233" t="n">
        <x:v>70</x:v>
      </x:c>
      <x:c r="L30" s="233" t="n">
        <x:v>70</x:v>
      </x:c>
      <x:c r="M30" s="233" t="n">
        <x:v>1</x:v>
      </x:c>
    </x:row>
    <x:row r="31">
      <x:c r="A31" s="233" t="n">
        <x:v>24</x:v>
      </x:c>
      <x:c r="B31" s="233" t="n">
        <x:v>2</x:v>
      </x:c>
      <x:c r="C31" s="233" t="n">
        <x:v>100</x:v>
      </x:c>
      <x:c r="D31" s="233" t="n">
        <x:v>992.521178</x:v>
      </x:c>
      <x:c r="E31" s="233" t="n">
        <x:v>3166.629734</x:v>
      </x:c>
      <x:c r="F31" s="233" t="n">
        <x:v>3565</x:v>
      </x:c>
      <x:c r="G31" s="233" t="n">
        <x:v>958</x:v>
      </x:c>
      <x:c r="H31" s="233" t="n">
        <x:v>3132</x:v>
      </x:c>
      <x:c r="I31" s="233" t="n">
        <x:v>1027</x:v>
      </x:c>
      <x:c r="J31" s="233" t="n">
        <x:v>3201</x:v>
      </x:c>
      <x:c r="K31" s="233" t="n">
        <x:v>70</x:v>
      </x:c>
      <x:c r="L31" s="233" t="n">
        <x:v>70</x:v>
      </x:c>
      <x:c r="M31" s="233" t="n">
        <x:v>1</x:v>
      </x:c>
    </x:row>
    <x:row r="32">
      <x:c r="A32" s="233" t="n">
        <x:v>24</x:v>
      </x:c>
      <x:c r="B32" s="233" t="n">
        <x:v>3</x:v>
      </x:c>
      <x:c r="C32" s="233" t="n">
        <x:v>40</x:v>
      </x:c>
      <x:c r="D32" s="233" t="n">
        <x:v>1479.264688</x:v>
      </x:c>
      <x:c r="E32" s="233" t="n">
        <x:v>3127.5</x:v>
      </x:c>
      <x:c r="F32" s="233" t="n">
        <x:v>3370</x:v>
      </x:c>
      <x:c r="G32" s="233" t="n">
        <x:v>1445</x:v>
      </x:c>
      <x:c r="H32" s="233" t="n">
        <x:v>3093</x:v>
      </x:c>
      <x:c r="I32" s="233" t="n">
        <x:v>1514</x:v>
      </x:c>
      <x:c r="J32" s="233" t="n">
        <x:v>3162</x:v>
      </x:c>
      <x:c r="K32" s="233" t="n">
        <x:v>70</x:v>
      </x:c>
      <x:c r="L32" s="233" t="n">
        <x:v>70</x:v>
      </x:c>
      <x:c r="M32" s="233" t="n">
        <x:v>1</x:v>
      </x:c>
    </x:row>
    <x:row r="33">
      <x:c r="A33" s="233" t="n">
        <x:v>24</x:v>
      </x:c>
      <x:c r="B33" s="233" t="n">
        <x:v>3</x:v>
      </x:c>
      <x:c r="C33" s="233" t="n">
        <x:v>60</x:v>
      </x:c>
      <x:c r="D33" s="233" t="n">
        <x:v>1479.264688</x:v>
      </x:c>
      <x:c r="E33" s="233" t="n">
        <x:v>3127.5</x:v>
      </x:c>
      <x:c r="F33" s="233" t="n">
        <x:v>3370</x:v>
      </x:c>
      <x:c r="G33" s="233" t="n">
        <x:v>1445</x:v>
      </x:c>
      <x:c r="H33" s="233" t="n">
        <x:v>3093</x:v>
      </x:c>
      <x:c r="I33" s="233" t="n">
        <x:v>1514</x:v>
      </x:c>
      <x:c r="J33" s="233" t="n">
        <x:v>3162</x:v>
      </x:c>
      <x:c r="K33" s="233" t="n">
        <x:v>70</x:v>
      </x:c>
      <x:c r="L33" s="233" t="n">
        <x:v>70</x:v>
      </x:c>
      <x:c r="M33" s="233" t="n">
        <x:v>1</x:v>
      </x:c>
    </x:row>
    <x:row r="34">
      <x:c r="A34" s="233" t="n">
        <x:v>24</x:v>
      </x:c>
      <x:c r="B34" s="233" t="n">
        <x:v>3</x:v>
      </x:c>
      <x:c r="C34" s="233" t="n">
        <x:v>80</x:v>
      </x:c>
      <x:c r="D34" s="233" t="n">
        <x:v>1479.264688</x:v>
      </x:c>
      <x:c r="E34" s="233" t="n">
        <x:v>3127.5</x:v>
      </x:c>
      <x:c r="F34" s="233" t="n">
        <x:v>3370</x:v>
      </x:c>
      <x:c r="G34" s="233" t="n">
        <x:v>1445</x:v>
      </x:c>
      <x:c r="H34" s="233" t="n">
        <x:v>3093</x:v>
      </x:c>
      <x:c r="I34" s="233" t="n">
        <x:v>1514</x:v>
      </x:c>
      <x:c r="J34" s="233" t="n">
        <x:v>3162</x:v>
      </x:c>
      <x:c r="K34" s="233" t="n">
        <x:v>70</x:v>
      </x:c>
      <x:c r="L34" s="233" t="n">
        <x:v>70</x:v>
      </x:c>
      <x:c r="M34" s="233" t="n">
        <x:v>1</x:v>
      </x:c>
    </x:row>
    <x:row r="35">
      <x:c r="A35" s="233" t="n">
        <x:v>24</x:v>
      </x:c>
      <x:c r="B35" s="233" t="n">
        <x:v>3</x:v>
      </x:c>
      <x:c r="C35" s="233" t="n">
        <x:v>100</x:v>
      </x:c>
      <x:c r="D35" s="233" t="n">
        <x:v>1479.321219</x:v>
      </x:c>
      <x:c r="E35" s="233" t="n">
        <x:v>3127.5</x:v>
      </x:c>
      <x:c r="F35" s="233" t="n">
        <x:v>3412</x:v>
      </x:c>
      <x:c r="G35" s="233" t="n">
        <x:v>1445</x:v>
      </x:c>
      <x:c r="H35" s="233" t="n">
        <x:v>3093</x:v>
      </x:c>
      <x:c r="I35" s="233" t="n">
        <x:v>1514</x:v>
      </x:c>
      <x:c r="J35" s="233" t="n">
        <x:v>3162</x:v>
      </x:c>
      <x:c r="K35" s="233" t="n">
        <x:v>70</x:v>
      </x:c>
      <x:c r="L35" s="233" t="n">
        <x:v>70</x:v>
      </x:c>
      <x:c r="M35" s="233" t="n">
        <x:v>1</x:v>
      </x:c>
    </x:row>
    <x:row r="36">
      <x:c r="A36" s="233" t="n">
        <x:v>24</x:v>
      </x:c>
      <x:c r="B36" s="233" t="n">
        <x:v>4</x:v>
      </x:c>
      <x:c r="C36" s="233" t="n">
        <x:v>40</x:v>
      </x:c>
      <x:c r="D36" s="233" t="n">
        <x:v>1527.153147</x:v>
      </x:c>
      <x:c r="E36" s="233" t="n">
        <x:v>2936.153147</x:v>
      </x:c>
      <x:c r="F36" s="233" t="n">
        <x:v>3415</x:v>
      </x:c>
      <x:c r="G36" s="233" t="n">
        <x:v>1493</x:v>
      </x:c>
      <x:c r="H36" s="233" t="n">
        <x:v>2902</x:v>
      </x:c>
      <x:c r="I36" s="233" t="n">
        <x:v>1562</x:v>
      </x:c>
      <x:c r="J36" s="233" t="n">
        <x:v>2971</x:v>
      </x:c>
      <x:c r="K36" s="233" t="n">
        <x:v>70</x:v>
      </x:c>
      <x:c r="L36" s="233" t="n">
        <x:v>70</x:v>
      </x:c>
      <x:c r="M36" s="233" t="n">
        <x:v>1</x:v>
      </x:c>
    </x:row>
    <x:row r="37">
      <x:c r="A37" s="233" t="n">
        <x:v>24</x:v>
      </x:c>
      <x:c r="B37" s="233" t="n">
        <x:v>4</x:v>
      </x:c>
      <x:c r="C37" s="233" t="n">
        <x:v>60</x:v>
      </x:c>
      <x:c r="D37" s="233" t="n">
        <x:v>1527.153147</x:v>
      </x:c>
      <x:c r="E37" s="233" t="n">
        <x:v>2936.153147</x:v>
      </x:c>
      <x:c r="F37" s="233" t="n">
        <x:v>3415</x:v>
      </x:c>
      <x:c r="G37" s="233" t="n">
        <x:v>1493</x:v>
      </x:c>
      <x:c r="H37" s="233" t="n">
        <x:v>2902</x:v>
      </x:c>
      <x:c r="I37" s="233" t="n">
        <x:v>1562</x:v>
      </x:c>
      <x:c r="J37" s="233" t="n">
        <x:v>2971</x:v>
      </x:c>
      <x:c r="K37" s="233" t="n">
        <x:v>70</x:v>
      </x:c>
      <x:c r="L37" s="233" t="n">
        <x:v>70</x:v>
      </x:c>
      <x:c r="M37" s="233" t="n">
        <x:v>1</x:v>
      </x:c>
    </x:row>
    <x:row r="38">
      <x:c r="A38" s="233" t="n">
        <x:v>24</x:v>
      </x:c>
      <x:c r="B38" s="233" t="n">
        <x:v>4</x:v>
      </x:c>
      <x:c r="C38" s="233" t="n">
        <x:v>80</x:v>
      </x:c>
      <x:c r="D38" s="233" t="n">
        <x:v>1527.153147</x:v>
      </x:c>
      <x:c r="E38" s="233" t="n">
        <x:v>2936.153147</x:v>
      </x:c>
      <x:c r="F38" s="233" t="n">
        <x:v>3415</x:v>
      </x:c>
      <x:c r="G38" s="233" t="n">
        <x:v>1493</x:v>
      </x:c>
      <x:c r="H38" s="233" t="n">
        <x:v>2902</x:v>
      </x:c>
      <x:c r="I38" s="233" t="n">
        <x:v>1562</x:v>
      </x:c>
      <x:c r="J38" s="233" t="n">
        <x:v>2971</x:v>
      </x:c>
      <x:c r="K38" s="233" t="n">
        <x:v>70</x:v>
      </x:c>
      <x:c r="L38" s="233" t="n">
        <x:v>70</x:v>
      </x:c>
      <x:c r="M38" s="233" t="n">
        <x:v>1</x:v>
      </x:c>
    </x:row>
    <x:row r="39">
      <x:c r="A39" s="233" t="n">
        <x:v>24</x:v>
      </x:c>
      <x:c r="B39" s="233" t="n">
        <x:v>4</x:v>
      </x:c>
      <x:c r="C39" s="233" t="n">
        <x:v>100</x:v>
      </x:c>
      <x:c r="D39" s="233" t="n">
        <x:v>1527.174027</x:v>
      </x:c>
      <x:c r="E39" s="233" t="n">
        <x:v>2936.126961</x:v>
      </x:c>
      <x:c r="F39" s="233" t="n">
        <x:v>3442</x:v>
      </x:c>
      <x:c r="G39" s="233" t="n">
        <x:v>1493</x:v>
      </x:c>
      <x:c r="H39" s="233" t="n">
        <x:v>2902</x:v>
      </x:c>
      <x:c r="I39" s="233" t="n">
        <x:v>1562</x:v>
      </x:c>
      <x:c r="J39" s="233" t="n">
        <x:v>2971</x:v>
      </x:c>
      <x:c r="K39" s="233" t="n">
        <x:v>70</x:v>
      </x:c>
      <x:c r="L39" s="233" t="n">
        <x:v>70</x:v>
      </x:c>
      <x:c r="M39" s="233" t="n">
        <x:v>1</x:v>
      </x:c>
    </x:row>
    <x:row r="40">
      <x:c r="A40" s="233" t="n">
        <x:v>24</x:v>
      </x:c>
      <x:c r="B40" s="233" t="n">
        <x:v>5</x:v>
      </x:c>
      <x:c r="C40" s="233" t="n">
        <x:v>40</x:v>
      </x:c>
      <x:c r="D40" s="233" t="n">
        <x:v>1296.931479</x:v>
      </x:c>
      <x:c r="E40" s="233" t="n">
        <x:v>2866.788872</x:v>
      </x:c>
      <x:c r="F40" s="233" t="n">
        <x:v>3415</x:v>
      </x:c>
      <x:c r="G40" s="233" t="n">
        <x:v>1263</x:v>
      </x:c>
      <x:c r="H40" s="233" t="n">
        <x:v>2832</x:v>
      </x:c>
      <x:c r="I40" s="233" t="n">
        <x:v>1331</x:v>
      </x:c>
      <x:c r="J40" s="233" t="n">
        <x:v>2901</x:v>
      </x:c>
      <x:c r="K40" s="233" t="n">
        <x:v>69</x:v>
      </x:c>
      <x:c r="L40" s="233" t="n">
        <x:v>70</x:v>
      </x:c>
      <x:c r="M40" s="233" t="n">
        <x:v>1</x:v>
      </x:c>
    </x:row>
    <x:row r="41">
      <x:c r="A41" s="233" t="n">
        <x:v>24</x:v>
      </x:c>
      <x:c r="B41" s="233" t="n">
        <x:v>5</x:v>
      </x:c>
      <x:c r="C41" s="233" t="n">
        <x:v>60</x:v>
      </x:c>
      <x:c r="D41" s="233" t="n">
        <x:v>1296.931479</x:v>
      </x:c>
      <x:c r="E41" s="233" t="n">
        <x:v>2866.788872</x:v>
      </x:c>
      <x:c r="F41" s="233" t="n">
        <x:v>3415</x:v>
      </x:c>
      <x:c r="G41" s="233" t="n">
        <x:v>1263</x:v>
      </x:c>
      <x:c r="H41" s="233" t="n">
        <x:v>2832</x:v>
      </x:c>
      <x:c r="I41" s="233" t="n">
        <x:v>1331</x:v>
      </x:c>
      <x:c r="J41" s="233" t="n">
        <x:v>2901</x:v>
      </x:c>
      <x:c r="K41" s="233" t="n">
        <x:v>69</x:v>
      </x:c>
      <x:c r="L41" s="233" t="n">
        <x:v>70</x:v>
      </x:c>
      <x:c r="M41" s="233" t="n">
        <x:v>1</x:v>
      </x:c>
    </x:row>
    <x:row r="42">
      <x:c r="A42" s="233" t="n">
        <x:v>24</x:v>
      </x:c>
      <x:c r="B42" s="233" t="n">
        <x:v>5</x:v>
      </x:c>
      <x:c r="C42" s="233" t="n">
        <x:v>80</x:v>
      </x:c>
      <x:c r="D42" s="233" t="n">
        <x:v>1296.931479</x:v>
      </x:c>
      <x:c r="E42" s="233" t="n">
        <x:v>2866.788872</x:v>
      </x:c>
      <x:c r="F42" s="233" t="n">
        <x:v>3415</x:v>
      </x:c>
      <x:c r="G42" s="233" t="n">
        <x:v>1263</x:v>
      </x:c>
      <x:c r="H42" s="233" t="n">
        <x:v>2832</x:v>
      </x:c>
      <x:c r="I42" s="233" t="n">
        <x:v>1331</x:v>
      </x:c>
      <x:c r="J42" s="233" t="n">
        <x:v>2901</x:v>
      </x:c>
      <x:c r="K42" s="233" t="n">
        <x:v>69</x:v>
      </x:c>
      <x:c r="L42" s="233" t="n">
        <x:v>70</x:v>
      </x:c>
      <x:c r="M42" s="233" t="n">
        <x:v>1</x:v>
      </x:c>
    </x:row>
    <x:row r="43">
      <x:c r="A43" s="233" t="n">
        <x:v>24</x:v>
      </x:c>
      <x:c r="B43" s="233" t="n">
        <x:v>5</x:v>
      </x:c>
      <x:c r="C43" s="233" t="n">
        <x:v>100</x:v>
      </x:c>
      <x:c r="D43" s="233" t="n">
        <x:v>1296.977246</x:v>
      </x:c>
      <x:c r="E43" s="233" t="n">
        <x:v>2866.770711</x:v>
      </x:c>
      <x:c r="F43" s="233" t="n">
        <x:v>3428</x:v>
      </x:c>
      <x:c r="G43" s="233" t="n">
        <x:v>1263</x:v>
      </x:c>
      <x:c r="H43" s="233" t="n">
        <x:v>2832</x:v>
      </x:c>
      <x:c r="I43" s="233" t="n">
        <x:v>1331</x:v>
      </x:c>
      <x:c r="J43" s="233" t="n">
        <x:v>2901</x:v>
      </x:c>
      <x:c r="K43" s="233" t="n">
        <x:v>69</x:v>
      </x:c>
      <x:c r="L43" s="233" t="n">
        <x:v>70</x:v>
      </x:c>
      <x:c r="M43" s="233" t="n">
        <x:v>1</x:v>
      </x:c>
    </x:row>
    <x:row r="44">
      <x:c r="A44" s="233" t="n">
        <x:v>40</x:v>
      </x:c>
      <x:c r="B44" s="233" t="n">
        <x:v>1</x:v>
      </x:c>
      <x:c r="C44" s="233" t="n">
        <x:v>40</x:v>
      </x:c>
      <x:c r="D44" s="233" t="n">
        <x:v>796.919</x:v>
      </x:c>
      <x:c r="E44" s="233" t="n">
        <x:v>568.181</x:v>
      </x:c>
      <x:c r="F44" s="233" t="n">
        <x:v>3433</x:v>
      </x:c>
      <x:c r="G44" s="233" t="n">
        <x:v>763</x:v>
      </x:c>
      <x:c r="H44" s="233" t="n">
        <x:v>534</x:v>
      </x:c>
      <x:c r="I44" s="233" t="n">
        <x:v>831</x:v>
      </x:c>
      <x:c r="J44" s="233" t="n">
        <x:v>603</x:v>
      </x:c>
      <x:c r="K44" s="233" t="n">
        <x:v>69</x:v>
      </x:c>
      <x:c r="L44" s="233" t="n">
        <x:v>70</x:v>
      </x:c>
      <x:c r="M44" s="233" t="n">
        <x:v>1</x:v>
      </x:c>
    </x:row>
    <x:row r="45">
      <x:c r="A45" s="233" t="n">
        <x:v>40</x:v>
      </x:c>
      <x:c r="B45" s="233" t="n">
        <x:v>1</x:v>
      </x:c>
      <x:c r="C45" s="233" t="n">
        <x:v>60</x:v>
      </x:c>
      <x:c r="D45" s="233" t="n">
        <x:v>796.941</x:v>
      </x:c>
      <x:c r="E45" s="233" t="n">
        <x:v>568.227</x:v>
      </x:c>
      <x:c r="F45" s="233" t="n">
        <x:v>3542</x:v>
      </x:c>
      <x:c r="G45" s="233" t="n">
        <x:v>763</x:v>
      </x:c>
      <x:c r="H45" s="233" t="n">
        <x:v>534</x:v>
      </x:c>
      <x:c r="I45" s="233" t="n">
        <x:v>831</x:v>
      </x:c>
      <x:c r="J45" s="233" t="n">
        <x:v>603</x:v>
      </x:c>
      <x:c r="K45" s="233" t="n">
        <x:v>69</x:v>
      </x:c>
      <x:c r="L45" s="233" t="n">
        <x:v>70</x:v>
      </x:c>
      <x:c r="M45" s="233" t="n">
        <x:v>1</x:v>
      </x:c>
    </x:row>
    <x:row r="46">
      <x:c r="A46" s="233" t="n">
        <x:v>40</x:v>
      </x:c>
      <x:c r="B46" s="233" t="n">
        <x:v>1</x:v>
      </x:c>
      <x:c r="C46" s="233" t="n">
        <x:v>80</x:v>
      </x:c>
      <x:c r="D46" s="233" t="n">
        <x:v>796.941</x:v>
      </x:c>
      <x:c r="E46" s="233" t="n">
        <x:v>568.227</x:v>
      </x:c>
      <x:c r="F46" s="233" t="n">
        <x:v>3542</x:v>
      </x:c>
      <x:c r="G46" s="233" t="n">
        <x:v>763</x:v>
      </x:c>
      <x:c r="H46" s="233" t="n">
        <x:v>534</x:v>
      </x:c>
      <x:c r="I46" s="233" t="n">
        <x:v>831</x:v>
      </x:c>
      <x:c r="J46" s="233" t="n">
        <x:v>603</x:v>
      </x:c>
      <x:c r="K46" s="233" t="n">
        <x:v>69</x:v>
      </x:c>
      <x:c r="L46" s="233" t="n">
        <x:v>70</x:v>
      </x:c>
      <x:c r="M46" s="233" t="n">
        <x:v>1</x:v>
      </x:c>
    </x:row>
    <x:row r="47">
      <x:c r="A47" s="233" t="n">
        <x:v>40</x:v>
      </x:c>
      <x:c r="B47" s="233" t="n">
        <x:v>1</x:v>
      </x:c>
      <x:c r="C47" s="233" t="n">
        <x:v>100</x:v>
      </x:c>
      <x:c r="D47" s="233" t="n">
        <x:v>796.941</x:v>
      </x:c>
      <x:c r="E47" s="233" t="n">
        <x:v>568.255</x:v>
      </x:c>
      <x:c r="F47" s="233" t="n">
        <x:v>3552</x:v>
      </x:c>
      <x:c r="G47" s="233" t="n">
        <x:v>763</x:v>
      </x:c>
      <x:c r="H47" s="233" t="n">
        <x:v>534</x:v>
      </x:c>
      <x:c r="I47" s="233" t="n">
        <x:v>831</x:v>
      </x:c>
      <x:c r="J47" s="233" t="n">
        <x:v>603</x:v>
      </x:c>
      <x:c r="K47" s="233" t="n">
        <x:v>69</x:v>
      </x:c>
      <x:c r="L47" s="233" t="n">
        <x:v>70</x:v>
      </x:c>
      <x:c r="M47" s="233" t="n">
        <x:v>1</x:v>
      </x:c>
    </x:row>
    <x:row r="48">
      <x:c r="A48" s="233" t="n">
        <x:v>40</x:v>
      </x:c>
      <x:c r="B48" s="233" t="n">
        <x:v>2</x:v>
      </x:c>
      <x:c r="C48" s="233" t="n">
        <x:v>40</x:v>
      </x:c>
      <x:c r="D48" s="233" t="n">
        <x:v>992.53</x:v>
      </x:c>
      <x:c r="E48" s="233" t="n">
        <x:v>507.192</x:v>
      </x:c>
      <x:c r="F48" s="233" t="n">
        <x:v>3422</x:v>
      </x:c>
      <x:c r="G48" s="233" t="n">
        <x:v>958</x:v>
      </x:c>
      <x:c r="H48" s="233" t="n">
        <x:v>473</x:v>
      </x:c>
      <x:c r="I48" s="233" t="n">
        <x:v>1027</x:v>
      </x:c>
      <x:c r="J48" s="233" t="n">
        <x:v>542</x:v>
      </x:c>
      <x:c r="K48" s="233" t="n">
        <x:v>70</x:v>
      </x:c>
      <x:c r="L48" s="233" t="n">
        <x:v>70</x:v>
      </x:c>
      <x:c r="M48" s="233" t="n">
        <x:v>1</x:v>
      </x:c>
    </x:row>
    <x:row r="49">
      <x:c r="A49" s="233" t="n">
        <x:v>40</x:v>
      </x:c>
      <x:c r="B49" s="233" t="n">
        <x:v>2</x:v>
      </x:c>
      <x:c r="C49" s="233" t="n">
        <x:v>60</x:v>
      </x:c>
      <x:c r="D49" s="233" t="n">
        <x:v>992.5</x:v>
      </x:c>
      <x:c r="E49" s="233" t="n">
        <x:v>507.363</x:v>
      </x:c>
      <x:c r="F49" s="233" t="n">
        <x:v>3560</x:v>
      </x:c>
      <x:c r="G49" s="233" t="n">
        <x:v>958</x:v>
      </x:c>
      <x:c r="H49" s="233" t="n">
        <x:v>473</x:v>
      </x:c>
      <x:c r="I49" s="233" t="n">
        <x:v>1027</x:v>
      </x:c>
      <x:c r="J49" s="233" t="n">
        <x:v>542</x:v>
      </x:c>
      <x:c r="K49" s="233" t="n">
        <x:v>70</x:v>
      </x:c>
      <x:c r="L49" s="233" t="n">
        <x:v>70</x:v>
      </x:c>
      <x:c r="M49" s="233" t="n">
        <x:v>1</x:v>
      </x:c>
    </x:row>
    <x:row r="50">
      <x:c r="A50" s="233" t="n">
        <x:v>40</x:v>
      </x:c>
      <x:c r="B50" s="233" t="n">
        <x:v>2</x:v>
      </x:c>
      <x:c r="C50" s="233" t="n">
        <x:v>80</x:v>
      </x:c>
      <x:c r="D50" s="233" t="n">
        <x:v>992.5</x:v>
      </x:c>
      <x:c r="E50" s="233" t="n">
        <x:v>507.363</x:v>
      </x:c>
      <x:c r="F50" s="233" t="n">
        <x:v>3560</x:v>
      </x:c>
      <x:c r="G50" s="233" t="n">
        <x:v>958</x:v>
      </x:c>
      <x:c r="H50" s="233" t="n">
        <x:v>473</x:v>
      </x:c>
      <x:c r="I50" s="233" t="n">
        <x:v>1027</x:v>
      </x:c>
      <x:c r="J50" s="233" t="n">
        <x:v>542</x:v>
      </x:c>
      <x:c r="K50" s="233" t="n">
        <x:v>70</x:v>
      </x:c>
      <x:c r="L50" s="233" t="n">
        <x:v>70</x:v>
      </x:c>
      <x:c r="M50" s="233" t="n">
        <x:v>1</x:v>
      </x:c>
    </x:row>
    <x:row r="51">
      <x:c r="A51" s="233" t="n">
        <x:v>40</x:v>
      </x:c>
      <x:c r="B51" s="233" t="n">
        <x:v>2</x:v>
      </x:c>
      <x:c r="C51" s="233" t="n">
        <x:v>100</x:v>
      </x:c>
      <x:c r="D51" s="233" t="n">
        <x:v>992.499</x:v>
      </x:c>
      <x:c r="E51" s="233" t="n">
        <x:v>507.363</x:v>
      </x:c>
      <x:c r="F51" s="233" t="n">
        <x:v>3568</x:v>
      </x:c>
      <x:c r="G51" s="233" t="n">
        <x:v>958</x:v>
      </x:c>
      <x:c r="H51" s="233" t="n">
        <x:v>473</x:v>
      </x:c>
      <x:c r="I51" s="233" t="n">
        <x:v>1027</x:v>
      </x:c>
      <x:c r="J51" s="233" t="n">
        <x:v>542</x:v>
      </x:c>
      <x:c r="K51" s="233" t="n">
        <x:v>70</x:v>
      </x:c>
      <x:c r="L51" s="233" t="n">
        <x:v>70</x:v>
      </x:c>
      <x:c r="M51" s="233" t="n">
        <x:v>1</x:v>
      </x:c>
    </x:row>
    <x:row r="52">
      <x:c r="A52" s="233" t="n">
        <x:v>40</x:v>
      </x:c>
      <x:c r="B52" s="233" t="n">
        <x:v>3</x:v>
      </x:c>
      <x:c r="C52" s="233" t="n">
        <x:v>40</x:v>
      </x:c>
      <x:c r="D52" s="233" t="n">
        <x:v>1296.931</x:v>
      </x:c>
      <x:c r="E52" s="233" t="n">
        <x:v>807.211</x:v>
      </x:c>
      <x:c r="F52" s="233" t="n">
        <x:v>3415</x:v>
      </x:c>
      <x:c r="G52" s="233" t="n">
        <x:v>1263</x:v>
      </x:c>
      <x:c r="H52" s="233" t="n">
        <x:v>773</x:v>
      </x:c>
      <x:c r="I52" s="233" t="n">
        <x:v>1331</x:v>
      </x:c>
      <x:c r="J52" s="233" t="n">
        <x:v>842</x:v>
      </x:c>
      <x:c r="K52" s="233" t="n">
        <x:v>69</x:v>
      </x:c>
      <x:c r="L52" s="233" t="n">
        <x:v>70</x:v>
      </x:c>
      <x:c r="M52" s="233" t="n">
        <x:v>1</x:v>
      </x:c>
    </x:row>
    <x:row r="53">
      <x:c r="A53" s="233" t="n">
        <x:v>40</x:v>
      </x:c>
      <x:c r="B53" s="233" t="n">
        <x:v>3</x:v>
      </x:c>
      <x:c r="C53" s="233" t="n">
        <x:v>60</x:v>
      </x:c>
      <x:c r="D53" s="233" t="n">
        <x:v>1296.931</x:v>
      </x:c>
      <x:c r="E53" s="233" t="n">
        <x:v>807.211</x:v>
      </x:c>
      <x:c r="F53" s="233" t="n">
        <x:v>3415</x:v>
      </x:c>
      <x:c r="G53" s="233" t="n">
        <x:v>1263</x:v>
      </x:c>
      <x:c r="H53" s="233" t="n">
        <x:v>773</x:v>
      </x:c>
      <x:c r="I53" s="233" t="n">
        <x:v>1331</x:v>
      </x:c>
      <x:c r="J53" s="233" t="n">
        <x:v>842</x:v>
      </x:c>
      <x:c r="K53" s="233" t="n">
        <x:v>69</x:v>
      </x:c>
      <x:c r="L53" s="233" t="n">
        <x:v>70</x:v>
      </x:c>
      <x:c r="M53" s="233" t="n">
        <x:v>1</x:v>
      </x:c>
    </x:row>
    <x:row r="54">
      <x:c r="A54" s="233" t="n">
        <x:v>40</x:v>
      </x:c>
      <x:c r="B54" s="233" t="n">
        <x:v>3</x:v>
      </x:c>
      <x:c r="C54" s="233" t="n">
        <x:v>80</x:v>
      </x:c>
      <x:c r="D54" s="233" t="n">
        <x:v>1296.931</x:v>
      </x:c>
      <x:c r="E54" s="233" t="n">
        <x:v>807.211</x:v>
      </x:c>
      <x:c r="F54" s="233" t="n">
        <x:v>3415</x:v>
      </x:c>
      <x:c r="G54" s="233" t="n">
        <x:v>1263</x:v>
      </x:c>
      <x:c r="H54" s="233" t="n">
        <x:v>773</x:v>
      </x:c>
      <x:c r="I54" s="233" t="n">
        <x:v>1331</x:v>
      </x:c>
      <x:c r="J54" s="233" t="n">
        <x:v>842</x:v>
      </x:c>
      <x:c r="K54" s="233" t="n">
        <x:v>69</x:v>
      </x:c>
      <x:c r="L54" s="233" t="n">
        <x:v>70</x:v>
      </x:c>
      <x:c r="M54" s="233" t="n">
        <x:v>1</x:v>
      </x:c>
    </x:row>
    <x:row r="55">
      <x:c r="A55" s="233" t="n">
        <x:v>40</x:v>
      </x:c>
      <x:c r="B55" s="233" t="n">
        <x:v>3</x:v>
      </x:c>
      <x:c r="C55" s="233" t="n">
        <x:v>100</x:v>
      </x:c>
      <x:c r="D55" s="233" t="n">
        <x:v>1296.87</x:v>
      </x:c>
      <x:c r="E55" s="233" t="n">
        <x:v>807.236</x:v>
      </x:c>
      <x:c r="F55" s="233" t="n">
        <x:v>3431</x:v>
      </x:c>
      <x:c r="G55" s="233" t="n">
        <x:v>1263</x:v>
      </x:c>
      <x:c r="H55" s="233" t="n">
        <x:v>773</x:v>
      </x:c>
      <x:c r="I55" s="233" t="n">
        <x:v>1331</x:v>
      </x:c>
      <x:c r="J55" s="233" t="n">
        <x:v>842</x:v>
      </x:c>
      <x:c r="K55" s="233" t="n">
        <x:v>69</x:v>
      </x:c>
      <x:c r="L55" s="233" t="n">
        <x:v>70</x:v>
      </x:c>
      <x:c r="M55" s="233" t="n">
        <x:v>1</x:v>
      </x:c>
    </x:row>
    <x:row r="56">
      <x:c r="A56" s="233" t="n">
        <x:v>40</x:v>
      </x:c>
      <x:c r="B56" s="233" t="n">
        <x:v>4</x:v>
      </x:c>
      <x:c r="C56" s="233" t="n">
        <x:v>40</x:v>
      </x:c>
      <x:c r="D56" s="233" t="n">
        <x:v>1527.154</x:v>
      </x:c>
      <x:c r="E56" s="233" t="n">
        <x:v>737.939</x:v>
      </x:c>
      <x:c r="F56" s="233" t="n">
        <x:v>3406</x:v>
      </x:c>
      <x:c r="G56" s="233" t="n">
        <x:v>1493</x:v>
      </x:c>
      <x:c r="H56" s="233" t="n">
        <x:v>704</x:v>
      </x:c>
      <x:c r="I56" s="233" t="n">
        <x:v>1562</x:v>
      </x:c>
      <x:c r="J56" s="233" t="n">
        <x:v>772</x:v>
      </x:c>
      <x:c r="K56" s="233" t="n">
        <x:v>70</x:v>
      </x:c>
      <x:c r="L56" s="233" t="n">
        <x:v>69</x:v>
      </x:c>
      <x:c r="M56" s="233" t="n">
        <x:v>1</x:v>
      </x:c>
    </x:row>
    <x:row r="57">
      <x:c r="A57" s="233" t="n">
        <x:v>40</x:v>
      </x:c>
      <x:c r="B57" s="233" t="n">
        <x:v>4</x:v>
      </x:c>
      <x:c r="C57" s="233" t="n">
        <x:v>60</x:v>
      </x:c>
      <x:c r="D57" s="233" t="n">
        <x:v>1527.154</x:v>
      </x:c>
      <x:c r="E57" s="233" t="n">
        <x:v>737.939</x:v>
      </x:c>
      <x:c r="F57" s="233" t="n">
        <x:v>3406</x:v>
      </x:c>
      <x:c r="G57" s="233" t="n">
        <x:v>1493</x:v>
      </x:c>
      <x:c r="H57" s="233" t="n">
        <x:v>704</x:v>
      </x:c>
      <x:c r="I57" s="233" t="n">
        <x:v>1562</x:v>
      </x:c>
      <x:c r="J57" s="233" t="n">
        <x:v>772</x:v>
      </x:c>
      <x:c r="K57" s="233" t="n">
        <x:v>70</x:v>
      </x:c>
      <x:c r="L57" s="233" t="n">
        <x:v>69</x:v>
      </x:c>
      <x:c r="M57" s="233" t="n">
        <x:v>1</x:v>
      </x:c>
    </x:row>
    <x:row r="58">
      <x:c r="A58" s="233" t="n">
        <x:v>40</x:v>
      </x:c>
      <x:c r="B58" s="233" t="n">
        <x:v>4</x:v>
      </x:c>
      <x:c r="C58" s="233" t="n">
        <x:v>80</x:v>
      </x:c>
      <x:c r="D58" s="233" t="n">
        <x:v>1527.154</x:v>
      </x:c>
      <x:c r="E58" s="233" t="n">
        <x:v>737.939</x:v>
      </x:c>
      <x:c r="F58" s="233" t="n">
        <x:v>3406</x:v>
      </x:c>
      <x:c r="G58" s="233" t="n">
        <x:v>1493</x:v>
      </x:c>
      <x:c r="H58" s="233" t="n">
        <x:v>704</x:v>
      </x:c>
      <x:c r="I58" s="233" t="n">
        <x:v>1562</x:v>
      </x:c>
      <x:c r="J58" s="233" t="n">
        <x:v>772</x:v>
      </x:c>
      <x:c r="K58" s="233" t="n">
        <x:v>70</x:v>
      </x:c>
      <x:c r="L58" s="233" t="n">
        <x:v>69</x:v>
      </x:c>
      <x:c r="M58" s="233" t="n">
        <x:v>1</x:v>
      </x:c>
    </x:row>
    <x:row r="59">
      <x:c r="A59" s="233" t="n">
        <x:v>40</x:v>
      </x:c>
      <x:c r="B59" s="233" t="n">
        <x:v>4</x:v>
      </x:c>
      <x:c r="C59" s="233" t="n">
        <x:v>100</x:v>
      </x:c>
      <x:c r="D59" s="233" t="n">
        <x:v>1527.166</x:v>
      </x:c>
      <x:c r="E59" s="233" t="n">
        <x:v>737.907</x:v>
      </x:c>
      <x:c r="F59" s="233" t="n">
        <x:v>3421</x:v>
      </x:c>
      <x:c r="G59" s="233" t="n">
        <x:v>1493</x:v>
      </x:c>
      <x:c r="H59" s="233" t="n">
        <x:v>704</x:v>
      </x:c>
      <x:c r="I59" s="233" t="n">
        <x:v>1562</x:v>
      </x:c>
      <x:c r="J59" s="233" t="n">
        <x:v>772</x:v>
      </x:c>
      <x:c r="K59" s="233" t="n">
        <x:v>70</x:v>
      </x:c>
      <x:c r="L59" s="233" t="n">
        <x:v>69</x:v>
      </x:c>
      <x:c r="M59" s="233" t="n">
        <x:v>1</x:v>
      </x:c>
    </x:row>
    <x:row r="60">
      <x:c r="A60" s="233" t="n">
        <x:v>40</x:v>
      </x:c>
      <x:c r="B60" s="233" t="n">
        <x:v>5</x:v>
      </x:c>
      <x:c r="C60" s="233" t="n">
        <x:v>40</x:v>
      </x:c>
      <x:c r="D60" s="233" t="n">
        <x:v>1479.265</x:v>
      </x:c>
      <x:c r="E60" s="233" t="n">
        <x:v>546.5</x:v>
      </x:c>
      <x:c r="F60" s="233" t="n">
        <x:v>3370</x:v>
      </x:c>
      <x:c r="G60" s="233" t="n">
        <x:v>1445</x:v>
      </x:c>
      <x:c r="H60" s="233" t="n">
        <x:v>512</x:v>
      </x:c>
      <x:c r="I60" s="233" t="n">
        <x:v>1514</x:v>
      </x:c>
      <x:c r="J60" s="233" t="n">
        <x:v>581</x:v>
      </x:c>
      <x:c r="K60" s="233" t="n">
        <x:v>70</x:v>
      </x:c>
      <x:c r="L60" s="233" t="n">
        <x:v>70</x:v>
      </x:c>
      <x:c r="M60" s="233" t="n">
        <x:v>1</x:v>
      </x:c>
    </x:row>
    <x:row r="61">
      <x:c r="A61" s="233" t="n">
        <x:v>40</x:v>
      </x:c>
      <x:c r="B61" s="233" t="n">
        <x:v>5</x:v>
      </x:c>
      <x:c r="C61" s="233" t="n">
        <x:v>60</x:v>
      </x:c>
      <x:c r="D61" s="233" t="n">
        <x:v>1479.265</x:v>
      </x:c>
      <x:c r="E61" s="233" t="n">
        <x:v>546.5</x:v>
      </x:c>
      <x:c r="F61" s="233" t="n">
        <x:v>3370</x:v>
      </x:c>
      <x:c r="G61" s="233" t="n">
        <x:v>1445</x:v>
      </x:c>
      <x:c r="H61" s="233" t="n">
        <x:v>512</x:v>
      </x:c>
      <x:c r="I61" s="233" t="n">
        <x:v>1514</x:v>
      </x:c>
      <x:c r="J61" s="233" t="n">
        <x:v>581</x:v>
      </x:c>
      <x:c r="K61" s="233" t="n">
        <x:v>70</x:v>
      </x:c>
      <x:c r="L61" s="233" t="n">
        <x:v>70</x:v>
      </x:c>
      <x:c r="M61" s="233" t="n">
        <x:v>1</x:v>
      </x:c>
    </x:row>
    <x:row r="62">
      <x:c r="A62" s="233" t="n">
        <x:v>40</x:v>
      </x:c>
      <x:c r="B62" s="233" t="n">
        <x:v>5</x:v>
      </x:c>
      <x:c r="C62" s="233" t="n">
        <x:v>80</x:v>
      </x:c>
      <x:c r="D62" s="233" t="n">
        <x:v>1479.265</x:v>
      </x:c>
      <x:c r="E62" s="233" t="n">
        <x:v>546.5</x:v>
      </x:c>
      <x:c r="F62" s="233" t="n">
        <x:v>3370</x:v>
      </x:c>
      <x:c r="G62" s="233" t="n">
        <x:v>1445</x:v>
      </x:c>
      <x:c r="H62" s="233" t="n">
        <x:v>512</x:v>
      </x:c>
      <x:c r="I62" s="233" t="n">
        <x:v>1514</x:v>
      </x:c>
      <x:c r="J62" s="233" t="n">
        <x:v>581</x:v>
      </x:c>
      <x:c r="K62" s="233" t="n">
        <x:v>70</x:v>
      </x:c>
      <x:c r="L62" s="233" t="n">
        <x:v>70</x:v>
      </x:c>
      <x:c r="M62" s="233" t="n">
        <x:v>1</x:v>
      </x:c>
    </x:row>
    <x:row r="63">
      <x:c r="A63" s="233" t="n">
        <x:v>40</x:v>
      </x:c>
      <x:c r="B63" s="233" t="n">
        <x:v>5</x:v>
      </x:c>
      <x:c r="C63" s="233" t="n">
        <x:v>100</x:v>
      </x:c>
      <x:c r="D63" s="233" t="n">
        <x:v>1479.256</x:v>
      </x:c>
      <x:c r="E63" s="233" t="n">
        <x:v>546.48</x:v>
      </x:c>
      <x:c r="F63" s="233" t="n">
        <x:v>3395</x:v>
      </x:c>
      <x:c r="G63" s="233" t="n">
        <x:v>1445</x:v>
      </x:c>
      <x:c r="H63" s="233" t="n">
        <x:v>512</x:v>
      </x:c>
      <x:c r="I63" s="233" t="n">
        <x:v>1514</x:v>
      </x:c>
      <x:c r="J63" s="233" t="n">
        <x:v>581</x:v>
      </x:c>
      <x:c r="K63" s="233" t="n">
        <x:v>70</x:v>
      </x:c>
      <x:c r="L63" s="233" t="n">
        <x:v>70</x:v>
      </x:c>
      <x:c r="M63" s="233" t="n">
        <x:v>1</x:v>
      </x:c>
    </x:row>
    <x:row r="64">
      <x:c r="A64" s="233" t="n">
        <x:v>73</x:v>
      </x:c>
      <x:c r="B64" s="233" t="n">
        <x:v>1</x:v>
      </x:c>
      <x:c r="C64" s="233" t="n">
        <x:v>40</x:v>
      </x:c>
      <x:c r="D64" s="233" t="n">
        <x:v>1103.931</x:v>
      </x:c>
      <x:c r="E64" s="233" t="n">
        <x:v>2447.221</x:v>
      </x:c>
      <x:c r="F64" s="233" t="n">
        <x:v>3407</x:v>
      </x:c>
      <x:c r="G64" s="233" t="n">
        <x:v>1070</x:v>
      </x:c>
      <x:c r="H64" s="233" t="n">
        <x:v>2413</x:v>
      </x:c>
      <x:c r="I64" s="233" t="n">
        <x:v>1138</x:v>
      </x:c>
      <x:c r="J64" s="233" t="n">
        <x:v>2482</x:v>
      </x:c>
      <x:c r="K64" s="233" t="n">
        <x:v>69</x:v>
      </x:c>
      <x:c r="L64" s="233" t="n">
        <x:v>70</x:v>
      </x:c>
      <x:c r="M64" s="233" t="n">
        <x:v>1</x:v>
      </x:c>
    </x:row>
    <x:row r="65">
      <x:c r="A65" s="233" t="n">
        <x:v>73</x:v>
      </x:c>
      <x:c r="B65" s="233" t="n">
        <x:v>1</x:v>
      </x:c>
      <x:c r="C65" s="233" t="n">
        <x:v>60</x:v>
      </x:c>
      <x:c r="D65" s="233" t="n">
        <x:v>1103.931</x:v>
      </x:c>
      <x:c r="E65" s="233" t="n">
        <x:v>2447.221</x:v>
      </x:c>
      <x:c r="F65" s="233" t="n">
        <x:v>3407</x:v>
      </x:c>
      <x:c r="G65" s="233" t="n">
        <x:v>1070</x:v>
      </x:c>
      <x:c r="H65" s="233" t="n">
        <x:v>2413</x:v>
      </x:c>
      <x:c r="I65" s="233" t="n">
        <x:v>1138</x:v>
      </x:c>
      <x:c r="J65" s="233" t="n">
        <x:v>2482</x:v>
      </x:c>
      <x:c r="K65" s="233" t="n">
        <x:v>69</x:v>
      </x:c>
      <x:c r="L65" s="233" t="n">
        <x:v>70</x:v>
      </x:c>
      <x:c r="M65" s="233" t="n">
        <x:v>1</x:v>
      </x:c>
    </x:row>
    <x:row r="66">
      <x:c r="A66" s="233" t="n">
        <x:v>73</x:v>
      </x:c>
      <x:c r="B66" s="233" t="n">
        <x:v>1</x:v>
      </x:c>
      <x:c r="C66" s="233" t="n">
        <x:v>80</x:v>
      </x:c>
      <x:c r="D66" s="233" t="n">
        <x:v>1103.931</x:v>
      </x:c>
      <x:c r="E66" s="233" t="n">
        <x:v>2447.221</x:v>
      </x:c>
      <x:c r="F66" s="233" t="n">
        <x:v>3407</x:v>
      </x:c>
      <x:c r="G66" s="233" t="n">
        <x:v>1070</x:v>
      </x:c>
      <x:c r="H66" s="233" t="n">
        <x:v>2413</x:v>
      </x:c>
      <x:c r="I66" s="233" t="n">
        <x:v>1138</x:v>
      </x:c>
      <x:c r="J66" s="233" t="n">
        <x:v>2482</x:v>
      </x:c>
      <x:c r="K66" s="233" t="n">
        <x:v>69</x:v>
      </x:c>
      <x:c r="L66" s="233" t="n">
        <x:v>70</x:v>
      </x:c>
      <x:c r="M66" s="233" t="n">
        <x:v>1</x:v>
      </x:c>
    </x:row>
    <x:row r="67">
      <x:c r="A67" s="233" t="n">
        <x:v>73</x:v>
      </x:c>
      <x:c r="B67" s="233" t="n">
        <x:v>1</x:v>
      </x:c>
      <x:c r="C67" s="233" t="n">
        <x:v>100</x:v>
      </x:c>
      <x:c r="D67" s="233" t="n">
        <x:v>1103.858</x:v>
      </x:c>
      <x:c r="E67" s="233" t="n">
        <x:v>2447.251</x:v>
      </x:c>
      <x:c r="F67" s="233" t="n">
        <x:v>3450</x:v>
      </x:c>
      <x:c r="G67" s="233" t="n">
        <x:v>1070</x:v>
      </x:c>
      <x:c r="H67" s="233" t="n">
        <x:v>2413</x:v>
      </x:c>
      <x:c r="I67" s="233" t="n">
        <x:v>1138</x:v>
      </x:c>
      <x:c r="J67" s="233" t="n">
        <x:v>2482</x:v>
      </x:c>
      <x:c r="K67" s="233" t="n">
        <x:v>69</x:v>
      </x:c>
      <x:c r="L67" s="233" t="n">
        <x:v>70</x:v>
      </x:c>
      <x:c r="M67" s="233" t="n">
        <x:v>1</x:v>
      </x:c>
    </x:row>
    <x:row r="68">
      <x:c r="A68" s="233" t="n">
        <x:v>73</x:v>
      </x:c>
      <x:c r="B68" s="233" t="n">
        <x:v>2</x:v>
      </x:c>
      <x:c r="C68" s="233" t="n">
        <x:v>40</x:v>
      </x:c>
      <x:c r="D68" s="233" t="n">
        <x:v>873.2670000000001</x:v>
      </x:c>
      <x:c r="E68" s="233" t="n">
        <x:v>2517</x:v>
      </x:c>
      <x:c r="F68" s="233" t="n">
        <x:v>3408</x:v>
      </x:c>
      <x:c r="G68" s="233" t="n">
        <x:v>839</x:v>
      </x:c>
      <x:c r="H68" s="233" t="n">
        <x:v>2483</x:v>
      </x:c>
      <x:c r="I68" s="233" t="n">
        <x:v>908</x:v>
      </x:c>
      <x:c r="J68" s="233" t="n">
        <x:v>2551</x:v>
      </x:c>
      <x:c r="K68" s="233" t="n">
        <x:v>70</x:v>
      </x:c>
      <x:c r="L68" s="233" t="n">
        <x:v>69</x:v>
      </x:c>
      <x:c r="M68" s="233" t="n">
        <x:v>1</x:v>
      </x:c>
    </x:row>
    <x:row r="69">
      <x:c r="A69" s="233" t="n">
        <x:v>73</x:v>
      </x:c>
      <x:c r="B69" s="233" t="n">
        <x:v>2</x:v>
      </x:c>
      <x:c r="C69" s="233" t="n">
        <x:v>60</x:v>
      </x:c>
      <x:c r="D69" s="233" t="n">
        <x:v>873.2670000000001</x:v>
      </x:c>
      <x:c r="E69" s="233" t="n">
        <x:v>2517</x:v>
      </x:c>
      <x:c r="F69" s="233" t="n">
        <x:v>3408</x:v>
      </x:c>
      <x:c r="G69" s="233" t="n">
        <x:v>839</x:v>
      </x:c>
      <x:c r="H69" s="233" t="n">
        <x:v>2483</x:v>
      </x:c>
      <x:c r="I69" s="233" t="n">
        <x:v>908</x:v>
      </x:c>
      <x:c r="J69" s="233" t="n">
        <x:v>2551</x:v>
      </x:c>
      <x:c r="K69" s="233" t="n">
        <x:v>70</x:v>
      </x:c>
      <x:c r="L69" s="233" t="n">
        <x:v>69</x:v>
      </x:c>
      <x:c r="M69" s="233" t="n">
        <x:v>1</x:v>
      </x:c>
    </x:row>
    <x:row r="70">
      <x:c r="A70" s="233" t="n">
        <x:v>73</x:v>
      </x:c>
      <x:c r="B70" s="233" t="n">
        <x:v>2</x:v>
      </x:c>
      <x:c r="C70" s="233" t="n">
        <x:v>80</x:v>
      </x:c>
      <x:c r="D70" s="233" t="n">
        <x:v>873.2670000000001</x:v>
      </x:c>
      <x:c r="E70" s="233" t="n">
        <x:v>2517</x:v>
      </x:c>
      <x:c r="F70" s="233" t="n">
        <x:v>3408</x:v>
      </x:c>
      <x:c r="G70" s="233" t="n">
        <x:v>839</x:v>
      </x:c>
      <x:c r="H70" s="233" t="n">
        <x:v>2483</x:v>
      </x:c>
      <x:c r="I70" s="233" t="n">
        <x:v>908</x:v>
      </x:c>
      <x:c r="J70" s="233" t="n">
        <x:v>2551</x:v>
      </x:c>
      <x:c r="K70" s="233" t="n">
        <x:v>70</x:v>
      </x:c>
      <x:c r="L70" s="233" t="n">
        <x:v>69</x:v>
      </x:c>
      <x:c r="M70" s="233" t="n">
        <x:v>1</x:v>
      </x:c>
    </x:row>
    <x:row r="71">
      <x:c r="A71" s="233" t="n">
        <x:v>73</x:v>
      </x:c>
      <x:c r="B71" s="233" t="n">
        <x:v>2</x:v>
      </x:c>
      <x:c r="C71" s="233" t="n">
        <x:v>100</x:v>
      </x:c>
      <x:c r="D71" s="233" t="n">
        <x:v>873.245</x:v>
      </x:c>
      <x:c r="E71" s="233" t="n">
        <x:v>2517.003</x:v>
      </x:c>
      <x:c r="F71" s="233" t="n">
        <x:v>3426</x:v>
      </x:c>
      <x:c r="G71" s="233" t="n">
        <x:v>839</x:v>
      </x:c>
      <x:c r="H71" s="233" t="n">
        <x:v>2483</x:v>
      </x:c>
      <x:c r="I71" s="233" t="n">
        <x:v>908</x:v>
      </x:c>
      <x:c r="J71" s="233" t="n">
        <x:v>2551</x:v>
      </x:c>
      <x:c r="K71" s="233" t="n">
        <x:v>70</x:v>
      </x:c>
      <x:c r="L71" s="233" t="n">
        <x:v>69</x:v>
      </x:c>
      <x:c r="M71" s="233" t="n">
        <x:v>1</x:v>
      </x:c>
    </x:row>
    <x:row r="72">
      <x:c r="A72" s="233" t="n">
        <x:v>73</x:v>
      </x:c>
      <x:c r="B72" s="233" t="n">
        <x:v>3</x:v>
      </x:c>
      <x:c r="C72" s="233" t="n">
        <x:v>40</x:v>
      </x:c>
      <x:c r="D72" s="233" t="n">
        <x:v>921.154</x:v>
      </x:c>
      <x:c r="E72" s="233" t="n">
        <x:v>2708.061</x:v>
      </x:c>
      <x:c r="F72" s="233" t="n">
        <x:v>3406</x:v>
      </x:c>
      <x:c r="G72" s="233" t="n">
        <x:v>887</x:v>
      </x:c>
      <x:c r="H72" s="233" t="n">
        <x:v>2674</x:v>
      </x:c>
      <x:c r="I72" s="233" t="n">
        <x:v>956</x:v>
      </x:c>
      <x:c r="J72" s="233" t="n">
        <x:v>2742</x:v>
      </x:c>
      <x:c r="K72" s="233" t="n">
        <x:v>70</x:v>
      </x:c>
      <x:c r="L72" s="233" t="n">
        <x:v>69</x:v>
      </x:c>
      <x:c r="M72" s="233" t="n">
        <x:v>1</x:v>
      </x:c>
    </x:row>
    <x:row r="73">
      <x:c r="A73" s="233" t="n">
        <x:v>73</x:v>
      </x:c>
      <x:c r="B73" s="233" t="n">
        <x:v>3</x:v>
      </x:c>
      <x:c r="C73" s="233" t="n">
        <x:v>60</x:v>
      </x:c>
      <x:c r="D73" s="233" t="n">
        <x:v>921.154</x:v>
      </x:c>
      <x:c r="E73" s="233" t="n">
        <x:v>2708.061</x:v>
      </x:c>
      <x:c r="F73" s="233" t="n">
        <x:v>3406</x:v>
      </x:c>
      <x:c r="G73" s="233" t="n">
        <x:v>887</x:v>
      </x:c>
      <x:c r="H73" s="233" t="n">
        <x:v>2674</x:v>
      </x:c>
      <x:c r="I73" s="233" t="n">
        <x:v>956</x:v>
      </x:c>
      <x:c r="J73" s="233" t="n">
        <x:v>2742</x:v>
      </x:c>
      <x:c r="K73" s="233" t="n">
        <x:v>70</x:v>
      </x:c>
      <x:c r="L73" s="233" t="n">
        <x:v>69</x:v>
      </x:c>
      <x:c r="M73" s="233" t="n">
        <x:v>1</x:v>
      </x:c>
    </x:row>
    <x:row r="74">
      <x:c r="A74" s="233" t="n">
        <x:v>73</x:v>
      </x:c>
      <x:c r="B74" s="233" t="n">
        <x:v>3</x:v>
      </x:c>
      <x:c r="C74" s="233" t="n">
        <x:v>80</x:v>
      </x:c>
      <x:c r="D74" s="233" t="n">
        <x:v>921.154</x:v>
      </x:c>
      <x:c r="E74" s="233" t="n">
        <x:v>2708.061</x:v>
      </x:c>
      <x:c r="F74" s="233" t="n">
        <x:v>3406</x:v>
      </x:c>
      <x:c r="G74" s="233" t="n">
        <x:v>887</x:v>
      </x:c>
      <x:c r="H74" s="233" t="n">
        <x:v>2674</x:v>
      </x:c>
      <x:c r="I74" s="233" t="n">
        <x:v>956</x:v>
      </x:c>
      <x:c r="J74" s="233" t="n">
        <x:v>2742</x:v>
      </x:c>
      <x:c r="K74" s="233" t="n">
        <x:v>70</x:v>
      </x:c>
      <x:c r="L74" s="233" t="n">
        <x:v>69</x:v>
      </x:c>
      <x:c r="M74" s="233" t="n">
        <x:v>1</x:v>
      </x:c>
    </x:row>
    <x:row r="75">
      <x:c r="A75" s="233" t="n">
        <x:v>73</x:v>
      </x:c>
      <x:c r="B75" s="233" t="n">
        <x:v>3</x:v>
      </x:c>
      <x:c r="C75" s="233" t="n">
        <x:v>100</x:v>
      </x:c>
      <x:c r="D75" s="233" t="n">
        <x:v>921.155</x:v>
      </x:c>
      <x:c r="E75" s="233" t="n">
        <x:v>2708.109</x:v>
      </x:c>
      <x:c r="F75" s="233" t="n">
        <x:v>3417</x:v>
      </x:c>
      <x:c r="G75" s="233" t="n">
        <x:v>887</x:v>
      </x:c>
      <x:c r="H75" s="233" t="n">
        <x:v>2674</x:v>
      </x:c>
      <x:c r="I75" s="233" t="n">
        <x:v>956</x:v>
      </x:c>
      <x:c r="J75" s="233" t="n">
        <x:v>2742</x:v>
      </x:c>
      <x:c r="K75" s="233" t="n">
        <x:v>70</x:v>
      </x:c>
      <x:c r="L75" s="233" t="n">
        <x:v>69</x:v>
      </x:c>
      <x:c r="M75" s="233" t="n">
        <x:v>1</x:v>
      </x:c>
    </x:row>
    <x:row r="76">
      <x:c r="A76" s="233" t="n">
        <x:v>73</x:v>
      </x:c>
      <x:c r="B76" s="233" t="n">
        <x:v>4</x:v>
      </x:c>
      <x:c r="C76" s="233" t="n">
        <x:v>40</x:v>
      </x:c>
      <x:c r="D76" s="233" t="n">
        <x:v>1603.905</x:v>
      </x:c>
      <x:c r="E76" s="233" t="n">
        <x:v>2686.477</x:v>
      </x:c>
      <x:c r="F76" s="233" t="n">
        <x:v>3390</x:v>
      </x:c>
      <x:c r="G76" s="233" t="n">
        <x:v>1570</x:v>
      </x:c>
      <x:c r="H76" s="233" t="n">
        <x:v>2652</x:v>
      </x:c>
      <x:c r="I76" s="233" t="n">
        <x:v>1638</x:v>
      </x:c>
      <x:c r="J76" s="233" t="n">
        <x:v>2721</x:v>
      </x:c>
      <x:c r="K76" s="233" t="n">
        <x:v>69</x:v>
      </x:c>
      <x:c r="L76" s="233" t="n">
        <x:v>70</x:v>
      </x:c>
      <x:c r="M76" s="233" t="n">
        <x:v>1</x:v>
      </x:c>
    </x:row>
    <x:row r="77">
      <x:c r="A77" s="233" t="n">
        <x:v>73</x:v>
      </x:c>
      <x:c r="B77" s="233" t="n">
        <x:v>4</x:v>
      </x:c>
      <x:c r="C77" s="233" t="n">
        <x:v>60</x:v>
      </x:c>
      <x:c r="D77" s="233" t="n">
        <x:v>1603.926</x:v>
      </x:c>
      <x:c r="E77" s="233" t="n">
        <x:v>2686.5</x:v>
      </x:c>
      <x:c r="F77" s="233" t="n">
        <x:v>3532</x:v>
      </x:c>
      <x:c r="G77" s="233" t="n">
        <x:v>1570</x:v>
      </x:c>
      <x:c r="H77" s="233" t="n">
        <x:v>2652</x:v>
      </x:c>
      <x:c r="I77" s="233" t="n">
        <x:v>1638</x:v>
      </x:c>
      <x:c r="J77" s="233" t="n">
        <x:v>2721</x:v>
      </x:c>
      <x:c r="K77" s="233" t="n">
        <x:v>69</x:v>
      </x:c>
      <x:c r="L77" s="233" t="n">
        <x:v>70</x:v>
      </x:c>
      <x:c r="M77" s="233" t="n">
        <x:v>1</x:v>
      </x:c>
    </x:row>
    <x:row r="78">
      <x:c r="A78" s="233" t="n">
        <x:v>73</x:v>
      </x:c>
      <x:c r="B78" s="233" t="n">
        <x:v>4</x:v>
      </x:c>
      <x:c r="C78" s="233" t="n">
        <x:v>80</x:v>
      </x:c>
      <x:c r="D78" s="233" t="n">
        <x:v>1603.926</x:v>
      </x:c>
      <x:c r="E78" s="233" t="n">
        <x:v>2686.5</x:v>
      </x:c>
      <x:c r="F78" s="233" t="n">
        <x:v>3532</x:v>
      </x:c>
      <x:c r="G78" s="233" t="n">
        <x:v>1570</x:v>
      </x:c>
      <x:c r="H78" s="233" t="n">
        <x:v>2652</x:v>
      </x:c>
      <x:c r="I78" s="233" t="n">
        <x:v>1638</x:v>
      </x:c>
      <x:c r="J78" s="233" t="n">
        <x:v>2721</x:v>
      </x:c>
      <x:c r="K78" s="233" t="n">
        <x:v>69</x:v>
      </x:c>
      <x:c r="L78" s="233" t="n">
        <x:v>70</x:v>
      </x:c>
      <x:c r="M78" s="233" t="n">
        <x:v>1</x:v>
      </x:c>
    </x:row>
    <x:row r="79">
      <x:c r="A79" s="233" t="n">
        <x:v>73</x:v>
      </x:c>
      <x:c r="B79" s="233" t="n">
        <x:v>4</x:v>
      </x:c>
      <x:c r="C79" s="233" t="n">
        <x:v>100</x:v>
      </x:c>
      <x:c r="D79" s="233" t="n">
        <x:v>1603.926</x:v>
      </x:c>
      <x:c r="E79" s="233" t="n">
        <x:v>2686.512</x:v>
      </x:c>
      <x:c r="F79" s="233" t="n">
        <x:v>3540</x:v>
      </x:c>
      <x:c r="G79" s="233" t="n">
        <x:v>1570</x:v>
      </x:c>
      <x:c r="H79" s="233" t="n">
        <x:v>2652</x:v>
      </x:c>
      <x:c r="I79" s="233" t="n">
        <x:v>1638</x:v>
      </x:c>
      <x:c r="J79" s="233" t="n">
        <x:v>2721</x:v>
      </x:c>
      <x:c r="K79" s="233" t="n">
        <x:v>69</x:v>
      </x:c>
      <x:c r="L79" s="233" t="n">
        <x:v>70</x:v>
      </x:c>
      <x:c r="M79" s="233" t="n">
        <x:v>1</x:v>
      </x:c>
    </x:row>
    <x:row r="80">
      <x:c r="A80" s="233" t="n">
        <x:v>73</x:v>
      </x:c>
      <x:c r="B80" s="233" t="n">
        <x:v>5</x:v>
      </x:c>
      <x:c r="C80" s="233" t="n">
        <x:v>40</x:v>
      </x:c>
      <x:c r="D80" s="233" t="n">
        <x:v>1408.15</x:v>
      </x:c>
      <x:c r="E80" s="233" t="n">
        <x:v>2747.191</x:v>
      </x:c>
      <x:c r="F80" s="233" t="n">
        <x:v>3447</x:v>
      </x:c>
      <x:c r="G80" s="233" t="n">
        <x:v>1374</x:v>
      </x:c>
      <x:c r="H80" s="233" t="n">
        <x:v>2713</x:v>
      </x:c>
      <x:c r="I80" s="233" t="n">
        <x:v>1442</x:v>
      </x:c>
      <x:c r="J80" s="233" t="n">
        <x:v>2782</x:v>
      </x:c>
      <x:c r="K80" s="233" t="n">
        <x:v>69</x:v>
      </x:c>
      <x:c r="L80" s="233" t="n">
        <x:v>70</x:v>
      </x:c>
      <x:c r="M80" s="233" t="n">
        <x:v>1</x:v>
      </x:c>
    </x:row>
    <x:row r="81">
      <x:c r="A81" s="233" t="n">
        <x:v>73</x:v>
      </x:c>
      <x:c r="B81" s="233" t="n">
        <x:v>5</x:v>
      </x:c>
      <x:c r="C81" s="233" t="n">
        <x:v>60</x:v>
      </x:c>
      <x:c r="D81" s="233" t="n">
        <x:v>1408.066</x:v>
      </x:c>
      <x:c r="E81" s="233" t="n">
        <x:v>2747.282</x:v>
      </x:c>
      <x:c r="F81" s="233" t="n">
        <x:v>3551</x:v>
      </x:c>
      <x:c r="G81" s="233" t="n">
        <x:v>1374</x:v>
      </x:c>
      <x:c r="H81" s="233" t="n">
        <x:v>2713</x:v>
      </x:c>
      <x:c r="I81" s="233" t="n">
        <x:v>1442</x:v>
      </x:c>
      <x:c r="J81" s="233" t="n">
        <x:v>2782</x:v>
      </x:c>
      <x:c r="K81" s="233" t="n">
        <x:v>69</x:v>
      </x:c>
      <x:c r="L81" s="233" t="n">
        <x:v>70</x:v>
      </x:c>
      <x:c r="M81" s="233" t="n">
        <x:v>1</x:v>
      </x:c>
    </x:row>
    <x:row r="82">
      <x:c r="A82" s="233" t="n">
        <x:v>73</x:v>
      </x:c>
      <x:c r="B82" s="233" t="n">
        <x:v>5</x:v>
      </x:c>
      <x:c r="C82" s="233" t="n">
        <x:v>80</x:v>
      </x:c>
      <x:c r="D82" s="233" t="n">
        <x:v>1408.066</x:v>
      </x:c>
      <x:c r="E82" s="233" t="n">
        <x:v>2747.282</x:v>
      </x:c>
      <x:c r="F82" s="233" t="n">
        <x:v>3551</x:v>
      </x:c>
      <x:c r="G82" s="233" t="n">
        <x:v>1374</x:v>
      </x:c>
      <x:c r="H82" s="233" t="n">
        <x:v>2713</x:v>
      </x:c>
      <x:c r="I82" s="233" t="n">
        <x:v>1442</x:v>
      </x:c>
      <x:c r="J82" s="233" t="n">
        <x:v>2782</x:v>
      </x:c>
      <x:c r="K82" s="233" t="n">
        <x:v>69</x:v>
      </x:c>
      <x:c r="L82" s="233" t="n">
        <x:v>70</x:v>
      </x:c>
      <x:c r="M82" s="233" t="n">
        <x:v>1</x:v>
      </x:c>
    </x:row>
    <x:row r="83">
      <x:c r="A83" s="233" t="n">
        <x:v>73</x:v>
      </x:c>
      <x:c r="B83" s="233" t="n">
        <x:v>5</x:v>
      </x:c>
      <x:c r="C83" s="233" t="n">
        <x:v>100</x:v>
      </x:c>
      <x:c r="D83" s="233" t="n">
        <x:v>1408.092</x:v>
      </x:c>
      <x:c r="E83" s="233" t="n">
        <x:v>2747.282</x:v>
      </x:c>
      <x:c r="F83" s="233" t="n">
        <x:v>3559</x:v>
      </x:c>
      <x:c r="G83" s="233" t="n">
        <x:v>1374</x:v>
      </x:c>
      <x:c r="H83" s="233" t="n">
        <x:v>2713</x:v>
      </x:c>
      <x:c r="I83" s="233" t="n">
        <x:v>1442</x:v>
      </x:c>
      <x:c r="J83" s="233" t="n">
        <x:v>2782</x:v>
      </x:c>
      <x:c r="K83" s="233" t="n">
        <x:v>69</x:v>
      </x:c>
      <x:c r="L83" s="233" t="n">
        <x:v>70</x:v>
      </x:c>
      <x:c r="M83" s="233" t="n">
        <x:v>1</x:v>
      </x:c>
    </x:row>
    <x:row r="86">
      <x:c r="A86" s="299" t="inlineStr">
        <x:is>
          <x:t xml:space="preserve">Measurement method and limitations</x:t>
        </x:is>
      </x:c>
      <x:c r="B86" s="1" t="n"/>
      <x:c r="C86" s="1" t="n"/>
      <x:c r="D86" s="1" t="n"/>
      <x:c r="E86" s="1" t="n"/>
      <x:c r="F86" s="1" t="n"/>
      <x:c r="G86" s="1" t="n"/>
      <x:c r="H86" s="1" t="n"/>
      <x:c r="I86" s="1" t="n"/>
      <x:c r="J86" s="1" t="n"/>
      <x:c r="K86" s="1" t="n"/>
      <x:c r="L86" s="1" t="n"/>
      <x:c r="M86" s="1" t="n"/>
      <x:c r="N86" s="1" t="n"/>
      <x:c r="O86" s="1" t="n"/>
      <x:c r="P86" s="1" t="n"/>
      <x:c r="Q86" s="1" t="n"/>
      <x:c r="R86" s="1" t="n"/>
      <x:c r="S86" s="1" t="n"/>
      <x:c r="T86" s="1" t="n"/>
      <x:c r="U86" s="1" t="n"/>
    </x:row>
    <x:row r="87" s="232" customFormat="1" ht="32" customHeight="1">
      <x:c r="A87" s="13" t="inlineStr">
        <x:is>
          <x:t xml:space="preserve">Images: original page scans 24.jpg, 40.jpg and 73.jpg from scream314/cicada3301, assets/2014/liber-primus-complete. Each original Git blob SHA-1, byte length and 2400 × 3600 JPEG dimensions were verified.</x:t>
        </x:is>
      </x:c>
      <x:c r="B87" s="1" t="n"/>
      <x:c r="C87" s="1" t="n"/>
      <x:c r="D87" s="1" t="n"/>
      <x:c r="E87" s="1" t="n"/>
      <x:c r="F87" s="1" t="n"/>
      <x:c r="G87" s="1" t="n"/>
      <x:c r="H87" s="1" t="n"/>
      <x:c r="I87" s="1" t="n"/>
      <x:c r="J87" s="1" t="n"/>
      <x:c r="K87" s="1" t="n"/>
      <x:c r="L87" s="1" t="n"/>
      <x:c r="M87" s="1" t="n"/>
      <x:c r="N87" s="1" t="n"/>
      <x:c r="O87" s="1" t="n"/>
      <x:c r="P87" s="1" t="n"/>
      <x:c r="Q87" s="1" t="n"/>
      <x:c r="R87" s="1" t="n"/>
      <x:c r="S87" s="1" t="n"/>
      <x:c r="T87" s="1" t="n"/>
      <x:c r="U87" s="1" t="n"/>
    </x:row>
    <x:row r="88" s="232" customFormat="1" ht="32" customHeight="1">
      <x:c r="A88" s="13" t="inlineStr">
        <x:is>
          <x:t xml:space="preserve">Decoder: custom baseline-JPEG decoder executed in memory against the connector-returned Base64 byte stream. It entropy-decodes the scan and performs inverse DCT for Y/luminance blocks overlapping each target crop. The source files were not written to the local filesystem.</x:t>
        </x:is>
      </x:c>
      <x:c r="B88" s="1" t="n"/>
      <x:c r="C88" s="1" t="n"/>
      <x:c r="D88" s="1" t="n"/>
      <x:c r="E88" s="1" t="n"/>
      <x:c r="F88" s="1" t="n"/>
      <x:c r="G88" s="1" t="n"/>
      <x:c r="H88" s="1" t="n"/>
      <x:c r="I88" s="1" t="n"/>
      <x:c r="J88" s="1" t="n"/>
      <x:c r="K88" s="1" t="n"/>
      <x:c r="L88" s="1" t="n"/>
      <x:c r="M88" s="1" t="n"/>
      <x:c r="N88" s="1" t="n"/>
      <x:c r="O88" s="1" t="n"/>
      <x:c r="P88" s="1" t="n"/>
      <x:c r="Q88" s="1" t="n"/>
      <x:c r="R88" s="1" t="n"/>
      <x:c r="S88" s="1" t="n"/>
      <x:c r="T88" s="1" t="n"/>
      <x:c r="U88" s="1" t="n"/>
    </x:row>
    <x:row r="89" s="232" customFormat="1" ht="32" customHeight="1">
      <x:c r="A89" s="13" t="inlineStr">
        <x:is>
          <x:t xml:space="preserve">Segmentation: threshold decoded luminance at 40, 60, 80 and 100; 8-connected components; retain dot-like components with area 600–12000 px, width/height 25–120 px, aspect ratio 0.65–1.55, and fill ratio ≥0.48.</x:t>
        </x:is>
      </x:c>
      <x:c r="B89" s="1" t="n"/>
      <x:c r="C89" s="1" t="n"/>
      <x:c r="D89" s="1" t="n"/>
      <x:c r="E89" s="1" t="n"/>
      <x:c r="F89" s="1" t="n"/>
      <x:c r="G89" s="1" t="n"/>
      <x:c r="H89" s="1" t="n"/>
      <x:c r="I89" s="1" t="n"/>
      <x:c r="J89" s="1" t="n"/>
      <x:c r="K89" s="1" t="n"/>
      <x:c r="L89" s="1" t="n"/>
      <x:c r="M89" s="1" t="n"/>
      <x:c r="N89" s="1" t="n"/>
      <x:c r="O89" s="1" t="n"/>
      <x:c r="P89" s="1" t="n"/>
      <x:c r="Q89" s="1" t="n"/>
      <x:c r="R89" s="1" t="n"/>
      <x:c r="S89" s="1" t="n"/>
      <x:c r="T89" s="1" t="n"/>
      <x:c r="U89" s="1" t="n"/>
    </x:row>
    <x:row r="90" s="232" customFormat="1" ht="32" customHeight="1">
      <x:c r="A90" s="13" t="inlineStr">
        <x:is>
          <x:t xml:space="preserve">Crop selection: each dot’s 200 × 200 source-pixel crop was centered using legacy display estimates solely to locate the target. Each crop yielded one qualifying dark component at each threshold. This is a targeted measurement, not an exhaustive search of each entire page.</x:t>
        </x:is>
      </x:c>
      <x:c r="B90" s="1" t="n"/>
      <x:c r="C90" s="1" t="n"/>
      <x:c r="D90" s="1" t="n"/>
      <x:c r="E90" s="1" t="n"/>
      <x:c r="F90" s="1" t="n"/>
      <x:c r="G90" s="1" t="n"/>
      <x:c r="H90" s="1" t="n"/>
      <x:c r="I90" s="1" t="n"/>
      <x:c r="J90" s="1" t="n"/>
      <x:c r="K90" s="1" t="n"/>
      <x:c r="L90" s="1" t="n"/>
      <x:c r="M90" s="1" t="n"/>
      <x:c r="N90" s="1" t="n"/>
      <x:c r="O90" s="1" t="n"/>
      <x:c r="P90" s="1" t="n"/>
      <x:c r="Q90" s="1" t="n"/>
      <x:c r="R90" s="1" t="n"/>
      <x:c r="S90" s="1" t="n"/>
      <x:c r="T90" s="1" t="n"/>
      <x:c r="U90" s="1" t="n"/>
    </x:row>
    <x:row r="91" s="232" customFormat="1" ht="32" customHeight="1">
      <x:c r="A91" s="13" t="inlineStr">
        <x:is>
          <x:t xml:space="preserve">Robustness: 60/60 candidate checks passed; maximum threshold-dependent centroid drift was 0.174 source px. Dot bounds were approximately 69–70 px across, consistent with repeated black circular marks.</x:t>
        </x:is>
      </x:c>
      <x:c r="B91" s="1" t="n"/>
      <x:c r="C91" s="1" t="n"/>
      <x:c r="D91" s="1" t="n"/>
      <x:c r="E91" s="1" t="n"/>
      <x:c r="F91" s="1" t="n"/>
      <x:c r="G91" s="1" t="n"/>
      <x:c r="H91" s="1" t="n"/>
      <x:c r="I91" s="1" t="n"/>
      <x:c r="J91" s="1" t="n"/>
      <x:c r="K91" s="1" t="n"/>
      <x:c r="L91" s="1" t="n"/>
      <x:c r="M91" s="1" t="n"/>
      <x:c r="N91" s="1" t="n"/>
      <x:c r="O91" s="1" t="n"/>
      <x:c r="P91" s="1" t="n"/>
      <x:c r="Q91" s="1" t="n"/>
      <x:c r="R91" s="1" t="n"/>
      <x:c r="S91" s="1" t="n"/>
      <x:c r="T91" s="1" t="n"/>
      <x:c r="U91" s="1" t="n"/>
    </x:row>
    <x:row r="92" s="232" customFormat="1" ht="32" customHeight="1">
      <x:c r="A92" s="13" t="inlineStr">
        <x:is>
          <x:t xml:space="preserve">Reproducibility caveat: the custom in-memory decoder has not yet been independently cross-validated against a second JPEG decoder such as Pillow. Treat centroids as measured pilot data pending an independent decoder cross-check; do not call the measurements a cipher solution.</x:t>
        </x:is>
      </x:c>
      <x:c r="B92" s="1" t="n"/>
      <x:c r="C92" s="1" t="n"/>
      <x:c r="D92" s="1" t="n"/>
      <x:c r="E92" s="1" t="n"/>
      <x:c r="F92" s="1" t="n"/>
      <x:c r="G92" s="1" t="n"/>
      <x:c r="H92" s="1" t="n"/>
      <x:c r="I92" s="1" t="n"/>
      <x:c r="J92" s="1" t="n"/>
      <x:c r="K92" s="1" t="n"/>
      <x:c r="L92" s="1" t="n"/>
      <x:c r="M92" s="1" t="n"/>
      <x:c r="N92" s="1" t="n"/>
      <x:c r="O92" s="1" t="n"/>
      <x:c r="P92" s="1" t="n"/>
      <x:c r="Q92" s="1" t="n"/>
      <x:c r="R92" s="1" t="n"/>
      <x:c r="S92" s="1" t="n"/>
      <x:c r="T92" s="1" t="n"/>
      <x:c r="U92" s="1" t="n"/>
    </x:row>
  </x:sheetData>
  <x:mergeCells>
    <x:mergeCell ref="A91:U91"/>
    <x:mergeCell ref="A1:U1"/>
    <x:mergeCell ref="A87:U87"/>
    <x:mergeCell ref="A92:U92"/>
    <x:mergeCell ref="A2:U2"/>
    <x:mergeCell ref="A86:U86"/>
    <x:mergeCell ref="A22:M22"/>
    <x:mergeCell ref="A90:U90"/>
    <x:mergeCell ref="A89:U89"/>
    <x:mergeCell ref="A88:U88"/>
  </x:mergeCell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38" style="232" customWidth="1"/>
    <x:col min="3" max="3" width="41" style="232" customWidth="1"/>
    <x:col min="4" max="4" width="32" style="232" customWidth="1"/>
    <x:col min="5" max="5" width="20" style="232" customWidth="1"/>
    <x:col min="6" max="6" width="20" style="232" customWidth="1"/>
    <x:col min="7" max="7" width="46" style="232" customWidth="1"/>
    <x:col min="8" max="8" width="22" style="232" customWidth="1"/>
  </x:cols>
  <x:sheetData>
    <x:row r="1" s="232" customFormat="1" ht="26" customHeight="1">
      <x:c r="A1" s="291" t="inlineStr">
        <x:is>
          <x:t xml:space="preserve">Measured Geometry Audit — Five-Dot Template Test v0.8</x:t>
        </x:is>
      </x:c>
      <x:c r="B1" s="1" t="n"/>
      <x:c r="C1" s="1" t="n"/>
      <x:c r="D1" s="1" t="n"/>
      <x:c r="E1" s="1" t="n"/>
      <x:c r="F1" s="1" t="n"/>
      <x:c r="G1" s="1" t="n"/>
      <x:c r="H1" s="1" t="n"/>
    </x:row>
    <x:row r="2" s="232" customFormat="1" ht="40" customHeight="1">
      <x:c r="A2" s="13" t="inlineStr">
        <x:is>
          <x:t xml:space="preserve">Result: the three measured dot groups are geometrically consistent with one reused five-point template under simple reflections/rotation. This is evidence of visual recurrence, not a demonstrated cipher or plaintext mapping.</x:t>
        </x:is>
      </x:c>
      <x:c r="B2" s="1" t="n"/>
      <x:c r="C2" s="1" t="n"/>
      <x:c r="D2" s="1" t="n"/>
      <x:c r="E2" s="1" t="n"/>
      <x:c r="F2" s="1" t="n"/>
      <x:c r="G2" s="1" t="n"/>
      <x:c r="H2" s="1" t="n"/>
    </x:row>
    <x:row r="4">
      <x:c r="A4" s="181" t="inlineStr">
        <x:is>
          <x:t xml:space="preserve">Diagnostic</x:t>
        </x:is>
      </x:c>
      <x:c r="B4" s="181" t="inlineStr">
        <x:is>
          <x:t xml:space="preserve">Measured result</x:t>
        </x:is>
      </x:c>
      <x:c r="C4" s="181" t="inlineStr">
        <x:is>
          <x:t xml:space="preserve">Interpretation / limitation</x:t>
        </x:is>
      </x:c>
    </x:row>
    <x:row r="5" s="232" customFormat="1" ht="34" customHeight="1">
      <x:c r="A5" s="233" t="inlineStr">
        <x:is>
          <x:t xml:space="preserve">Source scans</x:t>
        </x:is>
      </x:c>
      <x:c r="B5" s="233" t="inlineStr">
        <x:is>
          <x:t xml:space="preserve">Pages 24, 40, 73; each 2400 × 3600; source Git blob SHA-1 verified</x:t>
        </x:is>
      </x:c>
      <x:c r="C5" s="233" t="inlineStr">
        <x:is>
          <x:t xml:space="preserve">Source images retrieved through connected GitHub integration; decoder executed in memory.</x:t>
        </x:is>
      </x:c>
    </x:row>
    <x:row r="6" s="232" customFormat="1" ht="34" customHeight="1">
      <x:c r="A6" s="233" t="inlineStr">
        <x:is>
          <x:t xml:space="preserve">Target components</x:t>
        </x:is>
      </x:c>
      <x:c r="B6" s="233" t="inlineStr">
        <x:is>
          <x:t xml:space="preserve">15/15 dots each detected at thresholds 40, 60, 80, 100 (60/60 checks)</x:t>
        </x:is>
      </x:c>
      <x:c r="C6" s="233" t="inlineStr">
        <x:is>
          <x:t xml:space="preserve">One qualifying component per preselected 200 × 200 crop; not an exhaustive full-page dot census.</x:t>
        </x:is>
      </x:c>
    </x:row>
    <x:row r="7" s="232" customFormat="1" ht="34" customHeight="1">
      <x:c r="A7" s="233" t="inlineStr">
        <x:is>
          <x:t xml:space="preserve">Threshold stability</x:t>
        </x:is>
      </x:c>
      <x:c r="B7" s="233" t="inlineStr">
        <x:is>
          <x:t xml:space="preserve">Max centroid drift 0.174 px; median per-dot maximum drift 0.051 px</x:t>
        </x:is>
      </x:c>
      <x:c r="C7" s="233" t="inlineStr">
        <x:is>
          <x:t xml:space="preserve">Stable to the chosen thresholds. This is segmentation stability, not a full error budget.</x:t>
        </x:is>
      </x:c>
    </x:row>
    <x:row r="8" s="232" customFormat="1" ht="34" customHeight="1">
      <x:c r="A8" s="233" t="inlineStr">
        <x:is>
          <x:t xml:space="preserve">Dot component size</x:t>
        </x:is>
      </x:c>
      <x:c r="B8" s="233" t="inlineStr">
        <x:is>
          <x:t xml:space="preserve">Threshold-60 bounding boxes 69–70 px wide × 69–70 px high</x:t>
        </x:is>
      </x:c>
      <x:c r="C8" s="233" t="inlineStr">
        <x:is>
          <x:t xml:space="preserve">The five-dot marks have highly consistent rasterized size across the three source pages.</x:t>
        </x:is>
      </x:c>
    </x:row>
    <x:row r="9" s="232" customFormat="1" ht="34" customHeight="1">
      <x:c r="A9" s="233" t="inlineStr">
        <x:is>
          <x:t xml:space="preserve">Geometry conclusion</x:t>
        </x:is>
      </x:c>
      <x:c r="B9" s="233" t="inlineStr">
        <x:is>
          <x:t xml:space="preserve">All three sets share a near-identical normalized pairwise-distance signature and close axis-aligned transformations</x:t>
        </x:is>
      </x:c>
      <x:c r="C9" s="233" t="inlineStr">
        <x:is>
          <x:t xml:space="preserve">The leading explanation is reuse of the same geometric motif; connection to any cipher remains unestablished.</x:t>
        </x:is>
      </x:c>
    </x:row>
    <x:row r="10" s="232" customFormat="1" ht="34" customHeight="1">
      <x:c r="A10" s="233" t="inlineStr">
        <x:is>
          <x:t xml:space="preserve">Inference status</x:t>
        </x:is>
      </x:c>
      <x:c r="B10" s="233" t="inlineStr">
        <x:is>
          <x:t xml:space="preserve">EXPLORATORY VISUAL RECURRENCE</x:t>
        </x:is>
      </x:c>
      <x:c r="C10" s="233" t="inlineStr">
        <x:is>
          <x:t xml:space="preserve">Page/group selection and point correspondences were examined after seeing the images; null results below are not inferential p-values.</x:t>
        </x:is>
      </x:c>
    </x:row>
    <x:row r="12">
      <x:c r="A12" s="181" t="inlineStr">
        <x:is>
          <x:t xml:space="preserve">Pair</x:t>
        </x:is>
      </x:c>
      <x:c r="B12" s="181" t="inlineStr">
        <x:is>
          <x:t xml:space="preserve">Normalized sorted-distance signature RMS</x:t>
        </x:is>
      </x:c>
      <x:c r="C12" s="181" t="inlineStr">
        <x:is>
          <x:t xml:space="preserve">Best Procrustes RMS (normalized)</x:t>
        </x:is>
      </x:c>
      <x:c r="D12" s="181" t="inlineStr">
        <x:is>
          <x:t xml:space="preserve">Best fit RMS (source px)</x:t>
        </x:is>
      </x:c>
      <x:c r="E12" s="181" t="inlineStr">
        <x:is>
          <x:t xml:space="preserve">Best point mapping (A label → B label)</x:t>
        </x:is>
      </x:c>
      <x:c r="F12" s="181" t="inlineStr">
        <x:is>
          <x:t xml:space="preserve">Reading</x:t>
        </x:is>
      </x:c>
    </x:row>
    <x:row r="13">
      <x:c r="A13" s="233" t="inlineStr">
        <x:is>
          <x:t xml:space="preserve">24–40</x:t>
        </x:is>
      </x:c>
      <x:c r="B13" s="233" t="n">
        <x:v>7.092000000000001e-05</x:v>
      </x:c>
      <x:c r="C13" s="233" t="n">
        <x:v>0.00010199</x:v>
      </x:c>
      <x:c r="D13" s="233" t="n">
        <x:v>0.031</x:v>
      </x:c>
      <x:c r="E13" s="233" t="inlineStr">
        <x:is>
          <x:t xml:space="preserve">1→1; 2→2; 3→5; 4→4; 5→3</x:t>
        </x:is>
      </x:c>
      <x:c r="F13" s="233" t="inlineStr">
        <x:is>
          <x:t xml:space="preserve">Near-exact shared shape; fixed-axis vertical reflection independently checked below.</x:t>
        </x:is>
      </x:c>
    </x:row>
    <x:row r="14">
      <x:c r="A14" s="233" t="inlineStr">
        <x:is>
          <x:t xml:space="preserve">24–73</x:t>
        </x:is>
      </x:c>
      <x:c r="B14" s="233" t="n">
        <x:v>0.0006192</x:v>
      </x:c>
      <x:c r="C14" s="233" t="n">
        <x:v>0.00067468</x:v>
      </x:c>
      <x:c r="D14" s="233" t="n">
        <x:v>0.206</x:v>
      </x:c>
      <x:c r="E14" s="233" t="inlineStr">
        <x:is>
          <x:t xml:space="preserve">1→4; 2→5; 3→3; 4→2; 5→1</x:t>
        </x:is>
      </x:c>
      <x:c r="F14" s="233" t="inlineStr">
        <x:is>
          <x:t xml:space="preserve">Near-exact shared shape; mapping came from best correspondence search over 120 permutations.</x:t>
        </x:is>
      </x:c>
    </x:row>
    <x:row r="15">
      <x:c r="A15" s="233" t="inlineStr">
        <x:is>
          <x:t xml:space="preserve">40–73</x:t>
        </x:is>
      </x:c>
      <x:c r="B15" s="233" t="n">
        <x:v>0.0006473</x:v>
      </x:c>
      <x:c r="C15" s="233" t="n">
        <x:v>0.00075732</x:v>
      </x:c>
      <x:c r="D15" s="233" t="n">
        <x:v>0.231</x:v>
      </x:c>
      <x:c r="E15" s="233" t="inlineStr">
        <x:is>
          <x:t xml:space="preserve">1→4; 2→5; 3→1; 4→2; 5→3</x:t>
        </x:is>
      </x:c>
      <x:c r="F15" s="233" t="inlineStr">
        <x:is>
          <x:t xml:space="preserve">Near-exact shared shape; mapping came from best correspondence search over 120 permutations.</x:t>
        </x:is>
      </x:c>
    </x:row>
    <x:row r="17">
      <x:c r="A17" s="181" t="inlineStr">
        <x:is>
          <x:t xml:space="preserve">Pair</x:t>
        </x:is>
      </x:c>
      <x:c r="B17" s="181" t="inlineStr">
        <x:is>
          <x:t xml:space="preserve">Restricted transformation</x:t>
        </x:is>
      </x:c>
      <x:c r="C17" s="181" t="inlineStr">
        <x:is>
          <x:t xml:space="preserve">Label mapping</x:t>
        </x:is>
      </x:c>
      <x:c r="D17" s="181" t="inlineStr">
        <x:is>
          <x:t xml:space="preserve">Estimated constant(s)</x:t>
        </x:is>
      </x:c>
      <x:c r="E17" s="181" t="inlineStr">
        <x:is>
          <x:t xml:space="preserve">RMS residual (source px)</x:t>
        </x:is>
      </x:c>
      <x:c r="F17" s="181" t="inlineStr">
        <x:is>
          <x:t xml:space="preserve">Maximum residual (source px)</x:t>
        </x:is>
      </x:c>
      <x:c r="G17" s="181" t="inlineStr">
        <x:is>
          <x:t xml:space="preserve">Status / caution</x:t>
        </x:is>
      </x:c>
    </x:row>
    <x:row r="18" s="232" customFormat="1" ht="52" customHeight="1">
      <x:c r="A18" s="233" t="inlineStr">
        <x:is>
          <x:t xml:space="preserve">24→40</x:t>
        </x:is>
      </x:c>
      <x:c r="B18" s="233" t="inlineStr">
        <x:is>
          <x:t xml:space="preserve">Vertical reflection; x offset ≈ 0; y40 = 3674.018 − y24</x:t>
        </x:is>
      </x:c>
      <x:c r="C18" s="233" t="inlineStr">
        <x:is>
          <x:t xml:space="preserve">1→1; 2→2; 3→5; 4→4; 5→3</x:t>
        </x:is>
      </x:c>
      <x:c r="D18" s="233" t="inlineStr">
        <x:is>
          <x:t xml:space="preserve">x offset = 0.000082 px; y-sum = 3674.018 px</x:t>
        </x:is>
      </x:c>
      <x:c r="E18" s="233" t="n">
        <x:v>0.037</x:v>
      </x:c>
      <x:c r="F18" s="233" t="n">
        <x:v>0.074</x:v>
      </x:c>
      <x:c r="G18" s="233" t="inlineStr">
        <x:is>
          <x:t xml:space="preserve">Extremely close raster-centroid match; use as the clearest template-reuse diagnostic.</x:t>
        </x:is>
      </x:c>
    </x:row>
    <x:row r="19" s="232" customFormat="1" ht="52" customHeight="1">
      <x:c r="A19" s="233" t="inlineStr">
        <x:is>
          <x:t xml:space="preserve">40→73</x:t>
        </x:is>
      </x:c>
      <x:c r="B19" s="233" t="inlineStr">
        <x:is>
          <x:t xml:space="preserve">180° rotation; x73 = 2400.627 − x40; y73 = 3254.661 − y40</x:t>
        </x:is>
      </x:c>
      <x:c r="C19" s="233" t="inlineStr">
        <x:is>
          <x:t xml:space="preserve">1→4; 2→5; 3→1; 4→2; 5→3</x:t>
        </x:is>
      </x:c>
      <x:c r="D19" s="233" t="inlineStr">
        <x:is>
          <x:t xml:space="preserve">x-sum = 2400.627 px; y-sum = 3254.661 px</x:t>
        </x:is>
      </x:c>
      <x:c r="E19" s="233" t="n">
        <x:v>0.263</x:v>
      </x:c>
      <x:c r="F19" s="233" t="n">
        <x:v>0.346</x:v>
      </x:c>
      <x:c r="G19" s="233" t="inlineStr">
        <x:is>
          <x:t xml:space="preserve">Correspondence identified after inspection/fit; not a pre-registered test.</x:t>
        </x:is>
      </x:c>
    </x:row>
    <x:row r="20" s="232" customFormat="1" ht="52" customHeight="1">
      <x:c r="A20" s="233" t="inlineStr">
        <x:is>
          <x:t xml:space="preserve">24→73</x:t>
        </x:is>
      </x:c>
      <x:c r="B20" s="233" t="inlineStr">
        <x:is>
          <x:t xml:space="preserve">Horizontal reflection + vertical translation; x73 = 2400.627 − x24; y73 = y24 − 419.358</x:t>
        </x:is>
      </x:c>
      <x:c r="C20" s="233" t="inlineStr">
        <x:is>
          <x:t xml:space="preserve">1→4; 2→5; 3→3; 4→2; 5→1</x:t>
        </x:is>
      </x:c>
      <x:c r="D20" s="233" t="inlineStr">
        <x:is>
          <x:t xml:space="preserve">x-sum = 2400.627 px; y-offset = −419.358 px</x:t>
        </x:is>
      </x:c>
      <x:c r="E20" s="233" t="n">
        <x:v>0.246</x:v>
      </x:c>
      <x:c r="F20" s="233" t="n">
        <x:v>0.316</x:v>
      </x:c>
      <x:c r="G20" s="233" t="inlineStr">
        <x:is>
          <x:t xml:space="preserve">Consistent with the same template; relationship is exploratory.</x:t>
        </x:is>
      </x:c>
    </x:row>
    <x:row r="22">
      <x:c r="A22" s="181" t="inlineStr">
        <x:is>
          <x:t xml:space="preserve">Control</x:t>
        </x:is>
      </x:c>
      <x:c r="B22" s="181" t="inlineStr">
        <x:is>
          <x:t xml:space="preserve">Result</x:t>
        </x:is>
      </x:c>
      <x:c r="C22" s="181" t="inlineStr">
        <x:is>
          <x:t xml:space="preserve">Important limitation</x:t>
        </x:is>
      </x:c>
    </x:row>
    <x:row r="23" s="232" customFormat="1" ht="44" customHeight="1">
      <x:c r="A23" s="233" t="inlineStr">
        <x:is>
          <x:t xml:space="preserve">Null model</x:t>
        </x:is>
      </x:c>
      <x:c r="B23" s="233" t="inlineStr">
        <x:is>
          <x:t xml:space="preserve">500,000 random five-point groups; 250,000 independent signature-pair comparisons; uniform points in a 2.4:1 rectangle; seed 3301.</x:t>
        </x:is>
      </x:c>
      <x:c r="C23" s="233" t="inlineStr">
        <x:is>
          <x:t xml:space="preserve">Tests random independent placements only; does not model intentionally reused artwork or selection of candidate pages.</x:t>
        </x:is>
      </x:c>
    </x:row>
    <x:row r="24" s="232" customFormat="1" ht="44" customHeight="1">
      <x:c r="A24" s="233" t="inlineStr">
        <x:is>
          <x:t xml:space="preserve">Observed matches</x:t>
        </x:is>
      </x:c>
      <x:c r="B24" s="233" t="inlineStr">
        <x:is>
          <x:t xml:space="preserve">0/250,000 simulated pairs were as close as each observed pair; add-one lower-tail resolution ≈ 4.0 × 10⁻⁶ per pair.</x:t>
        </x:is>
      </x:c>
      <x:c r="C24" s="233" t="inlineStr">
        <x:is>
          <x:t xml:space="preserve">Not a formal inferential p-value because candidate groups and mappings were chosen after visual inspection.</x:t>
        </x:is>
      </x:c>
    </x:row>
    <x:row r="25" s="232" customFormat="1" ht="44" customHeight="1">
      <x:c r="A25" s="233" t="inlineStr">
        <x:is>
          <x:t xml:space="preserve">Conclusion from control</x:t>
        </x:is>
      </x:c>
      <x:c r="B25" s="233" t="inlineStr">
        <x:is>
          <x:t xml:space="preserve">The observed recurrence is not typical of independent random point sets in this simple model.</x:t>
        </x:is>
      </x:c>
      <x:c r="C25" s="233" t="inlineStr">
        <x:is>
          <x:t xml:space="preserve">The useful conclusion is shared geometry, not cipher significance.</x:t>
        </x:is>
      </x:c>
    </x:row>
    <x:row r="27">
      <x:c r="A27" s="181" t="inlineStr">
        <x:is>
          <x:t xml:space="preserve">Question</x:t>
        </x:is>
      </x:c>
      <x:c r="B27" s="181" t="inlineStr">
        <x:is>
          <x:t xml:space="preserve">Current answer</x:t>
        </x:is>
      </x:c>
      <x:c r="C27" s="181" t="inlineStr">
        <x:is>
          <x:t xml:space="preserve">Next evidence required</x:t>
        </x:is>
      </x:c>
    </x:row>
    <x:row r="28" s="232" customFormat="1" ht="55" customHeight="1">
      <x:c r="A28" s="233" t="inlineStr">
        <x:is>
          <x:t xml:space="preserve">Are the three point groups geometrically related?</x:t>
        </x:is>
      </x:c>
      <x:c r="B28" s="233" t="inlineStr">
        <x:is>
          <x:t xml:space="preserve">Yes, strongly supported by source-pixel centroids and subpixel residuals under simple transforms.</x:t>
        </x:is>
      </x:c>
      <x:c r="C28" s="233" t="inlineStr">
        <x:is>
          <x:t xml:space="preserve">Independently cross-check the decoded centroids against a standard JPEG decoder / Pillow once image bytes are locally available.</x:t>
        </x:is>
      </x:c>
    </x:row>
    <x:row r="29" s="232" customFormat="1" ht="55" customHeight="1">
      <x:c r="A29" s="233" t="inlineStr">
        <x:is>
          <x:t xml:space="preserve">Does this prove the dots are a cipher key?</x:t>
        </x:is>
      </x:c>
      <x:c r="B29" s="233" t="inlineStr">
        <x:is>
          <x:t xml:space="preserve">No. We have not derived a fixed dot-to-rune mapping, a reproducible plaintext, or an independently predicted structural consequence.</x:t>
        </x:is>
      </x:c>
      <x:c r="C29" s="233" t="inlineStr">
        <x:is>
          <x:t xml:space="preserve">Test the motif against other unselected dot groups and against printed text/rune positions under predeclared mappings.</x:t>
        </x:is>
      </x:c>
    </x:row>
    <x:row r="30" s="232" customFormat="1" ht="55" customHeight="1">
      <x:c r="A30" s="233" t="inlineStr">
        <x:is>
          <x:t xml:space="preserve">Best next visual control</x:t>
        </x:is>
      </x:c>
      <x:c r="B30" s="233" t="inlineStr">
        <x:is>
          <x:t xml:space="preserve">Pages 68/57 right-side plant clusters are a repeated ornamental control (matching centers, areas, boxes across thresholds). Page 39 six-dot group and page 68 five-dot group do not match the isolated p24/p40/p73 template. Pages 50 and 56 three-dot rows form a separate repeated motif at two sizes.</x:t>
        </x:is>
      </x:c>
      <x:c r="C30" s="233" t="inlineStr">
        <x:is>
          <x:t xml:space="preserve">Prioritize second-decoder cross-validation, then class-aware tests of other point groups. Do not assume a point-to-rune mapping from geometric recurrence alone.</x:t>
        </x:is>
      </x:c>
    </x:row>
    <x:row r="32">
      <x:c r="A32" s="299" t="inlineStr">
        <x:is>
          <x:t xml:space="preserve">Source provenance</x:t>
        </x:is>
      </x:c>
      <x:c r="B32" s="1" t="n"/>
      <x:c r="C32" s="1" t="n"/>
      <x:c r="D32" s="1" t="n"/>
      <x:c r="E32" s="1" t="n"/>
      <x:c r="F32" s="1" t="n"/>
      <x:c r="G32" s="1" t="n"/>
      <x:c r="H32" s="1" t="n"/>
    </x:row>
    <x:row r="33">
      <x:c r="A33" s="181" t="inlineStr">
        <x:is>
          <x:t xml:space="preserve">Page</x:t>
        </x:is>
      </x:c>
      <x:c r="B33" s="181" t="inlineStr">
        <x:is>
          <x:t xml:space="preserve">Source bytes</x:t>
        </x:is>
      </x:c>
      <x:c r="C33" s="181" t="inlineStr">
        <x:is>
          <x:t xml:space="preserve">Raster</x:t>
        </x:is>
      </x:c>
      <x:c r="D33" s="181" t="inlineStr">
        <x:is>
          <x:t xml:space="preserve">Git blob SHA-1</x:t>
        </x:is>
      </x:c>
      <x:c r="E33" s="181" t="inlineStr">
        <x:is>
          <x:t xml:space="preserve">Original source URL</x:t>
        </x:is>
      </x:c>
    </x:row>
    <x:row r="34">
      <x:c r="A34" s="233" t="n">
        <x:v>24</x:v>
      </x:c>
      <x:c r="B34" s="233" t="n">
        <x:v>580968</x:v>
      </x:c>
      <x:c r="C34" s="233" t="inlineStr">
        <x:is>
          <x:t xml:space="preserve">2400 × 3600</x:t>
        </x:is>
      </x:c>
      <x:c r="D34" s="233" t="inlineStr">
        <x:is>
          <x:t xml:space="preserve">2b4e09dbad1a9c602a2919864b1a84f49d7ff501</x:t>
        </x:is>
      </x:c>
      <x:c r="E34" s="233" t="inlineStr">
        <x:is>
          <x:t xml:space="preserve">https://github.com/scream314/cicada3301/blob/master/assets/2014/liber-primus-complete/24.jpg</x:t>
        </x:is>
      </x:c>
    </x:row>
    <x:row r="35">
      <x:c r="A35" s="233" t="n">
        <x:v>40</x:v>
      </x:c>
      <x:c r="B35" s="233" t="n">
        <x:v>484095</x:v>
      </x:c>
      <x:c r="C35" s="233" t="inlineStr">
        <x:is>
          <x:t xml:space="preserve">2400 × 3600</x:t>
        </x:is>
      </x:c>
      <x:c r="D35" s="233" t="inlineStr">
        <x:is>
          <x:t xml:space="preserve">feee4eed2a4f6d66456ff5a977f43c7ef297f8eb</x:t>
        </x:is>
      </x:c>
      <x:c r="E35" s="233" t="inlineStr">
        <x:is>
          <x:t xml:space="preserve">https://github.com/scream314/cicada3301/blob/master/assets/2014/liber-primus-complete/40.jpg</x:t>
        </x:is>
      </x:c>
    </x:row>
    <x:row r="36">
      <x:c r="A36" s="233" t="n">
        <x:v>73</x:v>
      </x:c>
      <x:c r="B36" s="233" t="n">
        <x:v>389813</x:v>
      </x:c>
      <x:c r="C36" s="233" t="inlineStr">
        <x:is>
          <x:t xml:space="preserve">2400 × 3600</x:t>
        </x:is>
      </x:c>
      <x:c r="D36" s="233" t="inlineStr">
        <x:is>
          <x:t xml:space="preserve">afa3428764199ddf590baf0c055c8caedc079cb1</x:t>
        </x:is>
      </x:c>
      <x:c r="E36" s="233" t="inlineStr">
        <x:is>
          <x:t xml:space="preserve">https://github.com/scream314/cicada3301/blob/master/assets/2014/liber-primus-complete/73.jpg</x:t>
        </x:is>
      </x:c>
    </x:row>
    <x:row r="38">
      <x:c r="A38" s="299" t="inlineStr">
        <x:is>
          <x:t xml:space="preserve">Decision</x:t>
        </x:is>
      </x:c>
      <x:c r="B38" s="1" t="n"/>
      <x:c r="C38" s="1" t="n"/>
      <x:c r="D38" s="1" t="n"/>
      <x:c r="E38" s="1" t="n"/>
      <x:c r="F38" s="1" t="n"/>
      <x:c r="G38" s="1" t="n"/>
      <x:c r="H38" s="1" t="n"/>
    </x:row>
    <x:row r="39" s="232" customFormat="1" ht="38" customHeight="1">
      <x:c r="A39" s="13" t="inlineStr">
        <x:is>
          <x:t xml:space="preserve">KEEP as a confirmed geometric-recurrence candidate, but NOT as a solved cipher. Next test whether the same template appears in other dot clusters and then test any text mapping against fixed, preregistered rules.</x:t>
        </x:is>
      </x:c>
      <x:c r="B39" s="1" t="n"/>
      <x:c r="C39" s="1" t="n"/>
      <x:c r="D39" s="1" t="n"/>
      <x:c r="E39" s="1" t="n"/>
      <x:c r="F39" s="1" t="n"/>
      <x:c r="G39" s="1" t="n"/>
      <x:c r="H39" s="1" t="n"/>
    </x:row>
  </x:sheetData>
  <x:mergeCells>
    <x:mergeCell ref="A39:H39"/>
    <x:mergeCell ref="A38:H38"/>
    <x:mergeCell ref="A2:H2"/>
    <x:mergeCell ref="A1:H1"/>
    <x:mergeCell ref="A32:H32"/>
  </x:mergeCells>
  <x:pageMargins left="0.7" right="0.7" top="0.75" bottom="0.75" header="0.3" footer="0.3"/>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baseColWidth="8" defaultRowHeight="15"/>
  <x:cols>
    <x:col min="1" max="1" width="25" style="232" customWidth="1"/>
    <x:col min="2" max="2" width="17" style="232" customWidth="1"/>
    <x:col min="3" max="3" width="17" style="232" customWidth="1"/>
    <x:col min="4" max="4" width="15" style="232" customWidth="1"/>
    <x:col min="5" max="5" width="23" style="232" customWidth="1"/>
    <x:col min="6" max="6" width="14" style="232" customWidth="1"/>
    <x:col min="7" max="7" width="22" style="232" customWidth="1"/>
    <x:col min="8" max="8" width="39" style="232" customWidth="1"/>
    <x:col min="9" max="9" width="42" style="232" customWidth="1"/>
    <x:col min="10" max="10" width="50" style="232" customWidth="1"/>
  </x:cols>
  <x:sheetData>
    <x:row r="1">
      <x:c r="A1" s="300" t="inlineStr">
        <x:is>
          <x:t xml:space="preserve">Contextual Dot-Group Controls — source-pixel measurements v0.8</x:t>
        </x:is>
      </x:c>
      <x:c r="B1" s="1" t="n"/>
      <x:c r="C1" s="1" t="n"/>
      <x:c r="D1" s="1" t="n"/>
      <x:c r="E1" s="1" t="n"/>
      <x:c r="F1" s="1" t="n"/>
      <x:c r="G1" s="1" t="n"/>
      <x:c r="H1" s="1" t="n"/>
      <x:c r="I1" s="1" t="n"/>
    </x:row>
    <x:row r="2">
      <x:c r="A2" s="301" t="inlineStr">
        <x:is>
          <x:t xml:space="preserve">Purpose: test whether the 24/40/73 five-dot template also appears in other annotated dot clusters. These are targeted crops from original GitHub JPEGs decoded in memory using a custom baseline-JPEG Y/luminance decoder. A second-decoder cross-check is still pending; dot identity for page 39 follows the user's annotated labels.</x:t>
        </x:is>
      </x:c>
      <x:c r="B2" s="1" t="n"/>
      <x:c r="C2" s="1" t="n"/>
      <x:c r="D2" s="1" t="n"/>
      <x:c r="E2" s="1" t="n"/>
      <x:c r="F2" s="1" t="n"/>
      <x:c r="G2" s="1" t="n"/>
      <x:c r="H2" s="1" t="n"/>
      <x:c r="I2" s="1" t="n"/>
    </x:row>
    <x:row r="4">
      <x:c r="A4" s="292" t="inlineStr">
        <x:is>
          <x:t xml:space="preserve">Page 68 — right-side botanical/petal-adjacent five-dot cluster</x:t>
        </x:is>
      </x:c>
      <x:c r="B4" s="1" t="n"/>
      <x:c r="C4" s="1" t="n"/>
      <x:c r="D4" s="1" t="n"/>
      <x:c r="E4" s="1" t="n"/>
      <x:c r="F4" s="1" t="n"/>
      <x:c r="G4" s="1" t="n"/>
      <x:c r="H4" s="1" t="n"/>
      <x:c r="I4" s="1" t="n"/>
    </x:row>
    <x:row r="5">
      <x:c r="A5" s="200" t="inlineStr">
        <x:is>
          <x:t xml:space="preserve">Label</x:t>
        </x:is>
      </x:c>
      <x:c r="B5" s="200" t="inlineStr">
        <x:is>
          <x:t xml:space="preserve">Centroid X px (T=60)</x:t>
        </x:is>
      </x:c>
      <x:c r="C5" s="200" t="inlineStr">
        <x:is>
          <x:t xml:space="preserve">Centroid Y px (T=60)</x:t>
        </x:is>
      </x:c>
      <x:c r="D5" s="200" t="inlineStr">
        <x:is>
          <x:t xml:space="preserve">Area px (T=60)</x:t>
        </x:is>
      </x:c>
      <x:c r="E5" s="200" t="inlineStr">
        <x:is>
          <x:t xml:space="preserve">BBox [x0,y0,x1,y1]</x:t>
        </x:is>
      </x:c>
      <x:c r="F5" s="200" t="inlineStr">
        <x:is>
          <x:t xml:space="preserve">BBox W×H px</x:t>
        </x:is>
      </x:c>
      <x:c r="G5" s="200" t="inlineStr">
        <x:is>
          <x:t xml:space="preserve">Max centroid drift vs T=60 (px)</x:t>
        </x:is>
      </x:c>
      <x:c r="H5" s="200" t="inlineStr">
        <x:is>
          <x:t xml:space="preserve">Source Git blob SHA-1</x:t>
        </x:is>
      </x:c>
      <x:c r="I5" s="200" t="inlineStr">
        <x:is>
          <x:t xml:space="preserve">Source URL / classification caveat</x:t>
        </x:is>
      </x:c>
    </x:row>
    <x:row r="6" s="232" customFormat="1" ht="34" customHeight="1">
      <x:c r="A6" s="233" t="n">
        <x:v>1</x:v>
      </x:c>
      <x:c r="B6" s="302" t="n">
        <x:v>2003.38</x:v>
      </x:c>
      <x:c r="C6" s="302" t="n">
        <x:v>1476.1</x:v>
      </x:c>
      <x:c r="D6" s="233" t="n">
        <x:v>400</x:v>
      </x:c>
      <x:c r="E6" s="233" t="inlineStr">
        <x:is>
          <x:t xml:space="preserve">[1993,1464,2014,1487]</x:t>
        </x:is>
      </x:c>
      <x:c r="F6" s="233" t="inlineStr">
        <x:is>
          <x:t xml:space="preserve">22×24</x:t>
        </x:is>
      </x:c>
      <x:c r="G6" s="233" t="n">
        <x:v>0.284</x:v>
      </x:c>
      <x:c r="H6" s="233" t="inlineStr">
        <x:is>
          <x:t xml:space="preserve">701e47789abf4401d61420ff938c2b72aa03ad2c</x:t>
        </x:is>
      </x:c>
      <x:c r="I6" s="233" t="inlineStr">
        <x:is>
          <x:t xml:space="preserve">https://github.com/scream314/cicada3301/blob/master/assets/2014/liber-primus-complete/68.jpg</x:t>
        </x:is>
      </x:c>
    </x:row>
    <x:row r="7" s="232" customFormat="1" ht="34" customHeight="1">
      <x:c r="A7" s="233" t="n">
        <x:v>2</x:v>
      </x:c>
      <x:c r="B7" s="302" t="n">
        <x:v>1975.021</x:v>
      </x:c>
      <x:c r="C7" s="302" t="n">
        <x:v>1498.808</x:v>
      </x:c>
      <x:c r="D7" s="233" t="n">
        <x:v>468</x:v>
      </x:c>
      <x:c r="E7" s="233" t="inlineStr">
        <x:is>
          <x:t xml:space="preserve">[1963,1486,1986,1511]</x:t>
        </x:is>
      </x:c>
      <x:c r="F7" s="233" t="inlineStr">
        <x:is>
          <x:t xml:space="preserve">24×26</x:t>
        </x:is>
      </x:c>
      <x:c r="G7" s="233" t="n">
        <x:v>0.357</x:v>
      </x:c>
      <x:c r="H7" s="233" t="inlineStr">
        <x:is>
          <x:t xml:space="preserve">701e47789abf4401d61420ff938c2b72aa03ad2c</x:t>
        </x:is>
      </x:c>
      <x:c r="I7" s="233" t="inlineStr">
        <x:is>
          <x:t xml:space="preserve">https://github.com/scream314/cicada3301/blob/master/assets/2014/liber-primus-complete/68.jpg</x:t>
        </x:is>
      </x:c>
    </x:row>
    <x:row r="8" s="232" customFormat="1" ht="34" customHeight="1">
      <x:c r="A8" s="233" t="n">
        <x:v>3</x:v>
      </x:c>
      <x:c r="B8" s="302" t="n">
        <x:v>2032.845</x:v>
      </x:c>
      <x:c r="C8" s="302" t="n">
        <x:v>1497.394</x:v>
      </x:c>
      <x:c r="D8" s="233" t="n">
        <x:v>431</x:v>
      </x:c>
      <x:c r="E8" s="233" t="inlineStr">
        <x:is>
          <x:t xml:space="preserve">[2021,1486,2044,1509]</x:t>
        </x:is>
      </x:c>
      <x:c r="F8" s="233" t="inlineStr">
        <x:is>
          <x:t xml:space="preserve">24×24</x:t>
        </x:is>
      </x:c>
      <x:c r="G8" s="233" t="n">
        <x:v>0.365</x:v>
      </x:c>
      <x:c r="H8" s="233" t="inlineStr">
        <x:is>
          <x:t xml:space="preserve">701e47789abf4401d61420ff938c2b72aa03ad2c</x:t>
        </x:is>
      </x:c>
      <x:c r="I8" s="233" t="inlineStr">
        <x:is>
          <x:t xml:space="preserve">https://github.com/scream314/cicada3301/blob/master/assets/2014/liber-primus-complete/68.jpg</x:t>
        </x:is>
      </x:c>
    </x:row>
    <x:row r="9" s="232" customFormat="1" ht="34" customHeight="1">
      <x:c r="A9" s="233" t="n">
        <x:v>4</x:v>
      </x:c>
      <x:c r="B9" s="302" t="n">
        <x:v>1979.562</x:v>
      </x:c>
      <x:c r="C9" s="302" t="n">
        <x:v>1533.24</x:v>
      </x:c>
      <x:c r="D9" s="233" t="n">
        <x:v>338</x:v>
      </x:c>
      <x:c r="E9" s="233" t="inlineStr">
        <x:is>
          <x:t xml:space="preserve">[1969,1524,1990,1544]</x:t>
        </x:is>
      </x:c>
      <x:c r="F9" s="233" t="inlineStr">
        <x:is>
          <x:t xml:space="preserve">22×21</x:t>
        </x:is>
      </x:c>
      <x:c r="G9" s="233" t="n">
        <x:v>0.351</x:v>
      </x:c>
      <x:c r="H9" s="233" t="inlineStr">
        <x:is>
          <x:t xml:space="preserve">701e47789abf4401d61420ff938c2b72aa03ad2c</x:t>
        </x:is>
      </x:c>
      <x:c r="I9" s="233" t="inlineStr">
        <x:is>
          <x:t xml:space="preserve">https://github.com/scream314/cicada3301/blob/master/assets/2014/liber-primus-complete/68.jpg</x:t>
        </x:is>
      </x:c>
    </x:row>
    <x:row r="10" s="232" customFormat="1" ht="34" customHeight="1">
      <x:c r="A10" s="233" t="n">
        <x:v>5</x:v>
      </x:c>
      <x:c r="B10" s="302" t="n">
        <x:v>2019.523</x:v>
      </x:c>
      <x:c r="C10" s="302" t="n">
        <x:v>1539.869</x:v>
      </x:c>
      <x:c r="D10" s="233" t="n">
        <x:v>350</x:v>
      </x:c>
      <x:c r="E10" s="233" t="inlineStr">
        <x:is>
          <x:t xml:space="preserve">[2009,1528,2030,1552]</x:t>
        </x:is>
      </x:c>
      <x:c r="F10" s="233" t="inlineStr">
        <x:is>
          <x:t xml:space="preserve">22×25</x:t>
        </x:is>
      </x:c>
      <x:c r="G10" s="233" t="n">
        <x:v>0.18</x:v>
      </x:c>
      <x:c r="H10" s="233" t="inlineStr">
        <x:is>
          <x:t xml:space="preserve">701e47789abf4401d61420ff938c2b72aa03ad2c</x:t>
        </x:is>
      </x:c>
      <x:c r="I10" s="233" t="inlineStr">
        <x:is>
          <x:t xml:space="preserve">https://github.com/scream314/cicada3301/blob/master/assets/2014/liber-primus-complete/68.jpg</x:t>
        </x:is>
      </x:c>
    </x:row>
    <x:row r="12">
      <x:c r="A12" s="292" t="inlineStr">
        <x:is>
          <x:t xml:space="preserve">Page 68 signature comparison — max-normalized sorted pairwise distances</x:t>
        </x:is>
      </x:c>
      <x:c r="B12" s="1" t="n"/>
      <x:c r="C12" s="1" t="n"/>
      <x:c r="D12" s="1" t="n"/>
      <x:c r="E12" s="1" t="n"/>
      <x:c r="F12" s="1" t="n"/>
      <x:c r="G12" s="1" t="n"/>
      <x:c r="H12" s="1" t="n"/>
      <x:c r="I12" s="1" t="n"/>
    </x:row>
    <x:row r="13">
      <x:c r="A13" s="200" t="inlineStr">
        <x:is>
          <x:t xml:space="preserve">Comparison</x:t>
        </x:is>
      </x:c>
      <x:c r="B13" s="200" t="inlineStr">
        <x:is>
          <x:t xml:space="preserve">RMS signature difference</x:t>
        </x:is>
      </x:c>
      <x:c r="C13" s="200" t="inlineStr">
        <x:is>
          <x:t xml:space="preserve">Main template fit</x:t>
        </x:is>
      </x:c>
      <x:c r="D13" s="200" t="inlineStr">
        <x:is>
          <x:t xml:space="preserve">Size comparison</x:t>
        </x:is>
      </x:c>
      <x:c r="E13" s="200" t="inlineStr">
        <x:is>
          <x:t xml:space="preserve">Interpretation</x:t>
        </x:is>
      </x:c>
    </x:row>
    <x:row r="14">
      <x:c r="A14" s="233" t="inlineStr">
        <x:is>
          <x:t xml:space="preserve">p68 vs p24</x:t>
        </x:is>
      </x:c>
      <x:c r="B14" s="303" t="n">
        <x:v>0.191307</x:v>
      </x:c>
      <x:c r="C14" s="233" t="inlineStr">
        <x:is>
          <x:t xml:space="preserve">Not a geometric match</x:t>
        </x:is>
      </x:c>
      <x:c r="D14" s="233" t="inlineStr">
        <x:is>
          <x:t xml:space="preserve">Median area: p68 400 px; main template 3,415 px</x:t>
        </x:is>
      </x:c>
      <x:c r="E14" s="233" t="inlineStr">
        <x:is>
          <x:t xml:space="preserve">Shape signature differs; p68 marks are substantially smaller and attached to decorative plant/petal artwork.</x:t>
        </x:is>
      </x:c>
    </x:row>
    <x:row r="15">
      <x:c r="A15" s="233" t="inlineStr">
        <x:is>
          <x:t xml:space="preserve">p68 vs p40</x:t>
        </x:is>
      </x:c>
      <x:c r="B15" s="303" t="n">
        <x:v>0.191303</x:v>
      </x:c>
      <x:c r="C15" s="233" t="inlineStr">
        <x:is>
          <x:t xml:space="preserve">Not a geometric match</x:t>
        </x:is>
      </x:c>
      <x:c r="D15" s="233" t="inlineStr">
        <x:is>
          <x:t xml:space="preserve">Main-template median area: 3,415 px</x:t>
        </x:is>
      </x:c>
      <x:c r="E15" s="233" t="inlineStr">
        <x:is>
          <x:t xml:space="preserve">Shape signature difference is orders of magnitude larger than template-to-template differences.</x:t>
        </x:is>
      </x:c>
    </x:row>
    <x:row r="16">
      <x:c r="A16" s="233" t="inlineStr">
        <x:is>
          <x:t xml:space="preserve">p68 vs p73</x:t>
        </x:is>
      </x:c>
      <x:c r="B16" s="303" t="n">
        <x:v>0.191345</x:v>
      </x:c>
      <x:c r="C16" s="233" t="inlineStr">
        <x:is>
          <x:t xml:space="preserve">Not a geometric match</x:t>
        </x:is>
      </x:c>
      <x:c r="D16" s="233" t="inlineStr">
        <x:is>
          <x:t xml:space="preserve">p68/main median-area ratio ≈ 1:8.54</x:t>
        </x:is>
      </x:c>
      <x:c r="E16" s="233" t="inlineStr">
        <x:is>
          <x:t xml:space="preserve">The same five-dot count alone is not enough to identify the same geometric motif.</x:t>
        </x:is>
      </x:c>
    </x:row>
    <x:row r="17">
      <x:c r="A17" s="233" t="inlineStr">
        <x:is>
          <x:t xml:space="preserve">Main-group baseline (p24/p40/p73)</x:t>
        </x:is>
      </x:c>
      <x:c r="B17" s="303" t="inlineStr">
        <x:is>
          <x:t xml:space="preserve">0.000041–0.000348</x:t>
        </x:is>
      </x:c>
      <x:c r="C17" s="233" t="inlineStr">
        <x:is>
          <x:t xml:space="preserve">Consistent with shared template</x:t>
        </x:is>
      </x:c>
      <x:c r="D17" s="233" t="inlineStr">
        <x:is>
          <x:t xml:space="preserve">Main-dot median area ≈ 3,415 px</x:t>
        </x:is>
      </x:c>
      <x:c r="E17" s="233" t="inlineStr">
        <x:is>
          <x:t xml:space="preserve">Comparison uses same max-normalized sorted-distance-signature calculation.</x:t>
        </x:is>
      </x:c>
    </x:row>
    <x:row r="19">
      <x:c r="A19" s="292" t="inlineStr">
        <x:is>
          <x:t xml:space="preserve">Page 39 — annotated six-dot group near the horizontal cross-like illustration</x:t>
        </x:is>
      </x:c>
      <x:c r="B19" s="1" t="n"/>
      <x:c r="C19" s="1" t="n"/>
      <x:c r="D19" s="1" t="n"/>
      <x:c r="E19" s="1" t="n"/>
      <x:c r="F19" s="1" t="n"/>
      <x:c r="G19" s="1" t="n"/>
      <x:c r="H19" s="1" t="n"/>
      <x:c r="I19" s="1" t="n"/>
    </x:row>
    <x:row r="20">
      <x:c r="A20" s="200" t="inlineStr">
        <x:is>
          <x:t xml:space="preserve">Label</x:t>
        </x:is>
      </x:c>
      <x:c r="B20" s="200" t="inlineStr">
        <x:is>
          <x:t xml:space="preserve">Centroid X px (T=60)</x:t>
        </x:is>
      </x:c>
      <x:c r="C20" s="200" t="inlineStr">
        <x:is>
          <x:t xml:space="preserve">Centroid Y px (T=60)</x:t>
        </x:is>
      </x:c>
      <x:c r="D20" s="200" t="inlineStr">
        <x:is>
          <x:t xml:space="preserve">Area px (T=60)</x:t>
        </x:is>
      </x:c>
      <x:c r="E20" s="200" t="inlineStr">
        <x:is>
          <x:t xml:space="preserve">BBox [x0,y0,x1,y1]</x:t>
        </x:is>
      </x:c>
      <x:c r="F20" s="200" t="inlineStr">
        <x:is>
          <x:t xml:space="preserve">BBox W×H px</x:t>
        </x:is>
      </x:c>
      <x:c r="G20" s="200" t="inlineStr">
        <x:is>
          <x:t xml:space="preserve">Max centroid drift vs T=60 (px)</x:t>
        </x:is>
      </x:c>
      <x:c r="H20" s="200" t="inlineStr">
        <x:is>
          <x:t xml:space="preserve">Source Git blob SHA-1</x:t>
        </x:is>
      </x:c>
      <x:c r="I20" s="200" t="inlineStr">
        <x:is>
          <x:t xml:space="preserve">Source URL / classification caveat</x:t>
        </x:is>
      </x:c>
    </x:row>
    <x:row r="21" s="232" customFormat="1" ht="34" customHeight="1">
      <x:c r="A21" s="233" t="n">
        <x:v>1</x:v>
      </x:c>
      <x:c r="B21" s="302" t="n">
        <x:v>1096.993</x:v>
      </x:c>
      <x:c r="C21" s="302" t="n">
        <x:v>2342.148</x:v>
      </x:c>
      <x:c r="D21" s="233" t="n">
        <x:v>149</x:v>
      </x:c>
      <x:c r="E21" s="233" t="inlineStr">
        <x:is>
          <x:t xml:space="preserve">[1088,2336,1104,2348]</x:t>
        </x:is>
      </x:c>
      <x:c r="F21" s="233" t="inlineStr">
        <x:is>
          <x:t xml:space="preserve">17×13</x:t>
        </x:is>
      </x:c>
      <x:c r="G21" s="233" t="n">
        <x:v>0.516</x:v>
      </x:c>
      <x:c r="H21" s="233" t="inlineStr">
        <x:is>
          <x:t xml:space="preserve">0270e099f35a00dc24a9dc673ce13d4a0a843802</x:t>
        </x:is>
      </x:c>
      <x:c r="I21" s="233" t="inlineStr">
        <x:is>
          <x:t xml:space="preserve">https://github.com/scream314/cicada3301/blob/master/assets/2014/liber-primus-complete/39.jpg</x:t>
        </x:is>
      </x:c>
    </x:row>
    <x:row r="22" s="232" customFormat="1" ht="34" customHeight="1">
      <x:c r="A22" s="233" t="n">
        <x:v>2</x:v>
      </x:c>
      <x:c r="B22" s="302" t="n">
        <x:v>1152.397</x:v>
      </x:c>
      <x:c r="C22" s="302" t="n">
        <x:v>2345.295</x:v>
      </x:c>
      <x:c r="D22" s="233" t="n">
        <x:v>156</x:v>
      </x:c>
      <x:c r="E22" s="233" t="inlineStr">
        <x:is>
          <x:t xml:space="preserve">[1145,2340,1160,2350]</x:t>
        </x:is>
      </x:c>
      <x:c r="F22" s="233" t="inlineStr">
        <x:is>
          <x:t xml:space="preserve">16×11</x:t>
        </x:is>
      </x:c>
      <x:c r="G22" s="233" t="n">
        <x:v>0.531</x:v>
      </x:c>
      <x:c r="H22" s="233" t="inlineStr">
        <x:is>
          <x:t xml:space="preserve">0270e099f35a00dc24a9dc673ce13d4a0a843802</x:t>
        </x:is>
      </x:c>
      <x:c r="I22" s="233" t="inlineStr">
        <x:is>
          <x:t xml:space="preserve">https://github.com/scream314/cicada3301/blob/master/assets/2014/liber-primus-complete/39.jpg</x:t>
        </x:is>
      </x:c>
    </x:row>
    <x:row r="23" s="232" customFormat="1" ht="34" customHeight="1">
      <x:c r="A23" s="233" t="n">
        <x:v>3</x:v>
      </x:c>
      <x:c r="B23" s="302" t="n">
        <x:v>1295.873</x:v>
      </x:c>
      <x:c r="C23" s="302" t="n">
        <x:v>2350.492</x:v>
      </x:c>
      <x:c r="D23" s="233" t="n">
        <x:v>181</x:v>
      </x:c>
      <x:c r="E23" s="233" t="inlineStr">
        <x:is>
          <x:t xml:space="preserve">[1288,2344,1303,2357]</x:t>
        </x:is>
      </x:c>
      <x:c r="F23" s="233" t="inlineStr">
        <x:is>
          <x:t xml:space="preserve">16×14</x:t>
        </x:is>
      </x:c>
      <x:c r="G23" s="233" t="n">
        <x:v>0.606</x:v>
      </x:c>
      <x:c r="H23" s="233" t="inlineStr">
        <x:is>
          <x:t xml:space="preserve">0270e099f35a00dc24a9dc673ce13d4a0a843802</x:t>
        </x:is>
      </x:c>
      <x:c r="I23" s="233" t="inlineStr">
        <x:is>
          <x:t xml:space="preserve">https://github.com/scream314/cicada3301/blob/master/assets/2014/liber-primus-complete/39.jpg</x:t>
        </x:is>
      </x:c>
    </x:row>
    <x:row r="24" s="232" customFormat="1" ht="34" customHeight="1">
      <x:c r="A24" s="233" t="n">
        <x:v>4</x:v>
      </x:c>
      <x:c r="B24" s="302" t="n">
        <x:v>1683.321</x:v>
      </x:c>
      <x:c r="C24" s="302" t="n">
        <x:v>2286.855</x:v>
      </x:c>
      <x:c r="D24" s="233" t="n">
        <x:v>234</x:v>
      </x:c>
      <x:c r="E24" s="233" t="inlineStr">
        <x:is>
          <x:t xml:space="preserve">[1677,2278,1690,2296]</x:t>
        </x:is>
      </x:c>
      <x:c r="F24" s="233" t="inlineStr">
        <x:is>
          <x:t xml:space="preserve">14×19</x:t>
        </x:is>
      </x:c>
      <x:c r="G24" s="233" t="n">
        <x:v>0.217</x:v>
      </x:c>
      <x:c r="H24" s="233" t="inlineStr">
        <x:is>
          <x:t xml:space="preserve">0270e099f35a00dc24a9dc673ce13d4a0a843802</x:t>
        </x:is>
      </x:c>
      <x:c r="I24" s="233" t="inlineStr">
        <x:is>
          <x:t xml:space="preserve">https://github.com/scream314/cicada3301/blob/master/assets/2014/liber-primus-complete/39.jpg</x:t>
        </x:is>
      </x:c>
    </x:row>
    <x:row r="25" s="232" customFormat="1" ht="34" customHeight="1">
      <x:c r="A25" s="233" t="n">
        <x:v>5</x:v>
      </x:c>
      <x:c r="B25" s="302" t="n">
        <x:v>1737.328</x:v>
      </x:c>
      <x:c r="C25" s="302" t="n">
        <x:v>2311.839</x:v>
      </x:c>
      <x:c r="D25" s="233" t="n">
        <x:v>180</x:v>
      </x:c>
      <x:c r="E25" s="233" t="inlineStr">
        <x:is>
          <x:t xml:space="preserve">[1729,2306,1745,2319]</x:t>
        </x:is>
      </x:c>
      <x:c r="F25" s="233" t="inlineStr">
        <x:is>
          <x:t xml:space="preserve">17×14</x:t>
        </x:is>
      </x:c>
      <x:c r="G25" s="233" t="n">
        <x:v>0.421</x:v>
      </x:c>
      <x:c r="H25" s="233" t="inlineStr">
        <x:is>
          <x:t xml:space="preserve">0270e099f35a00dc24a9dc673ce13d4a0a843802</x:t>
        </x:is>
      </x:c>
      <x:c r="I25" s="233" t="inlineStr">
        <x:is>
          <x:t xml:space="preserve">https://github.com/scream314/cicada3301/blob/master/assets/2014/liber-primus-complete/39.jpg</x:t>
        </x:is>
      </x:c>
    </x:row>
    <x:row r="26" s="232" customFormat="1" ht="34" customHeight="1">
      <x:c r="A26" s="233" t="n">
        <x:v>6</x:v>
      </x:c>
      <x:c r="B26" s="302" t="n">
        <x:v>1713.488</x:v>
      </x:c>
      <x:c r="C26" s="302" t="n">
        <x:v>2358.792</x:v>
      </x:c>
      <x:c r="D26" s="233" t="n">
        <x:v>207</x:v>
      </x:c>
      <x:c r="E26" s="233" t="inlineStr">
        <x:is>
          <x:t xml:space="preserve">[1706,2351,1721,2366]</x:t>
        </x:is>
      </x:c>
      <x:c r="F26" s="233" t="inlineStr">
        <x:is>
          <x:t xml:space="preserve">16×16</x:t>
        </x:is>
      </x:c>
      <x:c r="G26" s="233" t="n">
        <x:v>0.523</x:v>
      </x:c>
      <x:c r="H26" s="233" t="inlineStr">
        <x:is>
          <x:t xml:space="preserve">0270e099f35a00dc24a9dc673ce13d4a0a843802</x:t>
        </x:is>
      </x:c>
      <x:c r="I26" s="233" t="inlineStr">
        <x:is>
          <x:t xml:space="preserve">https://github.com/scream314/cicada3301/blob/master/assets/2014/liber-primus-complete/39.jpg</x:t>
        </x:is>
      </x:c>
    </x:row>
    <x:row r="28">
      <x:c r="A28" s="292" t="inlineStr">
        <x:is>
          <x:t xml:space="preserve">Page 39 five-of-six subset test</x:t>
        </x:is>
      </x:c>
      <x:c r="B28" s="1" t="n"/>
      <x:c r="C28" s="1" t="n"/>
      <x:c r="D28" s="1" t="n"/>
      <x:c r="E28" s="1" t="n"/>
    </x:row>
    <x:row r="29">
      <x:c r="A29" s="200" t="inlineStr">
        <x:is>
          <x:t xml:space="preserve">Five-point subset (labels)</x:t>
        </x:is>
      </x:c>
      <x:c r="B29" s="200" t="inlineStr">
        <x:is>
          <x:t xml:space="preserve">Nearest baseline group</x:t>
        </x:is>
      </x:c>
      <x:c r="C29" s="200" t="inlineStr">
        <x:is>
          <x:t xml:space="preserve">Max-normalized signature RMS</x:t>
        </x:is>
      </x:c>
      <x:c r="D29" s="200" t="inlineStr">
        <x:is>
          <x:t xml:space="preserve">Matches 24/40/73 template?</x:t>
        </x:is>
      </x:c>
    </x:row>
    <x:row r="30">
      <x:c r="A30" s="233" t="inlineStr">
        <x:is>
          <x:t xml:space="preserve">1,2,3,4,5</x:t>
        </x:is>
      </x:c>
      <x:c r="B30" s="233" t="n">
        <x:v>24</x:v>
      </x:c>
      <x:c r="C30" s="303" t="n">
        <x:v>0.108252</x:v>
      </x:c>
      <x:c r="D30" s="233" t="inlineStr">
        <x:is>
          <x:t xml:space="preserve">No</x:t>
        </x:is>
      </x:c>
    </x:row>
    <x:row r="31">
      <x:c r="A31" s="233" t="inlineStr">
        <x:is>
          <x:t xml:space="preserve">1,2,3,4,6</x:t>
        </x:is>
      </x:c>
      <x:c r="B31" s="233" t="n">
        <x:v>24</x:v>
      </x:c>
      <x:c r="C31" s="303" t="n">
        <x:v>0.105133</x:v>
      </x:c>
      <x:c r="D31" s="233" t="inlineStr">
        <x:is>
          <x:t xml:space="preserve">No</x:t>
        </x:is>
      </x:c>
    </x:row>
    <x:row r="32">
      <x:c r="A32" s="233" t="inlineStr">
        <x:is>
          <x:t xml:space="preserve">1,2,3,5,6</x:t>
        </x:is>
      </x:c>
      <x:c r="B32" s="233" t="n">
        <x:v>24</x:v>
      </x:c>
      <x:c r="C32" s="303" t="n">
        <x:v>0.117572</x:v>
      </x:c>
      <x:c r="D32" s="233" t="inlineStr">
        <x:is>
          <x:t xml:space="preserve">No</x:t>
        </x:is>
      </x:c>
    </x:row>
    <x:row r="33">
      <x:c r="A33" s="233" t="inlineStr">
        <x:is>
          <x:t xml:space="preserve">1,2,4,5,6</x:t>
        </x:is>
      </x:c>
      <x:c r="B33" s="233" t="n">
        <x:v>24</x:v>
      </x:c>
      <x:c r="C33" s="303" t="n">
        <x:v>0.195961</x:v>
      </x:c>
      <x:c r="D33" s="233" t="inlineStr">
        <x:is>
          <x:t xml:space="preserve">No</x:t>
        </x:is>
      </x:c>
    </x:row>
    <x:row r="34">
      <x:c r="A34" s="233" t="inlineStr">
        <x:is>
          <x:t xml:space="preserve">1,3,4,5,6</x:t>
        </x:is>
      </x:c>
      <x:c r="B34" s="233" t="n">
        <x:v>24</x:v>
      </x:c>
      <x:c r="C34" s="303" t="n">
        <x:v>0.120335</x:v>
      </x:c>
      <x:c r="D34" s="233" t="inlineStr">
        <x:is>
          <x:t xml:space="preserve">No</x:t>
        </x:is>
      </x:c>
    </x:row>
    <x:row r="35">
      <x:c r="A35" s="233" t="inlineStr">
        <x:is>
          <x:t xml:space="preserve">2,3,4,5,6</x:t>
        </x:is>
      </x:c>
      <x:c r="B35" s="233" t="n">
        <x:v>24</x:v>
      </x:c>
      <x:c r="C35" s="303" t="n">
        <x:v>0.127046</x:v>
      </x:c>
      <x:c r="D35" s="233" t="inlineStr">
        <x:is>
          <x:t xml:space="preserve">No</x:t>
        </x:is>
      </x:c>
    </x:row>
    <x:row r="37" s="232" customFormat="1" ht="54" customHeight="1">
      <x:c r="A37" s="283" t="inlineStr">
        <x:is>
          <x:t xml:space="preserve">Result: neither contextual control reproduces the 24/40/73 five-dot signature. Page 68's five-dot cluster has RMS signature differences ≈0.1913; the closest five-of-six subset on page 39 is ≈0.1051 away. By contrast, the three candidate template groups differ by ≤0.000348 under this same metric. These are descriptive controls, not a formal significance test.</x:t>
        </x:is>
      </x:c>
      <x:c r="B37" s="1" t="n"/>
      <x:c r="C37" s="1" t="n"/>
      <x:c r="D37" s="1" t="n"/>
      <x:c r="E37" s="1" t="n"/>
      <x:c r="F37" s="1" t="n"/>
      <x:c r="G37" s="1" t="n"/>
      <x:c r="H37" s="1" t="n"/>
      <x:c r="I37" s="1" t="n"/>
    </x:row>
    <x:row r="38" s="232" customFormat="1" ht="54" customHeight="1">
      <x:c r="A38" s="234" t="n"/>
      <x:c r="B38" s="234" t="n"/>
      <x:c r="C38" s="234" t="n"/>
      <x:c r="D38" s="234" t="n"/>
      <x:c r="E38" s="234" t="n"/>
      <x:c r="F38" s="234" t="n"/>
      <x:c r="G38" s="234" t="n"/>
      <x:c r="H38" s="234" t="n"/>
      <x:c r="I38" s="234" t="n"/>
    </x:row>
    <x:row r="39" s="232" customFormat="1" ht="54" customHeight="1">
      <x:c r="A39" s="283" t="inlineStr">
        <x:is>
          <x:t xml:space="preserve">Caveats: the page 68 dots are embedded in a botanical/petal decoration and are much smaller than the isolated target dots. Page 39's points were chosen to correspond to the six user-labeled dots; its ROI also contains other small dark components. The measurements are targeted, not an exhaustive full-page search, and the custom JPEG decoder still needs independent cross-validation.</x:t>
        </x:is>
      </x:c>
      <x:c r="B39" s="1" t="n"/>
      <x:c r="C39" s="1" t="n"/>
      <x:c r="D39" s="1" t="n"/>
      <x:c r="E39" s="1" t="n"/>
      <x:c r="F39" s="1" t="n"/>
      <x:c r="G39" s="1" t="n"/>
      <x:c r="H39" s="1" t="n"/>
      <x:c r="I39" s="1" t="n"/>
    </x:row>
    <x:row r="41" s="232" customFormat="1" ht="38" customHeight="1">
      <x:c r="A41" s="304" t="inlineStr">
        <x:is>
          <x:t xml:space="preserve">Recommended next pass: measure pages 50 and 56 three-dot rows plus the paired plant clusters on page 57 using a consistent class-aware protocol; first cross-validate these centroids against a second JPEG decoder. Do not map point order to runes yet.</x:t>
        </x:is>
      </x:c>
      <x:c r="B41" s="1" t="n"/>
      <x:c r="C41" s="1" t="n"/>
      <x:c r="D41" s="1" t="n"/>
      <x:c r="E41" s="1" t="n"/>
      <x:c r="F41" s="1" t="n"/>
      <x:c r="G41" s="1" t="n"/>
      <x:c r="H41" s="1" t="n"/>
      <x:c r="I41" s="1" t="n"/>
    </x:row>
    <x:row r="43">
      <x:c r="A43" s="292" t="inlineStr">
        <x:is>
          <x:t xml:space="preserve">Pages 50 and 56 — three-dot rows measured from original scans</x:t>
        </x:is>
      </x:c>
      <x:c r="B43" s="1" t="n"/>
      <x:c r="C43" s="1" t="n"/>
      <x:c r="D43" s="1" t="n"/>
      <x:c r="E43" s="1" t="n"/>
      <x:c r="F43" s="1" t="n"/>
      <x:c r="G43" s="1" t="n"/>
      <x:c r="H43" s="1" t="n"/>
      <x:c r="I43" s="1" t="n"/>
      <x:c r="J43" s="1" t="n"/>
    </x:row>
    <x:row r="44">
      <x:c r="A44" s="200" t="inlineStr">
        <x:is>
          <x:t xml:space="preserve">Page</x:t>
        </x:is>
      </x:c>
      <x:c r="B44" s="200" t="inlineStr">
        <x:is>
          <x:t xml:space="preserve">Dot label</x:t>
        </x:is>
      </x:c>
      <x:c r="C44" s="200" t="inlineStr">
        <x:is>
          <x:t xml:space="preserve">Centroid X px (T=60)</x:t>
        </x:is>
      </x:c>
      <x:c r="D44" s="200" t="inlineStr">
        <x:is>
          <x:t xml:space="preserve">Centroid Y px (T=60)</x:t>
        </x:is>
      </x:c>
      <x:c r="E44" s="200" t="inlineStr">
        <x:is>
          <x:t xml:space="preserve">Area px (T=60)</x:t>
        </x:is>
      </x:c>
      <x:c r="F44" s="200" t="inlineStr">
        <x:is>
          <x:t xml:space="preserve">BBox [x0,y0,x1,y1]</x:t>
        </x:is>
      </x:c>
      <x:c r="G44" s="200" t="inlineStr">
        <x:is>
          <x:t xml:space="preserve">BBox W×H px</x:t>
        </x:is>
      </x:c>
      <x:c r="H44" s="200" t="inlineStr">
        <x:is>
          <x:t xml:space="preserve">Max centroid drift vs T=60 (px)</x:t>
        </x:is>
      </x:c>
      <x:c r="I44" s="200" t="inlineStr">
        <x:is>
          <x:t xml:space="preserve">Source Git blob SHA-1</x:t>
        </x:is>
      </x:c>
      <x:c r="J44" s="200" t="inlineStr">
        <x:is>
          <x:t xml:space="preserve">Original source URL</x:t>
        </x:is>
      </x:c>
    </x:row>
    <x:row r="45" s="232" customFormat="1" ht="32" customHeight="1">
      <x:c r="A45" s="233" t="n">
        <x:v>50</x:v>
      </x:c>
      <x:c r="B45" s="233" t="n">
        <x:v>1</x:v>
      </x:c>
      <x:c r="C45" s="233" t="n">
        <x:v>766.221</x:v>
      </x:c>
      <x:c r="D45" s="233" t="n">
        <x:v>1743.931</x:v>
      </x:c>
      <x:c r="E45" s="233" t="n">
        <x:v>3407</x:v>
      </x:c>
      <x:c r="F45" s="233" t="inlineStr">
        <x:is>
          <x:t xml:space="preserve">[732,1710,801,1778]</x:t>
        </x:is>
      </x:c>
      <x:c r="G45" s="233" t="inlineStr">
        <x:is>
          <x:t xml:space="preserve">70×69</x:t>
        </x:is>
      </x:c>
      <x:c r="H45" s="233" t="n">
        <x:v>0.091</x:v>
      </x:c>
      <x:c r="I45" s="233" t="inlineStr">
        <x:is>
          <x:t xml:space="preserve">68d3e28d8c4161fdfe91a542f5bac8e276bc441e</x:t>
        </x:is>
      </x:c>
      <x:c r="J45" s="233" t="inlineStr">
        <x:is>
          <x:t xml:space="preserve">https://github.com/scream314/cicada3301/blob/master/assets/2014/liber-primus-complete/50.jpg</x:t>
        </x:is>
      </x:c>
    </x:row>
    <x:row r="46" s="232" customFormat="1" ht="32" customHeight="1">
      <x:c r="A46" s="233" t="n">
        <x:v>50</x:v>
      </x:c>
      <x:c r="B46" s="233" t="n">
        <x:v>2</x:v>
      </x:c>
      <x:c r="C46" s="233" t="n">
        <x:v>1183.846</x:v>
      </x:c>
      <x:c r="D46" s="233" t="n">
        <x:v>1743.939</x:v>
      </x:c>
      <x:c r="E46" s="233" t="n">
        <x:v>3406</x:v>
      </x:c>
      <x:c r="F46" s="233" t="inlineStr">
        <x:is>
          <x:t xml:space="preserve">[1149,1710,1218,1778]</x:t>
        </x:is>
      </x:c>
      <x:c r="G46" s="233" t="inlineStr">
        <x:is>
          <x:t xml:space="preserve">70×69</x:t>
        </x:is>
      </x:c>
      <x:c r="H46" s="233" t="n">
        <x:v>0.052</x:v>
      </x:c>
      <x:c r="I46" s="233" t="inlineStr">
        <x:is>
          <x:t xml:space="preserve">68d3e28d8c4161fdfe91a542f5bac8e276bc441e</x:t>
        </x:is>
      </x:c>
      <x:c r="J46" s="233" t="inlineStr">
        <x:is>
          <x:t xml:space="preserve">https://github.com/scream314/cicada3301/blob/master/assets/2014/liber-primus-complete/50.jpg</x:t>
        </x:is>
      </x:c>
    </x:row>
    <x:row r="47" s="232" customFormat="1" ht="32" customHeight="1">
      <x:c r="A47" s="233" t="n">
        <x:v>50</x:v>
      </x:c>
      <x:c r="B47" s="233" t="n">
        <x:v>3</x:v>
      </x:c>
      <x:c r="C47" s="233" t="n">
        <x:v>1662</x:v>
      </x:c>
      <x:c r="D47" s="233" t="n">
        <x:v>1743.939</x:v>
      </x:c>
      <x:c r="E47" s="233" t="n">
        <x:v>3405</x:v>
      </x:c>
      <x:c r="F47" s="233" t="inlineStr">
        <x:is>
          <x:t xml:space="preserve">[1628,1710,1696,1778]</x:t>
        </x:is>
      </x:c>
      <x:c r="G47" s="233" t="inlineStr">
        <x:is>
          <x:t xml:space="preserve">69×69</x:t>
        </x:is>
      </x:c>
      <x:c r="H47" s="233" t="n">
        <x:v>0.066</x:v>
      </x:c>
      <x:c r="I47" s="233" t="inlineStr">
        <x:is>
          <x:t xml:space="preserve">68d3e28d8c4161fdfe91a542f5bac8e276bc441e</x:t>
        </x:is>
      </x:c>
      <x:c r="J47" s="233" t="inlineStr">
        <x:is>
          <x:t xml:space="preserve">https://github.com/scream314/cicada3301/blob/master/assets/2014/liber-primus-complete/50.jpg</x:t>
        </x:is>
      </x:c>
    </x:row>
    <x:row r="48" s="232" customFormat="1" ht="32" customHeight="1">
      <x:c r="A48" s="233" t="n">
        <x:v>56</x:v>
      </x:c>
      <x:c r="B48" s="233" t="n">
        <x:v>1</x:v>
      </x:c>
      <x:c r="C48" s="233" t="n">
        <x:v>1297.5</x:v>
      </x:c>
      <x:c r="D48" s="233" t="n">
        <x:v>1693</x:v>
      </x:c>
      <x:c r="E48" s="233" t="n">
        <x:v>752</x:v>
      </x:c>
      <x:c r="F48" s="233" t="inlineStr">
        <x:is>
          <x:t xml:space="preserve">[1282,1677,1313,1709]</x:t>
        </x:is>
      </x:c>
      <x:c r="G48" s="233" t="inlineStr">
        <x:is>
          <x:t xml:space="preserve">32×33</x:t>
        </x:is>
      </x:c>
      <x:c r="H48" s="233" t="n">
        <x:v>0.07199999999999999</x:v>
      </x:c>
      <x:c r="I48" s="233" t="inlineStr">
        <x:is>
          <x:t xml:space="preserve">819261c833837cbaa2bd200d210ca299d79031f3</x:t>
        </x:is>
      </x:c>
      <x:c r="J48" s="233" t="inlineStr">
        <x:is>
          <x:t xml:space="preserve">https://github.com/scream314/cicada3301/blob/master/assets/2014/liber-primus-complete/56.jpg</x:t>
        </x:is>
      </x:c>
    </x:row>
    <x:row r="49" s="232" customFormat="1" ht="32" customHeight="1">
      <x:c r="A49" s="233" t="n">
        <x:v>56</x:v>
      </x:c>
      <x:c r="B49" s="233" t="n">
        <x:v>2</x:v>
      </x:c>
      <x:c r="C49" s="233" t="n">
        <x:v>1493.5</x:v>
      </x:c>
      <x:c r="D49" s="233" t="n">
        <x:v>1693</x:v>
      </x:c>
      <x:c r="E49" s="233" t="n">
        <x:v>752</x:v>
      </x:c>
      <x:c r="F49" s="233" t="inlineStr">
        <x:is>
          <x:t xml:space="preserve">[1478,1677,1509,1709]</x:t>
        </x:is>
      </x:c>
      <x:c r="G49" s="233" t="inlineStr">
        <x:is>
          <x:t xml:space="preserve">32×33</x:t>
        </x:is>
      </x:c>
      <x:c r="H49" s="233" t="n">
        <x:v>0.07199999999999999</x:v>
      </x:c>
      <x:c r="I49" s="233" t="inlineStr">
        <x:is>
          <x:t xml:space="preserve">819261c833837cbaa2bd200d210ca299d79031f3</x:t>
        </x:is>
      </x:c>
      <x:c r="J49" s="233" t="inlineStr">
        <x:is>
          <x:t xml:space="preserve">https://github.com/scream314/cicada3301/blob/master/assets/2014/liber-primus-complete/56.jpg</x:t>
        </x:is>
      </x:c>
    </x:row>
    <x:row r="50" s="232" customFormat="1" ht="32" customHeight="1">
      <x:c r="A50" s="233" t="n">
        <x:v>56</x:v>
      </x:c>
      <x:c r="B50" s="233" t="n">
        <x:v>3</x:v>
      </x:c>
      <x:c r="C50" s="233" t="n">
        <x:v>1718.01</x:v>
      </x:c>
      <x:c r="D50" s="233" t="n">
        <x:v>1693</x:v>
      </x:c>
      <x:c r="E50" s="233" t="n">
        <x:v>781</x:v>
      </x:c>
      <x:c r="F50" s="233" t="inlineStr">
        <x:is>
          <x:t xml:space="preserve">[1702,1677,1734,1709]</x:t>
        </x:is>
      </x:c>
      <x:c r="G50" s="233" t="inlineStr">
        <x:is>
          <x:t xml:space="preserve">33×33</x:t>
        </x:is>
      </x:c>
      <x:c r="H50" s="233" t="n">
        <x:v>0.068</x:v>
      </x:c>
      <x:c r="I50" s="233" t="inlineStr">
        <x:is>
          <x:t xml:space="preserve">819261c833837cbaa2bd200d210ca299d79031f3</x:t>
        </x:is>
      </x:c>
      <x:c r="J50" s="233" t="inlineStr">
        <x:is>
          <x:t xml:space="preserve">https://github.com/scream314/cicada3301/blob/master/assets/2014/liber-primus-complete/56.jpg</x:t>
        </x:is>
      </x:c>
    </x:row>
    <x:row r="51">
      <x:c r="A51" s="233" t="n"/>
      <x:c r="B51" s="233" t="n"/>
      <x:c r="C51" s="233" t="n"/>
      <x:c r="D51" s="233" t="n"/>
      <x:c r="E51" s="233" t="n"/>
      <x:c r="F51" s="233" t="n"/>
      <x:c r="G51" s="233" t="n"/>
      <x:c r="H51" s="233" t="n"/>
      <x:c r="I51" s="233" t="n"/>
      <x:c r="J51" s="233" t="n"/>
    </x:row>
    <x:row r="52">
      <x:c r="A52" s="292" t="inlineStr">
        <x:is>
          <x:t xml:space="preserve">Page 50 ↔ Page 56 — three-point row transform</x:t>
        </x:is>
      </x:c>
      <x:c r="B52" s="1" t="n"/>
      <x:c r="C52" s="1" t="n"/>
      <x:c r="D52" s="1" t="n"/>
      <x:c r="E52" s="1" t="n"/>
      <x:c r="F52" s="233" t="n"/>
      <x:c r="G52" s="233" t="n"/>
      <x:c r="H52" s="233" t="n"/>
      <x:c r="I52" s="233" t="n"/>
      <x:c r="J52" s="233" t="n"/>
    </x:row>
    <x:row r="53">
      <x:c r="A53" s="200" t="inlineStr">
        <x:is>
          <x:t xml:space="preserve">Metric</x:t>
        </x:is>
      </x:c>
      <x:c r="B53" s="200" t="inlineStr">
        <x:is>
          <x:t xml:space="preserve">Measured result</x:t>
        </x:is>
      </x:c>
      <x:c r="C53" s="200" t="inlineStr">
        <x:is>
          <x:t xml:space="preserve">Interpretation / limitation</x:t>
        </x:is>
      </x:c>
      <x:c r="D53" s="233" t="n"/>
      <x:c r="E53" s="233" t="n"/>
      <x:c r="F53" s="233" t="n"/>
      <x:c r="G53" s="233" t="n"/>
      <x:c r="H53" s="233" t="n"/>
      <x:c r="I53" s="233" t="n"/>
      <x:c r="J53" s="233" t="n"/>
    </x:row>
    <x:row r="54">
      <x:c r="A54" s="233" t="inlineStr">
        <x:is>
          <x:t xml:space="preserve">Adjacent-gap fractions — page 50</x:t>
        </x:is>
      </x:c>
      <x:c r="B54" s="233" t="inlineStr">
        <x:is>
          <x:t xml:space="preserve">0.466214 / 0.533786</x:t>
        </x:is>
      </x:c>
      <x:c r="C54" s="233" t="inlineStr">
        <x:is>
          <x:t xml:space="preserve">Distances normalized by row end-to-end span; point order 1→1, 2→2, 3→3.</x:t>
        </x:is>
      </x:c>
      <x:c r="D54" s="233" t="n"/>
      <x:c r="E54" s="233" t="n"/>
      <x:c r="F54" s="233" t="n"/>
      <x:c r="G54" s="233" t="n"/>
      <x:c r="H54" s="233" t="n"/>
      <x:c r="I54" s="233" t="n"/>
      <x:c r="J54" s="233" t="n"/>
    </x:row>
    <x:row r="55">
      <x:c r="A55" s="233" t="inlineStr">
        <x:is>
          <x:t xml:space="preserve">Adjacent-gap fractions — page 56</x:t>
        </x:is>
      </x:c>
      <x:c r="B55" s="233" t="inlineStr">
        <x:is>
          <x:t xml:space="preserve">0.466101 / 0.533899</x:t>
        </x:is>
      </x:c>
      <x:c r="C55" s="233" t="inlineStr">
        <x:is>
          <x:t xml:space="preserve">Gap fractions differ from page 50 by ~0.00016 per gap.</x:t>
        </x:is>
      </x:c>
      <x:c r="D55" s="233" t="n"/>
      <x:c r="E55" s="233" t="n"/>
      <x:c r="F55" s="233" t="n"/>
      <x:c r="G55" s="233" t="n"/>
      <x:c r="H55" s="233" t="n"/>
      <x:c r="I55" s="233" t="n"/>
      <x:c r="J55" s="233" t="n"/>
    </x:row>
    <x:row r="56">
      <x:c r="A56" s="233" t="inlineStr">
        <x:is>
          <x:t xml:space="preserve">End-to-end span</x:t>
        </x:is>
      </x:c>
      <x:c r="B56" s="233" t="inlineStr">
        <x:is>
          <x:t xml:space="preserve">895.779 px → 420.510 px</x:t>
        </x:is>
      </x:c>
      <x:c r="C56" s="233" t="inlineStr">
        <x:is>
          <x:t xml:space="preserve">Page 50 span / page 56 span = 2.130.</x:t>
        </x:is>
      </x:c>
      <x:c r="D56" s="233" t="n"/>
      <x:c r="E56" s="233" t="n"/>
      <x:c r="F56" s="233" t="n"/>
      <x:c r="G56" s="233" t="n"/>
      <x:c r="H56" s="233" t="n"/>
      <x:c r="I56" s="233" t="n"/>
      <x:c r="J56" s="233" t="n"/>
    </x:row>
    <x:row r="57">
      <x:c r="A57" s="233" t="inlineStr">
        <x:is>
          <x:t xml:space="preserve">Best positive scale-and-translate fit</x:t>
        </x:is>
      </x:c>
      <x:c r="B57" s="233" t="inlineStr">
        <x:is>
          <x:t xml:space="preserve">Scale = 0.469437; x offset = 937.790 px; y offset = 874.331 px</x:t>
        </x:is>
      </x:c>
      <x:c r="C57" s="233" t="inlineStr">
        <x:is>
          <x:t xml:space="preserve">Page 56 points predicted from page 50 points at the same label order.</x:t>
        </x:is>
      </x:c>
      <x:c r="D57" s="233" t="n"/>
      <x:c r="E57" s="233" t="n"/>
      <x:c r="F57" s="233" t="n"/>
      <x:c r="G57" s="233" t="n"/>
      <x:c r="H57" s="233" t="n"/>
      <x:c r="I57" s="233" t="n"/>
      <x:c r="J57" s="233" t="n"/>
    </x:row>
    <x:row r="58">
      <x:c r="A58" s="233" t="inlineStr">
        <x:is>
          <x:t xml:space="preserve">Fit residual</x:t>
        </x:is>
      </x:c>
      <x:c r="B58" s="233" t="inlineStr">
        <x:is>
          <x:t xml:space="preserve">RMS 0.0226 px; maximum 0.0318 px</x:t>
        </x:is>
      </x:c>
      <x:c r="C58" s="233" t="inlineStr">
        <x:is>
          <x:t xml:space="preserve">Subpixel agreement in centroids extracted from the current decoder; independent decoder cross-check pending.</x:t>
        </x:is>
      </x:c>
      <x:c r="D58" s="233" t="n"/>
      <x:c r="E58" s="233" t="n"/>
      <x:c r="F58" s="233" t="n"/>
      <x:c r="G58" s="233" t="n"/>
      <x:c r="H58" s="233" t="n"/>
      <x:c r="I58" s="233" t="n"/>
      <x:c r="J58" s="233" t="n"/>
    </x:row>
    <x:row r="59">
      <x:c r="A59" s="233" t="inlineStr">
        <x:is>
          <x:t xml:space="preserve">Dot mark size</x:t>
        </x:is>
      </x:c>
      <x:c r="B59" s="233" t="inlineStr">
        <x:is>
          <x:t xml:space="preserve">Mean bbox diameter proxy 69.5 px → 32.7 px; ratio ≈ 2.122</x:t>
        </x:is>
      </x:c>
      <x:c r="C59" s="233" t="inlineStr">
        <x:is>
          <x:t xml:space="preserve">Consistent with near-2.13× rescaling, likely the same three-dot row motif reused at two sizes, not the five-dot template.</x:t>
        </x:is>
      </x:c>
      <x:c r="D59" s="233" t="n"/>
      <x:c r="E59" s="233" t="n"/>
      <x:c r="F59" s="233" t="n"/>
      <x:c r="G59" s="233" t="n"/>
      <x:c r="H59" s="233" t="n"/>
      <x:c r="I59" s="233" t="n"/>
      <x:c r="J59" s="233" t="n"/>
    </x:row>
    <x:row r="60">
      <x:c r="A60" s="233" t="n"/>
      <x:c r="B60" s="233" t="n"/>
      <x:c r="C60" s="233" t="n"/>
      <x:c r="D60" s="233" t="n"/>
      <x:c r="E60" s="233" t="n"/>
      <x:c r="F60" s="233" t="n"/>
      <x:c r="G60" s="233" t="n"/>
      <x:c r="H60" s="233" t="n"/>
      <x:c r="I60" s="233" t="n"/>
      <x:c r="J60" s="233" t="n"/>
    </x:row>
    <x:row r="61">
      <x:c r="A61" s="292" t="inlineStr">
        <x:is>
          <x:t xml:space="preserve">Page 57 — plant-side clusters and direct comparison with page 68</x:t>
        </x:is>
      </x:c>
      <x:c r="B61" s="1" t="n"/>
      <x:c r="C61" s="1" t="n"/>
      <x:c r="D61" s="1" t="n"/>
      <x:c r="E61" s="1" t="n"/>
      <x:c r="F61" s="1" t="n"/>
      <x:c r="G61" s="1" t="n"/>
      <x:c r="H61" s="1" t="n"/>
      <x:c r="I61" s="1" t="n"/>
      <x:c r="J61" s="1" t="n"/>
    </x:row>
    <x:row r="62">
      <x:c r="A62" s="200" t="inlineStr">
        <x:is>
          <x:t xml:space="preserve">Page</x:t>
        </x:is>
      </x:c>
      <x:c r="B62" s="200" t="inlineStr">
        <x:is>
          <x:t xml:space="preserve">Cluster</x:t>
        </x:is>
      </x:c>
      <x:c r="C62" s="200" t="inlineStr">
        <x:is>
          <x:t xml:space="preserve">Detected point index*</x:t>
        </x:is>
      </x:c>
      <x:c r="D62" s="200" t="inlineStr">
        <x:is>
          <x:t xml:space="preserve">Centroid X px (T=60)</x:t>
        </x:is>
      </x:c>
      <x:c r="E62" s="200" t="inlineStr">
        <x:is>
          <x:t xml:space="preserve">Centroid Y px (T=60)</x:t>
        </x:is>
      </x:c>
      <x:c r="F62" s="200" t="inlineStr">
        <x:is>
          <x:t xml:space="preserve">Area px (T=60)</x:t>
        </x:is>
      </x:c>
      <x:c r="G62" s="200" t="inlineStr">
        <x:is>
          <x:t xml:space="preserve">BBox [x0,y0,x1,y1]</x:t>
        </x:is>
      </x:c>
      <x:c r="H62" s="200" t="inlineStr">
        <x:is>
          <x:t xml:space="preserve">Max centroid drift vs T=60 (px)</x:t>
        </x:is>
      </x:c>
      <x:c r="I62" s="200" t="inlineStr">
        <x:is>
          <x:t xml:space="preserve">Source Git blob SHA-1</x:t>
        </x:is>
      </x:c>
      <x:c r="J62" s="200" t="inlineStr">
        <x:is>
          <x:t xml:space="preserve">Original source URL</x:t>
        </x:is>
      </x:c>
    </x:row>
    <x:row r="63" s="232" customFormat="1" ht="32" customHeight="1">
      <x:c r="A63" s="233" t="n">
        <x:v>57</x:v>
      </x:c>
      <x:c r="B63" s="233" t="inlineStr">
        <x:is>
          <x:t xml:space="preserve">left plant cluster</x:t>
        </x:is>
      </x:c>
      <x:c r="C63" s="233" t="n">
        <x:v>1</x:v>
      </x:c>
      <x:c r="D63" s="233" t="n">
        <x:v>366.155</x:v>
      </x:c>
      <x:c r="E63" s="233" t="n">
        <x:v>1497.394</x:v>
      </x:c>
      <x:c r="F63" s="233" t="n">
        <x:v>431</x:v>
      </x:c>
      <x:c r="G63" s="233" t="inlineStr">
        <x:is>
          <x:t xml:space="preserve">[355,1486,378,1509]</x:t>
        </x:is>
      </x:c>
      <x:c r="H63" s="233" t="n">
        <x:v>0.149</x:v>
      </x:c>
      <x:c r="I63" s="233" t="inlineStr">
        <x:is>
          <x:t xml:space="preserve">83f661b6107587c5d153d6dea3f6bf03090a70bc</x:t>
        </x:is>
      </x:c>
      <x:c r="J63" s="233" t="inlineStr">
        <x:is>
          <x:t xml:space="preserve">https://github.com/scream314/cicada3301/blob/master/assets/2014/liber-primus-complete/57.jpg</x:t>
        </x:is>
      </x:c>
    </x:row>
    <x:row r="64" s="232" customFormat="1" ht="32" customHeight="1">
      <x:c r="A64" s="233" t="n">
        <x:v>57</x:v>
      </x:c>
      <x:c r="B64" s="233" t="inlineStr">
        <x:is>
          <x:t xml:space="preserve">left plant cluster</x:t>
        </x:is>
      </x:c>
      <x:c r="C64" s="233" t="n">
        <x:v>2</x:v>
      </x:c>
      <x:c r="D64" s="233" t="n">
        <x:v>423.979</x:v>
      </x:c>
      <x:c r="E64" s="233" t="n">
        <x:v>1498.808</x:v>
      </x:c>
      <x:c r="F64" s="233" t="n">
        <x:v>468</x:v>
      </x:c>
      <x:c r="G64" s="233" t="inlineStr">
        <x:is>
          <x:t xml:space="preserve">[413,1486,436,1511]</x:t>
        </x:is>
      </x:c>
      <x:c r="H64" s="233" t="n">
        <x:v>0.079</x:v>
      </x:c>
      <x:c r="I64" s="233" t="inlineStr">
        <x:is>
          <x:t xml:space="preserve">83f661b6107587c5d153d6dea3f6bf03090a70bc</x:t>
        </x:is>
      </x:c>
      <x:c r="J64" s="233" t="inlineStr">
        <x:is>
          <x:t xml:space="preserve">https://github.com/scream314/cicada3301/blob/master/assets/2014/liber-primus-complete/57.jpg</x:t>
        </x:is>
      </x:c>
    </x:row>
    <x:row r="65" s="232" customFormat="1" ht="32" customHeight="1">
      <x:c r="A65" s="233" t="n">
        <x:v>57</x:v>
      </x:c>
      <x:c r="B65" s="233" t="inlineStr">
        <x:is>
          <x:t xml:space="preserve">left plant cluster</x:t>
        </x:is>
      </x:c>
      <x:c r="C65" s="233" t="n">
        <x:v>3</x:v>
      </x:c>
      <x:c r="D65" s="233" t="n">
        <x:v>419.438</x:v>
      </x:c>
      <x:c r="E65" s="233" t="n">
        <x:v>1533.24</x:v>
      </x:c>
      <x:c r="F65" s="233" t="n">
        <x:v>338</x:v>
      </x:c>
      <x:c r="G65" s="233" t="inlineStr">
        <x:is>
          <x:t xml:space="preserve">[409,1524,430,1544]</x:t>
        </x:is>
      </x:c>
      <x:c r="H65" s="233" t="n">
        <x:v>0.351</x:v>
      </x:c>
      <x:c r="I65" s="233" t="inlineStr">
        <x:is>
          <x:t xml:space="preserve">83f661b6107587c5d153d6dea3f6bf03090a70bc</x:t>
        </x:is>
      </x:c>
      <x:c r="J65" s="233" t="inlineStr">
        <x:is>
          <x:t xml:space="preserve">https://github.com/scream314/cicada3301/blob/master/assets/2014/liber-primus-complete/57.jpg</x:t>
        </x:is>
      </x:c>
    </x:row>
    <x:row r="66" s="232" customFormat="1" ht="32" customHeight="1">
      <x:c r="A66" s="233" t="n">
        <x:v>57</x:v>
      </x:c>
      <x:c r="B66" s="233" t="inlineStr">
        <x:is>
          <x:t xml:space="preserve">right plant cluster</x:t>
        </x:is>
      </x:c>
      <x:c r="C66" s="233" t="n">
        <x:v>1</x:v>
      </x:c>
      <x:c r="D66" s="233" t="n">
        <x:v>2003.38</x:v>
      </x:c>
      <x:c r="E66" s="233" t="n">
        <x:v>1476.1</x:v>
      </x:c>
      <x:c r="F66" s="233" t="n">
        <x:v>400</x:v>
      </x:c>
      <x:c r="G66" s="233" t="inlineStr">
        <x:is>
          <x:t xml:space="preserve">[1993,1464,2014,1487]</x:t>
        </x:is>
      </x:c>
      <x:c r="H66" s="233" t="n">
        <x:v>0.284</x:v>
      </x:c>
      <x:c r="I66" s="233" t="inlineStr">
        <x:is>
          <x:t xml:space="preserve">83f661b6107587c5d153d6dea3f6bf03090a70bc</x:t>
        </x:is>
      </x:c>
      <x:c r="J66" s="233" t="inlineStr">
        <x:is>
          <x:t xml:space="preserve">https://github.com/scream314/cicada3301/blob/master/assets/2014/liber-primus-complete/57.jpg</x:t>
        </x:is>
      </x:c>
    </x:row>
    <x:row r="67" s="232" customFormat="1" ht="32" customHeight="1">
      <x:c r="A67" s="233" t="n">
        <x:v>57</x:v>
      </x:c>
      <x:c r="B67" s="233" t="inlineStr">
        <x:is>
          <x:t xml:space="preserve">right plant cluster</x:t>
        </x:is>
      </x:c>
      <x:c r="C67" s="233" t="n">
        <x:v>2</x:v>
      </x:c>
      <x:c r="D67" s="233" t="n">
        <x:v>2032.845</x:v>
      </x:c>
      <x:c r="E67" s="233" t="n">
        <x:v>1497.394</x:v>
      </x:c>
      <x:c r="F67" s="233" t="n">
        <x:v>431</x:v>
      </x:c>
      <x:c r="G67" s="233" t="inlineStr">
        <x:is>
          <x:t xml:space="preserve">[2021,1486,2044,1509]</x:t>
        </x:is>
      </x:c>
      <x:c r="H67" s="233" t="n">
        <x:v>0.365</x:v>
      </x:c>
      <x:c r="I67" s="233" t="inlineStr">
        <x:is>
          <x:t xml:space="preserve">83f661b6107587c5d153d6dea3f6bf03090a70bc</x:t>
        </x:is>
      </x:c>
      <x:c r="J67" s="233" t="inlineStr">
        <x:is>
          <x:t xml:space="preserve">https://github.com/scream314/cicada3301/blob/master/assets/2014/liber-primus-complete/57.jpg</x:t>
        </x:is>
      </x:c>
    </x:row>
    <x:row r="68" s="232" customFormat="1" ht="32" customHeight="1">
      <x:c r="A68" s="233" t="n">
        <x:v>57</x:v>
      </x:c>
      <x:c r="B68" s="233" t="inlineStr">
        <x:is>
          <x:t xml:space="preserve">right plant cluster</x:t>
        </x:is>
      </x:c>
      <x:c r="C68" s="233" t="n">
        <x:v>3</x:v>
      </x:c>
      <x:c r="D68" s="233" t="n">
        <x:v>1975.021</x:v>
      </x:c>
      <x:c r="E68" s="233" t="n">
        <x:v>1498.808</x:v>
      </x:c>
      <x:c r="F68" s="233" t="n">
        <x:v>468</x:v>
      </x:c>
      <x:c r="G68" s="233" t="inlineStr">
        <x:is>
          <x:t xml:space="preserve">[1963,1486,1986,1511]</x:t>
        </x:is>
      </x:c>
      <x:c r="H68" s="233" t="n">
        <x:v>0.357</x:v>
      </x:c>
      <x:c r="I68" s="233" t="inlineStr">
        <x:is>
          <x:t xml:space="preserve">83f661b6107587c5d153d6dea3f6bf03090a70bc</x:t>
        </x:is>
      </x:c>
      <x:c r="J68" s="233" t="inlineStr">
        <x:is>
          <x:t xml:space="preserve">https://github.com/scream314/cicada3301/blob/master/assets/2014/liber-primus-complete/57.jpg</x:t>
        </x:is>
      </x:c>
    </x:row>
    <x:row r="69" s="232" customFormat="1" ht="32" customHeight="1">
      <x:c r="A69" s="233" t="n">
        <x:v>57</x:v>
      </x:c>
      <x:c r="B69" s="233" t="inlineStr">
        <x:is>
          <x:t xml:space="preserve">right plant cluster</x:t>
        </x:is>
      </x:c>
      <x:c r="C69" s="233" t="n">
        <x:v>4</x:v>
      </x:c>
      <x:c r="D69" s="233" t="n">
        <x:v>1979.562</x:v>
      </x:c>
      <x:c r="E69" s="233" t="n">
        <x:v>1533.24</x:v>
      </x:c>
      <x:c r="F69" s="233" t="n">
        <x:v>338</x:v>
      </x:c>
      <x:c r="G69" s="233" t="inlineStr">
        <x:is>
          <x:t xml:space="preserve">[1969,1524,1990,1544]</x:t>
        </x:is>
      </x:c>
      <x:c r="H69" s="233" t="n">
        <x:v>0.351</x:v>
      </x:c>
      <x:c r="I69" s="233" t="inlineStr">
        <x:is>
          <x:t xml:space="preserve">83f661b6107587c5d153d6dea3f6bf03090a70bc</x:t>
        </x:is>
      </x:c>
      <x:c r="J69" s="233" t="inlineStr">
        <x:is>
          <x:t xml:space="preserve">https://github.com/scream314/cicada3301/blob/master/assets/2014/liber-primus-complete/57.jpg</x:t>
        </x:is>
      </x:c>
    </x:row>
    <x:row r="70" s="232" customFormat="1" ht="32" customHeight="1">
      <x:c r="A70" s="233" t="n">
        <x:v>57</x:v>
      </x:c>
      <x:c r="B70" s="233" t="inlineStr">
        <x:is>
          <x:t xml:space="preserve">right plant cluster</x:t>
        </x:is>
      </x:c>
      <x:c r="C70" s="233" t="n">
        <x:v>5</x:v>
      </x:c>
      <x:c r="D70" s="233" t="n">
        <x:v>2019.523</x:v>
      </x:c>
      <x:c r="E70" s="233" t="n">
        <x:v>1539.869</x:v>
      </x:c>
      <x:c r="F70" s="233" t="n">
        <x:v>350</x:v>
      </x:c>
      <x:c r="G70" s="233" t="inlineStr">
        <x:is>
          <x:t xml:space="preserve">[2011,1528,2030,1550]</x:t>
        </x:is>
      </x:c>
      <x:c r="H70" s="233" t="n">
        <x:v>0.18</x:v>
      </x:c>
      <x:c r="I70" s="233" t="inlineStr">
        <x:is>
          <x:t xml:space="preserve">83f661b6107587c5d153d6dea3f6bf03090a70bc</x:t>
        </x:is>
      </x:c>
      <x:c r="J70" s="233" t="inlineStr">
        <x:is>
          <x:t xml:space="preserve">https://github.com/scream314/cicada3301/blob/master/assets/2014/liber-primus-complete/57.jpg</x:t>
        </x:is>
      </x:c>
    </x:row>
    <x:row r="71">
      <x:c r="A71" s="233" t="n"/>
      <x:c r="B71" s="233" t="n"/>
      <x:c r="C71" s="233" t="n"/>
      <x:c r="D71" s="233" t="n"/>
      <x:c r="E71" s="233" t="n"/>
      <x:c r="F71" s="233" t="n"/>
      <x:c r="G71" s="233" t="n"/>
      <x:c r="H71" s="233" t="n"/>
      <x:c r="I71" s="233" t="n"/>
      <x:c r="J71" s="233" t="n"/>
    </x:row>
    <x:row r="72" s="232" customFormat="1" ht="24" customHeight="1">
      <x:c r="A72" s="283" t="inlineStr">
        <x:is>
          <x:t xml:space="preserve">*Detected point indices are not claims about the tiny original/user-added labels; page 57 numbering remains unresolved.</x:t>
        </x:is>
      </x:c>
      <x:c r="B72" s="1" t="n"/>
      <x:c r="C72" s="1" t="n"/>
      <x:c r="D72" s="1" t="n"/>
      <x:c r="E72" s="1" t="n"/>
      <x:c r="F72" s="1" t="n"/>
      <x:c r="G72" s="1" t="n"/>
      <x:c r="H72" s="1" t="n"/>
      <x:c r="I72" s="1" t="n"/>
      <x:c r="J72" s="1" t="n"/>
    </x:row>
    <x:row r="73">
      <x:c r="A73" s="233" t="n"/>
      <x:c r="B73" s="233" t="n"/>
      <x:c r="C73" s="233" t="n"/>
      <x:c r="D73" s="233" t="n"/>
      <x:c r="E73" s="233" t="n"/>
      <x:c r="F73" s="233" t="n"/>
      <x:c r="G73" s="233" t="n"/>
      <x:c r="H73" s="233" t="n"/>
      <x:c r="I73" s="233" t="n"/>
      <x:c r="J73" s="233" t="n"/>
    </x:row>
    <x:row r="74" s="232" customFormat="1" ht="40" customHeight="1">
      <x:c r="A74" s="283" t="inlineStr">
        <x:is>
          <x:t xml:space="preserve">Page 57 vs page 68: the right-side five-dot plant/petal-adjacent cluster matches point-for-point at the reported precision (0.000 px RMS centroid difference); component areas and bounding boxes are also identical at thresholds 40, 60, 80 and 100. This is strong evidence that the same decorative dot cluster is reused across the two pages.</x:t>
        </x:is>
      </x:c>
      <x:c r="B74" s="1" t="n"/>
      <x:c r="C74" s="1" t="n"/>
      <x:c r="D74" s="1" t="n"/>
      <x:c r="E74" s="1" t="n"/>
      <x:c r="F74" s="1" t="n"/>
      <x:c r="G74" s="1" t="n"/>
      <x:c r="H74" s="1" t="n"/>
      <x:c r="I74" s="1" t="n"/>
      <x:c r="J74" s="1" t="n"/>
    </x:row>
    <x:row r="75">
      <x:c r="A75" s="233" t="n"/>
      <x:c r="B75" s="233" t="n"/>
      <x:c r="C75" s="233" t="n"/>
      <x:c r="D75" s="233" t="n"/>
      <x:c r="E75" s="233" t="n"/>
      <x:c r="F75" s="233" t="n"/>
      <x:c r="G75" s="233" t="n"/>
      <x:c r="H75" s="233" t="n"/>
      <x:c r="I75" s="233" t="n"/>
      <x:c r="J75" s="233" t="n"/>
    </x:row>
    <x:row r="76" s="232" customFormat="1" ht="40" customHeight="1">
      <x:c r="A76" s="283" t="inlineStr">
        <x:is>
          <x:t xml:space="preserve">Interpretation: the 24/40/73 isolated five-dot template is geometrically distinct from the page 68/57 ornamental five-dot cluster. Separately, pages 50 and 56 reuse a near-identical three-dot row at about a 2.13× scale ratio. This points toward multiple recurring graphic templates, not one universal dot template.</x:t>
        </x:is>
      </x:c>
      <x:c r="B76" s="1" t="n"/>
      <x:c r="C76" s="1" t="n"/>
      <x:c r="D76" s="1" t="n"/>
      <x:c r="E76" s="1" t="n"/>
      <x:c r="F76" s="1" t="n"/>
      <x:c r="G76" s="1" t="n"/>
      <x:c r="H76" s="1" t="n"/>
      <x:c r="I76" s="1" t="n"/>
      <x:c r="J76" s="1" t="n"/>
    </x:row>
    <x:row r="77">
      <x:c r="A77" s="233" t="n"/>
      <x:c r="B77" s="233" t="n"/>
      <x:c r="C77" s="233" t="n"/>
      <x:c r="D77" s="233" t="n"/>
      <x:c r="E77" s="233" t="n"/>
      <x:c r="F77" s="233" t="n"/>
      <x:c r="G77" s="233" t="n"/>
      <x:c r="H77" s="233" t="n"/>
      <x:c r="I77" s="233" t="n"/>
      <x:c r="J77" s="233" t="n"/>
    </x:row>
    <x:row r="78" s="232" customFormat="1" ht="40" customHeight="1">
      <x:c r="A78" s="283" t="inlineStr">
        <x:is>
          <x:t xml:space="preserve">Method limitation: all measurements are targeted local crops from verified original GitHub JPEG streams using a custom in-memory baseline-JPEG Y/luminance decoder. This batch is not a full-page census, and centroid extraction still needs independent cross-validation with a standard decoder.</x:t>
        </x:is>
      </x:c>
      <x:c r="B78" s="1" t="n"/>
      <x:c r="C78" s="1" t="n"/>
      <x:c r="D78" s="1" t="n"/>
      <x:c r="E78" s="1" t="n"/>
      <x:c r="F78" s="1" t="n"/>
      <x:c r="G78" s="1" t="n"/>
      <x:c r="H78" s="1" t="n"/>
      <x:c r="I78" s="1" t="n"/>
      <x:c r="J78" s="1" t="n"/>
    </x:row>
  </x:sheetData>
  <x:mergeCells>
    <x:mergeCell ref="A41:I41"/>
    <x:mergeCell ref="A2:I2"/>
    <x:mergeCell ref="A19:I19"/>
    <x:mergeCell ref="A61:J61"/>
    <x:mergeCell ref="A74:J74"/>
    <x:mergeCell ref="A37:I37"/>
    <x:mergeCell ref="A52:E52"/>
    <x:mergeCell ref="A28:E28"/>
    <x:mergeCell ref="A78:J78"/>
    <x:mergeCell ref="A1:I1"/>
    <x:mergeCell ref="A43:J43"/>
    <x:mergeCell ref="A39:I39"/>
    <x:mergeCell ref="A72:J72"/>
    <x:mergeCell ref="A12:I12"/>
    <x:mergeCell ref="A4:I4"/>
    <x:mergeCell ref="A76:J76"/>
  </x:mergeCell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9" style="232" customWidth="1"/>
    <x:col min="2" max="2" width="32" style="232" customWidth="1"/>
    <x:col min="3" max="3" width="15" style="232" customWidth="1"/>
    <x:col min="4" max="4" width="24" style="232" customWidth="1"/>
    <x:col min="5" max="5" width="22" style="232" customWidth="1"/>
    <x:col min="6" max="6" width="22" style="232" customWidth="1"/>
    <x:col min="7" max="7" width="24" style="232" customWidth="1"/>
    <x:col min="8" max="8" width="22" style="232" customWidth="1"/>
    <x:col min="9" max="9" width="46" style="232" customWidth="1"/>
  </x:cols>
  <x:sheetData>
    <x:row r="1" s="232" customFormat="1" ht="28" customHeight="1">
      <x:c r="A1" s="305" t="inlineStr">
        <x:is>
          <x:t xml:space="preserve">Liber Primus Visual Geometry — Source Integrity Audit v1.0</x:t>
        </x:is>
      </x:c>
      <x:c r="B1" s="1" t="n"/>
      <x:c r="C1" s="1" t="n"/>
      <x:c r="D1" s="1" t="n"/>
      <x:c r="E1" s="1" t="n"/>
      <x:c r="F1" s="1" t="n"/>
      <x:c r="G1" s="1" t="n"/>
      <x:c r="H1" s="1" t="n"/>
      <x:c r="I1" s="1" t="n"/>
    </x:row>
    <x:row r="2" s="232" customFormat="1" ht="36" customHeight="1">
      <x:c r="A2" s="306" t="inlineStr">
        <x:is>
          <x:t xml:space="preserve">New audit sheet only. Existing v0.9 sheets and records were left in place. Source scans were fetched as exact base64 file content via the connected GitHub integration; Git blob hashes were recomputed over the returned bytes, and JPEG SOF0 dimensions were parsed. This is source-byte validation, not a second pixel-centroid decode.</x:t>
        </x:is>
      </x:c>
      <x:c r="B2" s="1" t="n"/>
      <x:c r="C2" s="1" t="n"/>
      <x:c r="D2" s="1" t="n"/>
      <x:c r="E2" s="1" t="n"/>
      <x:c r="F2" s="1" t="n"/>
      <x:c r="G2" s="1" t="n"/>
      <x:c r="H2" s="1" t="n"/>
      <x:c r="I2" s="1" t="n"/>
    </x:row>
    <x:row r="4">
      <x:c r="A4" s="307" t="inlineStr">
        <x:is>
          <x:t xml:space="preserve">Current working files</x:t>
        </x:is>
      </x:c>
      <x:c r="B4" s="1" t="n"/>
      <x:c r="C4" s="1" t="n"/>
      <x:c r="D4" s="1" t="n"/>
      <x:c r="E4" s="1" t="n"/>
    </x:row>
    <x:row r="5" s="232" customFormat="1" ht="32" customHeight="1">
      <x:c r="A5" s="230" t="inlineStr">
        <x:is>
          <x:t xml:space="preserve">Artifact</x:t>
        </x:is>
      </x:c>
      <x:c r="B5" s="230" t="inlineStr">
        <x:is>
          <x:t xml:space="preserve">Library/local file</x:t>
        </x:is>
      </x:c>
      <x:c r="C5" s="230" t="inlineStr">
        <x:is>
          <x:t xml:space="preserve">Bytes</x:t>
        </x:is>
      </x:c>
      <x:c r="D5" s="230" t="inlineStr">
        <x:is>
          <x:t xml:space="preserve">Repository / hash check</x:t>
        </x:is>
      </x:c>
      <x:c r="E5" s="230" t="inlineStr">
        <x:is>
          <x:t xml:space="preserve">Status</x:t>
        </x:is>
      </x:c>
    </x:row>
    <x:row r="6">
      <x:c r="A6" s="234" t="inlineStr">
        <x:is>
          <x:t xml:space="preserve">Master workbook v0.9</x:t>
        </x:is>
      </x:c>
      <x:c r="B6" s="234" t="inlineStr">
        <x:is>
          <x:t xml:space="preserve">liber_primus_visual_master_dataset_v0_9.xlsx</x:t>
        </x:is>
      </x:c>
      <x:c r="C6" s="234" t="n">
        <x:v>102982</x:v>
      </x:c>
      <x:c r="D6" s="234" t="inlineStr">
        <x:is>
          <x:t xml:space="preserve">Local Git blob SHA-1 8611b5553a912cb32cabe680b6850cbbad3c20c0 matches current mrfentmen/annotated-pages tree.</x:t>
        </x:is>
      </x:c>
      <x:c r="E6" s="234" t="inlineStr">
        <x:is>
          <x:t xml:space="preserve">PASS</x:t>
        </x:is>
      </x:c>
    </x:row>
    <x:row r="7">
      <x:c r="A7" s="234" t="inlineStr">
        <x:is>
          <x:t xml:space="preserve">Master source CSV</x:t>
        </x:is>
      </x:c>
      <x:c r="B7" s="234" t="inlineStr">
        <x:is>
          <x:t xml:space="preserve">cicadadataset.csv</x:t>
        </x:is>
      </x:c>
      <x:c r="C7" s="234" t="n">
        <x:v>10368</x:v>
      </x:c>
      <x:c r="D7" s="234" t="inlineStr">
        <x:is>
          <x:t xml:space="preserve">Local Git blob SHA-1 dde2e5f229e1dda6b4311a55264e92e66f44f922 matches current mrfentmen/annotated-pages tree.</x:t>
        </x:is>
      </x:c>
      <x:c r="E7" s="234" t="inlineStr">
        <x:is>
          <x:t xml:space="preserve">PASS</x:t>
        </x:is>
      </x:c>
    </x:row>
    <x:row r="8">
      <x:c r="A8" s="234" t="inlineStr">
        <x:is>
          <x:t xml:space="preserve">Measurement script</x:t>
        </x:is>
      </x:c>
      <x:c r="B8" s="234" t="inlineStr">
        <x:is>
          <x:t xml:space="preserve">measure_constellations_v0_2.py</x:t>
        </x:is>
      </x:c>
      <x:c r="C8" s="234" t="n">
        <x:v>19653</x:v>
      </x:c>
      <x:c r="D8" s="234" t="inlineStr">
        <x:is>
          <x:t xml:space="preserve">Library artifact; not present in current 29-entry annotated-pages tree. Python compile check passed.</x:t>
        </x:is>
      </x:c>
      <x:c r="E8" s="234" t="inlineStr">
        <x:is>
          <x:t xml:space="preserve">PASS / library-only</x:t>
        </x:is>
      </x:c>
    </x:row>
    <x:row r="11">
      <x:c r="A11" s="307" t="inlineStr">
        <x:is>
          <x:t xml:space="preserve">Original scan byte audit</x:t>
        </x:is>
      </x:c>
      <x:c r="B11" s="1" t="n"/>
      <x:c r="C11" s="1" t="n"/>
      <x:c r="D11" s="1" t="n"/>
      <x:c r="E11" s="1" t="n"/>
      <x:c r="F11" s="1" t="n"/>
      <x:c r="G11" s="1" t="n"/>
      <x:c r="H11" s="1" t="n"/>
      <x:c r="I11" s="1" t="n"/>
    </x:row>
    <x:row r="12" s="232" customFormat="1" ht="32" customHeight="1">
      <x:c r="A12" s="230" t="inlineStr">
        <x:is>
          <x:t xml:space="preserve">Page</x:t>
        </x:is>
      </x:c>
      <x:c r="B12" s="230" t="inlineStr">
        <x:is>
          <x:t xml:space="preserve">Bytes</x:t>
        </x:is>
      </x:c>
      <x:c r="C12" s="230" t="inlineStr">
        <x:is>
          <x:t xml:space="preserve">Width px</x:t>
        </x:is>
      </x:c>
      <x:c r="D12" s="230" t="inlineStr">
        <x:is>
          <x:t xml:space="preserve">Height px</x:t>
        </x:is>
      </x:c>
      <x:c r="E12" s="230" t="inlineStr">
        <x:is>
          <x:t xml:space="preserve">GitHub blob SHA-1</x:t>
        </x:is>
      </x:c>
      <x:c r="F12" s="230" t="inlineStr">
        <x:is>
          <x:t xml:space="preserve">Recomputed Git blob SHA-1</x:t>
        </x:is>
      </x:c>
      <x:c r="G12" s="230" t="inlineStr">
        <x:is>
          <x:t xml:space="preserve">Hash match</x:t>
        </x:is>
      </x:c>
      <x:c r="H12" s="230" t="inlineStr">
        <x:is>
          <x:t xml:space="preserve">JPEG marker</x:t>
        </x:is>
      </x:c>
      <x:c r="I12" s="230" t="inlineStr">
        <x:is>
          <x:t xml:space="preserve">Source URL</x:t>
        </x:is>
      </x:c>
    </x:row>
    <x:row r="13">
      <x:c r="A13" s="234" t="n">
        <x:v>24</x:v>
      </x:c>
      <x:c r="B13" s="234" t="n">
        <x:v>580968</x:v>
      </x:c>
      <x:c r="C13" s="234" t="n">
        <x:v>2400</x:v>
      </x:c>
      <x:c r="D13" s="234" t="n">
        <x:v>3600</x:v>
      </x:c>
      <x:c r="E13" s="234" t="inlineStr">
        <x:is>
          <x:t xml:space="preserve">2b4e09dbad1a9c602a2919864b1a84f49d7ff501</x:t>
        </x:is>
      </x:c>
      <x:c r="F13" s="234" t="inlineStr">
        <x:is>
          <x:t xml:space="preserve">2b4e09dbad1a9c602a2919864b1a84f49d7ff501</x:t>
        </x:is>
      </x:c>
      <x:c r="G13" s="234" t="b">
        <x:v>1</x:v>
      </x:c>
      <x:c r="H13" s="234" t="inlineStr">
        <x:is>
          <x:t xml:space="preserve">SOF0 (baseline JPEG)</x:t>
        </x:is>
      </x:c>
      <x:c r="I13" s="234" t="inlineStr">
        <x:is>
          <x:t xml:space="preserve">https://github.com/scream314/cicada3301/blob/master/assets/2014/liber-primus-complete/24.jpg</x:t>
        </x:is>
      </x:c>
    </x:row>
    <x:row r="14">
      <x:c r="A14" s="234" t="n">
        <x:v>39</x:v>
      </x:c>
      <x:c r="B14" s="234" t="n">
        <x:v>512143</x:v>
      </x:c>
      <x:c r="C14" s="234" t="n">
        <x:v>2400</x:v>
      </x:c>
      <x:c r="D14" s="234" t="n">
        <x:v>3600</x:v>
      </x:c>
      <x:c r="E14" s="234" t="inlineStr">
        <x:is>
          <x:t xml:space="preserve">0270e099f35a00dc24a9dc673ce13d4a0a843802</x:t>
        </x:is>
      </x:c>
      <x:c r="F14" s="234" t="inlineStr">
        <x:is>
          <x:t xml:space="preserve">0270e099f35a00dc24a9dc673ce13d4a0a843802</x:t>
        </x:is>
      </x:c>
      <x:c r="G14" s="234" t="b">
        <x:v>1</x:v>
      </x:c>
      <x:c r="H14" s="234" t="inlineStr">
        <x:is>
          <x:t xml:space="preserve">SOF0 (baseline JPEG)</x:t>
        </x:is>
      </x:c>
      <x:c r="I14" s="234" t="inlineStr">
        <x:is>
          <x:t xml:space="preserve">https://github.com/scream314/cicada3301/blob/master/assets/2014/liber-primus-complete/39.jpg</x:t>
        </x:is>
      </x:c>
    </x:row>
    <x:row r="15">
      <x:c r="A15" s="234" t="n">
        <x:v>40</x:v>
      </x:c>
      <x:c r="B15" s="234" t="n">
        <x:v>484095</x:v>
      </x:c>
      <x:c r="C15" s="234" t="n">
        <x:v>2400</x:v>
      </x:c>
      <x:c r="D15" s="234" t="n">
        <x:v>3600</x:v>
      </x:c>
      <x:c r="E15" s="234" t="inlineStr">
        <x:is>
          <x:t xml:space="preserve">feee4eed2a4f6d66456ff5a977f43c7ef297f8eb</x:t>
        </x:is>
      </x:c>
      <x:c r="F15" s="234" t="inlineStr">
        <x:is>
          <x:t xml:space="preserve">feee4eed2a4f6d66456ff5a977f43c7ef297f8eb</x:t>
        </x:is>
      </x:c>
      <x:c r="G15" s="234" t="b">
        <x:v>1</x:v>
      </x:c>
      <x:c r="H15" s="234" t="inlineStr">
        <x:is>
          <x:t xml:space="preserve">SOF0 (baseline JPEG)</x:t>
        </x:is>
      </x:c>
      <x:c r="I15" s="234" t="inlineStr">
        <x:is>
          <x:t xml:space="preserve">https://github.com/scream314/cicada3301/blob/master/assets/2014/liber-primus-complete/40.jpg</x:t>
        </x:is>
      </x:c>
    </x:row>
    <x:row r="16">
      <x:c r="A16" s="234" t="n">
        <x:v>50</x:v>
      </x:c>
      <x:c r="B16" s="234" t="n">
        <x:v>525652</x:v>
      </x:c>
      <x:c r="C16" s="234" t="n">
        <x:v>2400</x:v>
      </x:c>
      <x:c r="D16" s="234" t="n">
        <x:v>3600</x:v>
      </x:c>
      <x:c r="E16" s="234" t="inlineStr">
        <x:is>
          <x:t xml:space="preserve">68d3e28d8c4161fdfe91a542f5bac8e276bc441e</x:t>
        </x:is>
      </x:c>
      <x:c r="F16" s="234" t="inlineStr">
        <x:is>
          <x:t xml:space="preserve">68d3e28d8c4161fdfe91a542f5bac8e276bc441e</x:t>
        </x:is>
      </x:c>
      <x:c r="G16" s="234" t="b">
        <x:v>1</x:v>
      </x:c>
      <x:c r="H16" s="234" t="inlineStr">
        <x:is>
          <x:t xml:space="preserve">SOF0 (baseline JPEG)</x:t>
        </x:is>
      </x:c>
      <x:c r="I16" s="234" t="inlineStr">
        <x:is>
          <x:t xml:space="preserve">https://github.com/scream314/cicada3301/blob/master/assets/2014/liber-primus-complete/50.jpg</x:t>
        </x:is>
      </x:c>
    </x:row>
    <x:row r="17">
      <x:c r="A17" s="234" t="n">
        <x:v>56</x:v>
      </x:c>
      <x:c r="B17" s="234" t="n">
        <x:v>541379</x:v>
      </x:c>
      <x:c r="C17" s="234" t="n">
        <x:v>2400</x:v>
      </x:c>
      <x:c r="D17" s="234" t="n">
        <x:v>3600</x:v>
      </x:c>
      <x:c r="E17" s="234" t="inlineStr">
        <x:is>
          <x:t xml:space="preserve">819261c833837cbaa2bd200d210ca299d79031f3</x:t>
        </x:is>
      </x:c>
      <x:c r="F17" s="234" t="inlineStr">
        <x:is>
          <x:t xml:space="preserve">819261c833837cbaa2bd200d210ca299d79031f3</x:t>
        </x:is>
      </x:c>
      <x:c r="G17" s="234" t="b">
        <x:v>1</x:v>
      </x:c>
      <x:c r="H17" s="234" t="inlineStr">
        <x:is>
          <x:t xml:space="preserve">SOF0 (baseline JPEG)</x:t>
        </x:is>
      </x:c>
      <x:c r="I17" s="234" t="inlineStr">
        <x:is>
          <x:t xml:space="preserve">https://github.com/scream314/cicada3301/blob/master/assets/2014/liber-primus-complete/56.jpg</x:t>
        </x:is>
      </x:c>
    </x:row>
    <x:row r="18">
      <x:c r="A18" s="234" t="n">
        <x:v>57</x:v>
      </x:c>
      <x:c r="B18" s="234" t="n">
        <x:v>746355</x:v>
      </x:c>
      <x:c r="C18" s="234" t="n">
        <x:v>2400</x:v>
      </x:c>
      <x:c r="D18" s="234" t="n">
        <x:v>3600</x:v>
      </x:c>
      <x:c r="E18" s="234" t="inlineStr">
        <x:is>
          <x:t xml:space="preserve">83f661b6107587c5d153d6dea3f6bf03090a70bc</x:t>
        </x:is>
      </x:c>
      <x:c r="F18" s="234" t="inlineStr">
        <x:is>
          <x:t xml:space="preserve">83f661b6107587c5d153d6dea3f6bf03090a70bc</x:t>
        </x:is>
      </x:c>
      <x:c r="G18" s="234" t="b">
        <x:v>1</x:v>
      </x:c>
      <x:c r="H18" s="234" t="inlineStr">
        <x:is>
          <x:t xml:space="preserve">SOF0 (baseline JPEG)</x:t>
        </x:is>
      </x:c>
      <x:c r="I18" s="234" t="inlineStr">
        <x:is>
          <x:t xml:space="preserve">https://github.com/scream314/cicada3301/blob/master/assets/2014/liber-primus-complete/57.jpg</x:t>
        </x:is>
      </x:c>
    </x:row>
    <x:row r="19">
      <x:c r="A19" s="234" t="n">
        <x:v>68</x:v>
      </x:c>
      <x:c r="B19" s="234" t="n">
        <x:v>661727</x:v>
      </x:c>
      <x:c r="C19" s="234" t="n">
        <x:v>2400</x:v>
      </x:c>
      <x:c r="D19" s="234" t="n">
        <x:v>3600</x:v>
      </x:c>
      <x:c r="E19" s="234" t="inlineStr">
        <x:is>
          <x:t xml:space="preserve">701e47789abf4401d61420ff938c2b72aa03ad2c</x:t>
        </x:is>
      </x:c>
      <x:c r="F19" s="234" t="inlineStr">
        <x:is>
          <x:t xml:space="preserve">701e47789abf4401d61420ff938c2b72aa03ad2c</x:t>
        </x:is>
      </x:c>
      <x:c r="G19" s="234" t="b">
        <x:v>1</x:v>
      </x:c>
      <x:c r="H19" s="234" t="inlineStr">
        <x:is>
          <x:t xml:space="preserve">SOF0 (baseline JPEG)</x:t>
        </x:is>
      </x:c>
      <x:c r="I19" s="234" t="inlineStr">
        <x:is>
          <x:t xml:space="preserve">https://github.com/scream314/cicada3301/blob/master/assets/2014/liber-primus-complete/68.jpg</x:t>
        </x:is>
      </x:c>
    </x:row>
    <x:row r="20">
      <x:c r="A20" s="234" t="n">
        <x:v>73</x:v>
      </x:c>
      <x:c r="B20" s="234" t="n">
        <x:v>389813</x:v>
      </x:c>
      <x:c r="C20" s="234" t="n">
        <x:v>2400</x:v>
      </x:c>
      <x:c r="D20" s="234" t="n">
        <x:v>3600</x:v>
      </x:c>
      <x:c r="E20" s="234" t="inlineStr">
        <x:is>
          <x:t xml:space="preserve">afa3428764199ddf590baf0c055c8caedc079cb1</x:t>
        </x:is>
      </x:c>
      <x:c r="F20" s="234" t="inlineStr">
        <x:is>
          <x:t xml:space="preserve">afa3428764199ddf590baf0c055c8caedc079cb1</x:t>
        </x:is>
      </x:c>
      <x:c r="G20" s="234" t="b">
        <x:v>1</x:v>
      </x:c>
      <x:c r="H20" s="234" t="inlineStr">
        <x:is>
          <x:t xml:space="preserve">SOF0 (baseline JPEG)</x:t>
        </x:is>
      </x:c>
      <x:c r="I20" s="234" t="inlineStr">
        <x:is>
          <x:t xml:space="preserve">https://github.com/scream314/cicada3301/blob/master/assets/2014/liber-primus-complete/73.jpg</x:t>
        </x:is>
      </x:c>
    </x:row>
    <x:row r="22">
      <x:c r="A22" s="308" t="inlineStr">
        <x:is>
          <x:t xml:space="preserve">Runtime and pixel-analysis status</x:t>
        </x:is>
      </x:c>
      <x:c r="B22" s="1" t="n"/>
      <x:c r="C22" s="1" t="n"/>
      <x:c r="D22" s="1" t="n"/>
      <x:c r="E22" s="1" t="n"/>
      <x:c r="F22" s="1" t="n"/>
      <x:c r="G22" s="1" t="n"/>
      <x:c r="H22" s="1" t="n"/>
      <x:c r="I22" s="1" t="n"/>
    </x:row>
    <x:row r="23">
      <x:c r="A23" s="238" t="inlineStr">
        <x:is>
          <x:t xml:space="preserve">Python image library</x:t>
        </x:is>
      </x:c>
      <x:c r="B23" s="234" t="inlineStr">
        <x:is>
          <x:t xml:space="preserve">Pillow 12.3.0 is installed, so a standard-library decode method is available once image bytes are local.</x:t>
        </x:is>
      </x:c>
    </x:row>
    <x:row r="24">
      <x:c r="A24" s="238" t="inlineStr">
        <x:is>
          <x:t xml:space="preserve">Local image access</x:t>
        </x:is>
      </x:c>
      <x:c r="B24" s="234" t="inlineStr">
        <x:is>
          <x:t xml:space="preserve">Raw GitHub image URLs and container download failed in this runtime due network/DNS restrictions. GitHub connector retrieval succeeded, but this connector result cannot be materialized directly into the Python runtime filesystem.</x:t>
        </x:is>
      </x:c>
    </x:row>
    <x:row r="25">
      <x:c r="A25" s="238" t="inlineStr">
        <x:is>
          <x:t xml:space="preserve">Independent pixel extraction</x:t>
        </x:is>
      </x:c>
      <x:c r="B25" s="234" t="inlineStr">
        <x:is>
          <x:t xml:space="preserve">NOT RUN in this turn. The centroid rows in the v0.9 workbook remain inherited from the previous in-memory decoder. No new centroid values have been substituted.</x:t>
        </x:is>
      </x:c>
    </x:row>
    <x:row r="26">
      <x:c r="A26" s="238" t="inlineStr">
        <x:is>
          <x:t xml:space="preserve">Original files checked</x:t>
        </x:is>
      </x:c>
      <x:c r="B26" s="234" t="inlineStr">
        <x:is>
          <x:t xml:space="preserve">All eight requested originals (24, 39, 40, 50, 56, 57, 68, 73) were retrieved; all recomputed Git blob SHA-1 values matched the object IDs; all report 2400 × 3600 dimensions.</x:t>
        </x:is>
      </x:c>
    </x:row>
    <x:row r="27">
      <x:c r="A27" s="238" t="inlineStr">
        <x:is>
          <x:t xml:space="preserve">Page 39 visual fetch</x:t>
        </x:is>
      </x:c>
      <x:c r="B27" s="234" t="inlineStr">
        <x:is>
          <x:t xml:space="preserve">The browser-render step failed for page 39, but the byte retrieval, SHA-1 check, and JPEG header check passed.</x:t>
        </x:is>
      </x:c>
    </x:row>
  </x:sheetData>
  <x:mergeCells>
    <x:mergeCell ref="A4:E4"/>
    <x:mergeCell ref="A2:I2"/>
    <x:mergeCell ref="A11:I11"/>
    <x:mergeCell ref="A1:I1"/>
    <x:mergeCell ref="A22:I22"/>
  </x:mergeCells>
  <x:pageMargins left="0.7" right="0.7" top="0.75" bottom="0.75" header="0.3" footer="0.3"/>
</x:worksheet>
</file>

<file path=xl/worksheets/sheet13.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24" style="232" customWidth="1"/>
    <x:col min="2" max="2" width="32" style="232" customWidth="1"/>
    <x:col min="3" max="3" width="19" style="232" customWidth="1"/>
    <x:col min="4" max="4" width="23" style="232" customWidth="1"/>
    <x:col min="5" max="5" width="19" style="232" customWidth="1"/>
    <x:col min="6" max="6" width="20" style="232" customWidth="1"/>
    <x:col min="7" max="7" width="45" style="232" customWidth="1"/>
    <x:col min="8" max="8" width="24" style="232" customWidth="1"/>
    <x:col min="9" max="9" width="19" style="232" customWidth="1"/>
    <x:col min="10" max="10" width="22" style="232" customWidth="1"/>
    <x:col min="11" max="11" width="52" style="232" customWidth="1"/>
  </x:cols>
  <x:sheetData>
    <x:row r="1" s="232" customFormat="1" ht="28" customHeight="1">
      <x:c r="A1" s="305" t="inlineStr">
        <x:is>
          <x:t xml:space="preserve">Liber Primus Visual Geometry — Independent Mathematical Refit v1.0</x:t>
        </x:is>
      </x:c>
      <x:c r="B1" s="1" t="n"/>
      <x:c r="C1" s="1" t="n"/>
      <x:c r="D1" s="1" t="n"/>
      <x:c r="E1" s="1" t="n"/>
      <x:c r="F1" s="1" t="n"/>
      <x:c r="G1" s="1" t="n"/>
      <x:c r="H1" s="1" t="n"/>
      <x:c r="I1" s="1" t="n"/>
      <x:c r="J1" s="1" t="n"/>
    </x:row>
    <x:row r="2" s="232" customFormat="1" ht="36" customHeight="1">
      <x:c r="A2" s="306" t="inlineStr">
        <x:is>
          <x:t xml:space="preserve">Independent arithmetic/refit over the source-pixel centroid values already recorded in v0.9 ('Measured Centroids' and 'Contextual Controls'). It does not independently decode the JPEG pixels; all conclusions below remain conditional on the inherited centroid table.</x:t>
        </x:is>
      </x:c>
      <x:c r="B2" s="1" t="n"/>
      <x:c r="C2" s="1" t="n"/>
      <x:c r="D2" s="1" t="n"/>
      <x:c r="E2" s="1" t="n"/>
      <x:c r="F2" s="1" t="n"/>
      <x:c r="G2" s="1" t="n"/>
      <x:c r="H2" s="1" t="n"/>
      <x:c r="I2" s="1" t="n"/>
      <x:c r="J2" s="1" t="n"/>
    </x:row>
    <x:row r="4">
      <x:c r="A4" s="307" t="inlineStr">
        <x:is>
          <x:t xml:space="preserve">Target template signature comparison</x:t>
        </x:is>
      </x:c>
      <x:c r="B4" s="1" t="n"/>
      <x:c r="C4" s="1" t="n"/>
      <x:c r="D4" s="1" t="n"/>
      <x:c r="E4" s="1" t="n"/>
      <x:c r="F4" s="1" t="n"/>
      <x:c r="G4" s="1" t="n"/>
      <x:c r="H4" s="1" t="n"/>
    </x:row>
    <x:row r="5" s="232" customFormat="1" ht="32" customHeight="1">
      <x:c r="A5" s="230" t="inlineStr">
        <x:is>
          <x:t xml:space="preserve">Page pair</x:t>
        </x:is>
      </x:c>
      <x:c r="B5" s="230" t="inlineStr">
        <x:is>
          <x:t xml:space="preserve">Normalization</x:t>
        </x:is>
      </x:c>
      <x:c r="C5" s="230" t="inlineStr">
        <x:is>
          <x:t xml:space="preserve">RMS signature difference</x:t>
        </x:is>
      </x:c>
      <x:c r="D5" s="230" t="inlineStr">
        <x:is>
          <x:t xml:space="preserve">Null pair comparisons</x:t>
        </x:is>
      </x:c>
      <x:c r="E5" s="230" t="inlineStr">
        <x:is>
          <x:t xml:space="preserve">Null hits ≤ observed</x:t>
        </x:is>
      </x:c>
      <x:c r="F5" s="230" t="inlineStr">
        <x:is>
          <x:t xml:space="preserve">Add-one empirical tail estimate</x:t>
        </x:is>
      </x:c>
      <x:c r="G5" s="230" t="inlineStr">
        <x:is>
          <x:t xml:space="preserve">Bonferroni × 3 (descriptive)</x:t>
        </x:is>
      </x:c>
      <x:c r="H5" s="230" t="inlineStr">
        <x:is>
          <x:t xml:space="preserve">Inference status</x:t>
        </x:is>
      </x:c>
    </x:row>
    <x:row r="6">
      <x:c r="A6" s="234" t="inlineStr">
        <x:is>
          <x:t xml:space="preserve">24-40</x:t>
        </x:is>
      </x:c>
      <x:c r="B6" s="234" t="inlineStr">
        <x:is>
          <x:t xml:space="preserve">Sorted 10 pairwise distances ÷ group maximum</x:t>
        </x:is>
      </x:c>
      <x:c r="C6" s="234" t="n">
        <x:v>4.131789646115892e-05</x:v>
      </x:c>
      <x:c r="D6" s="234" t="n">
        <x:v>250000</x:v>
      </x:c>
      <x:c r="E6" s="234" t="n">
        <x:v>0</x:v>
      </x:c>
      <x:c r="F6" s="234" t="n">
        <x:v>3.999984000063999e-06</x:v>
      </x:c>
      <x:c r="G6" s="234" t="n">
        <x:v>1.1999952000192e-05</x:v>
      </x:c>
      <x:c r="H6" s="234" t="inlineStr">
        <x:is>
          <x:t xml:space="preserve">Exploratory only; candidate groups selected after viewing pages.</x:t>
        </x:is>
      </x:c>
    </x:row>
    <x:row r="7">
      <x:c r="A7" s="234" t="inlineStr">
        <x:is>
          <x:t xml:space="preserve">24-73</x:t>
        </x:is>
      </x:c>
      <x:c r="B7" s="234" t="inlineStr">
        <x:is>
          <x:t xml:space="preserve">Sorted 10 pairwise distances ÷ group maximum</x:t>
        </x:is>
      </x:c>
      <x:c r="C7" s="234" t="n">
        <x:v>0.0003208105068628552</x:v>
      </x:c>
      <x:c r="D7" s="234" t="n">
        <x:v>250000</x:v>
      </x:c>
      <x:c r="E7" s="234" t="n">
        <x:v>0</x:v>
      </x:c>
      <x:c r="F7" s="234" t="n">
        <x:v>3.999984000063999e-06</x:v>
      </x:c>
      <x:c r="G7" s="234" t="n">
        <x:v>1.1999952000192e-05</x:v>
      </x:c>
      <x:c r="H7" s="234" t="inlineStr">
        <x:is>
          <x:t xml:space="preserve">Exploratory only; candidate groups selected after viewing pages.</x:t>
        </x:is>
      </x:c>
    </x:row>
    <x:row r="8">
      <x:c r="A8" s="234" t="inlineStr">
        <x:is>
          <x:t xml:space="preserve">40-73</x:t>
        </x:is>
      </x:c>
      <x:c r="B8" s="234" t="inlineStr">
        <x:is>
          <x:t xml:space="preserve">Sorted 10 pairwise distances ÷ group maximum</x:t>
        </x:is>
      </x:c>
      <x:c r="C8" s="234" t="n">
        <x:v>0.0003481489143298201</x:v>
      </x:c>
      <x:c r="D8" s="234" t="n">
        <x:v>250000</x:v>
      </x:c>
      <x:c r="E8" s="234" t="n">
        <x:v>0</x:v>
      </x:c>
      <x:c r="F8" s="234" t="n">
        <x:v>3.999984000063999e-06</x:v>
      </x:c>
      <x:c r="G8" s="234" t="n">
        <x:v>1.1999952000192e-05</x:v>
      </x:c>
      <x:c r="H8" s="234" t="inlineStr">
        <x:is>
          <x:t xml:space="preserve">Exploratory only; candidate groups selected after viewing pages.</x:t>
        </x:is>
      </x:c>
    </x:row>
    <x:row r="14">
      <x:c r="A14" s="307" t="inlineStr">
        <x:is>
          <x:t xml:space="preserve">Predeclared simple-transform refits</x:t>
        </x:is>
      </x:c>
      <x:c r="B14" s="1" t="n"/>
      <x:c r="C14" s="1" t="n"/>
      <x:c r="D14" s="1" t="n"/>
      <x:c r="E14" s="1" t="n"/>
      <x:c r="F14" s="1" t="n"/>
      <x:c r="G14" s="1" t="n"/>
      <x:c r="H14" s="1" t="n"/>
      <x:c r="I14" s="1" t="n"/>
      <x:c r="J14" s="1" t="n"/>
    </x:row>
    <x:row r="15" s="232" customFormat="1" ht="32" customHeight="1">
      <x:c r="A15" s="230" t="inlineStr">
        <x:is>
          <x:t xml:space="preserve">Pair</x:t>
        </x:is>
      </x:c>
      <x:c r="B15" s="230" t="inlineStr">
        <x:is>
          <x:t xml:space="preserve">Model</x:t>
        </x:is>
      </x:c>
      <x:c r="C15" s="230" t="inlineStr">
        <x:is>
          <x:t xml:space="preserve">A-label → B-label mapping</x:t>
        </x:is>
      </x:c>
      <x:c r="D15" s="230" t="inlineStr">
        <x:is>
          <x:t xml:space="preserve">x sign</x:t>
        </x:is>
      </x:c>
      <x:c r="E15" s="230" t="inlineStr">
        <x:is>
          <x:t xml:space="preserve">y sign</x:t>
        </x:is>
      </x:c>
      <x:c r="F15" s="230" t="inlineStr">
        <x:is>
          <x:t xml:space="preserve">Translation x px</x:t>
        </x:is>
      </x:c>
      <x:c r="G15" s="230" t="inlineStr">
        <x:is>
          <x:t xml:space="preserve">Translation y px</x:t>
        </x:is>
      </x:c>
      <x:c r="H15" s="230" t="inlineStr">
        <x:is>
          <x:t xml:space="preserve">RMS residual px</x:t>
        </x:is>
      </x:c>
      <x:c r="I15" s="230" t="inlineStr">
        <x:is>
          <x:t xml:space="preserve">Max residual px</x:t>
        </x:is>
      </x:c>
      <x:c r="J15" s="230" t="inlineStr">
        <x:is>
          <x:t xml:space="preserve">Model / caveat</x:t>
        </x:is>
      </x:c>
    </x:row>
    <x:row r="16">
      <x:c r="A16" s="234" t="inlineStr">
        <x:is>
          <x:t xml:space="preserve">24→40</x:t>
        </x:is>
      </x:c>
      <x:c r="B16" s="234" t="inlineStr">
        <x:is>
          <x:t xml:space="preserve">vertical reflection; x preserved</x:t>
        </x:is>
      </x:c>
      <x:c r="C16" s="234" t="inlineStr">
        <x:is>
          <x:t xml:space="preserve">1,2,5,4,3</x:t>
        </x:is>
      </x:c>
      <x:c r="D16" s="234" t="n">
        <x:v>1</x:v>
      </x:c>
      <x:c r="E16" s="234" t="n">
        <x:v>-1</x:v>
      </x:c>
      <x:c r="F16" s="234" t="n">
        <x:v>8.200000002034358e-05</x:v>
      </x:c>
      <x:c r="G16" s="234" t="n">
        <x:v>3674.018478</x:v>
      </x:c>
      <x:c r="H16" s="234" t="n">
        <x:v>0.03683773073356406</x:v>
      </x:c>
      <x:c r="I16" s="234" t="n">
        <x:v>0.07367303442960858</x:v>
      </x:c>
      <x:c r="J16" s="234" t="inlineStr">
        <x:is>
          <x:t xml:space="preserve">No scale/rotation; translations fitted by least squares.</x:t>
        </x:is>
      </x:c>
    </x:row>
    <x:row r="17">
      <x:c r="A17" s="234" t="inlineStr">
        <x:is>
          <x:t xml:space="preserve">40→73</x:t>
        </x:is>
      </x:c>
      <x:c r="B17" s="234" t="inlineStr">
        <x:is>
          <x:t xml:space="preserve">180-degree rotation</x:t>
        </x:is>
      </x:c>
      <x:c r="C17" s="234" t="inlineStr">
        <x:is>
          <x:t xml:space="preserve">4,5,1,2,3</x:t>
        </x:is>
      </x:c>
      <x:c r="D17" s="234" t="n">
        <x:v>-1</x:v>
      </x:c>
      <x:c r="E17" s="234" t="n">
        <x:v>-1</x:v>
      </x:c>
      <x:c r="F17" s="234" t="n">
        <x:v>2400.627</x:v>
      </x:c>
      <x:c r="G17" s="234" t="n">
        <x:v>3254.6608</x:v>
      </x:c>
      <x:c r="H17" s="234" t="n">
        <x:v>0.2632803828620436</x:v>
      </x:c>
      <x:c r="I17" s="234" t="n">
        <x:v>0.3461664917345654</x:v>
      </x:c>
      <x:c r="J17" s="234" t="inlineStr">
        <x:is>
          <x:t xml:space="preserve">No scale/rotation; translations fitted by least squares.</x:t>
        </x:is>
      </x:c>
    </x:row>
    <x:row r="18">
      <x:c r="A18" s="234" t="inlineStr">
        <x:is>
          <x:t xml:space="preserve">24→73</x:t>
        </x:is>
      </x:c>
      <x:c r="B18" s="234" t="inlineStr">
        <x:is>
          <x:t xml:space="preserve">horizontal reflection; y preserved</x:t>
        </x:is>
      </x:c>
      <x:c r="C18" s="234" t="inlineStr">
        <x:is>
          <x:t xml:space="preserve">4,5,3,2,1</x:t>
        </x:is>
      </x:c>
      <x:c r="D18" s="234" t="n">
        <x:v>-1</x:v>
      </x:c>
      <x:c r="E18" s="234" t="n">
        <x:v>1</x:v>
      </x:c>
      <x:c r="F18" s="234" t="n">
        <x:v>2400.626917999999</x:v>
      </x:c>
      <x:c r="G18" s="234" t="n">
        <x:v>-419.357678</x:v>
      </x:c>
      <x:c r="H18" s="234" t="n">
        <x:v>0.2461062380469291</x:v>
      </x:c>
      <x:c r="I18" s="234" t="n">
        <x:v>0.3157063546357586</x:v>
      </x:c>
      <x:c r="J18" s="234" t="inlineStr">
        <x:is>
          <x:t xml:space="preserve">No scale/rotation; translations fitted by least squares.</x:t>
        </x:is>
      </x:c>
    </x:row>
    <x:row r="22">
      <x:c r="A22" s="308" t="inlineStr">
        <x:is>
          <x:t xml:space="preserve">Exhaustive similarity refit — every one of 120 point correspondences per model tested</x:t>
        </x:is>
      </x:c>
      <x:c r="B22" s="1" t="n"/>
      <x:c r="C22" s="1" t="n"/>
      <x:c r="D22" s="1" t="n"/>
      <x:c r="E22" s="1" t="n"/>
      <x:c r="F22" s="1" t="n"/>
      <x:c r="G22" s="1" t="n"/>
      <x:c r="H22" s="1" t="n"/>
      <x:c r="I22" s="1" t="n"/>
      <x:c r="J22" s="1" t="n"/>
      <x:c r="K22" s="1" t="n"/>
    </x:row>
    <x:row r="23" s="232" customFormat="1" ht="32" customHeight="1">
      <x:c r="A23" s="230" t="inlineStr">
        <x:is>
          <x:t xml:space="preserve">Pair</x:t>
        </x:is>
      </x:c>
      <x:c r="B23" s="230" t="inlineStr">
        <x:is>
          <x:t xml:space="preserve">Model</x:t>
        </x:is>
      </x:c>
      <x:c r="C23" s="230" t="inlineStr">
        <x:is>
          <x:t xml:space="preserve">Permutations tested</x:t>
        </x:is>
      </x:c>
      <x:c r="D23" s="230" t="inlineStr">
        <x:is>
          <x:t xml:space="preserve">Best A-label → B-label mapping</x:t>
        </x:is>
      </x:c>
      <x:c r="E23" s="230" t="inlineStr">
        <x:is>
          <x:t xml:space="preserve">Scale</x:t>
        </x:is>
      </x:c>
      <x:c r="F23" s="230" t="inlineStr">
        <x:is>
          <x:t xml:space="preserve">Translation x px</x:t>
        </x:is>
      </x:c>
      <x:c r="G23" s="230" t="inlineStr">
        <x:is>
          <x:t xml:space="preserve">Translation y px</x:t>
        </x:is>
      </x:c>
      <x:c r="H23" s="230" t="inlineStr">
        <x:is>
          <x:t xml:space="preserve">det(R)</x:t>
        </x:is>
      </x:c>
      <x:c r="I23" s="230" t="inlineStr">
        <x:is>
          <x:t xml:space="preserve">RMS residual px</x:t>
        </x:is>
      </x:c>
      <x:c r="J23" s="230" t="inlineStr">
        <x:is>
          <x:t xml:space="preserve">Max residual px</x:t>
        </x:is>
      </x:c>
      <x:c r="K23" s="230" t="inlineStr">
        <x:is>
          <x:t xml:space="preserve">Caveat</x:t>
        </x:is>
      </x:c>
    </x:row>
    <x:row r="24">
      <x:c r="A24" s="234" t="inlineStr">
        <x:is>
          <x:t xml:space="preserve">24→40</x:t>
        </x:is>
      </x:c>
      <x:c r="B24" s="234" t="inlineStr">
        <x:is>
          <x:t xml:space="preserve">proper similarity only</x:t>
        </x:is>
      </x:c>
      <x:c r="C24" s="234" t="n">
        <x:v>120</x:v>
      </x:c>
      <x:c r="D24" s="234" t="inlineStr">
        <x:is>
          <x:t xml:space="preserve">1,2,3,4,5</x:t>
        </x:is>
      </x:c>
      <x:c r="E24" s="234" t="n">
        <x:v>0.9499489973146414</x:v>
      </x:c>
      <x:c r="F24" s="234" t="n">
        <x:v>1918.544614423114</x:v>
      </x:c>
      <x:c r="G24" s="234" t="n">
        <x:v>-2398.508726098273</x:v>
      </x:c>
      <x:c r="H24" s="234" t="n">
        <x:v>1</x:v>
      </x:c>
      <x:c r="I24" s="234" t="n">
        <x:v>95.49716974133139</x:v>
      </x:c>
      <x:c r="J24" s="234" t="n">
        <x:v>126.5657495983094</x:v>
      </x:c>
      <x:c r="K24" s="234" t="inlineStr">
        <x:is>
          <x:t xml:space="preserve">Lowest residual over all 120 correspondences; selected-fit effect means residual alone is not a p-value.</x:t>
        </x:is>
      </x:c>
    </x:row>
    <x:row r="25">
      <x:c r="A25" s="234" t="inlineStr">
        <x:is>
          <x:t xml:space="preserve">24→40</x:t>
        </x:is>
      </x:c>
      <x:c r="B25" s="234" t="inlineStr">
        <x:is>
          <x:t xml:space="preserve">similarity with reflections</x:t>
        </x:is>
      </x:c>
      <x:c r="C25" s="234" t="n">
        <x:v>120</x:v>
      </x:c>
      <x:c r="D25" s="234" t="inlineStr">
        <x:is>
          <x:t xml:space="preserve">1,2,5,4,3</x:t>
        </x:is>
      </x:c>
      <x:c r="E25" s="234" t="n">
        <x:v>1.000021401670679</x:v>
      </x:c>
      <x:c r="F25" s="234" t="n">
        <x:v>-0.2101734778184436</x:v>
      </x:c>
      <x:c r="G25" s="234" t="n">
        <x:v>3674.009733164236</x:v>
      </x:c>
      <x:c r="H25" s="234" t="n">
        <x:v>-1</x:v>
      </x:c>
      <x:c r="I25" s="234" t="n">
        <x:v>0.03116950960524743</x:v>
      </x:c>
      <x:c r="J25" s="234" t="n">
        <x:v>0.05274404594373722</x:v>
      </x:c>
      <x:c r="K25" s="234" t="inlineStr">
        <x:is>
          <x:t xml:space="preserve">Lowest residual over all 120 correspondences; selected-fit effect means residual alone is not a p-value.</x:t>
        </x:is>
      </x:c>
    </x:row>
    <x:row r="26">
      <x:c r="A26" s="234" t="inlineStr">
        <x:is>
          <x:t xml:space="preserve">24→73</x:t>
        </x:is>
      </x:c>
      <x:c r="B26" s="234" t="inlineStr">
        <x:is>
          <x:t xml:space="preserve">proper similarity only</x:t>
        </x:is>
      </x:c>
      <x:c r="C26" s="234" t="n">
        <x:v>120</x:v>
      </x:c>
      <x:c r="D26" s="234" t="inlineStr">
        <x:is>
          <x:t xml:space="preserve">4,5,1,2,3</x:t>
        </x:is>
      </x:c>
      <x:c r="E26" s="234" t="n">
        <x:v>0.950299285125476</x:v>
      </x:c>
      <x:c r="F26" s="234" t="n">
        <x:v>481.8363484510343</x:v>
      </x:c>
      <x:c r="G26" s="234" t="n">
        <x:v>5654.290329906889</x:v>
      </x:c>
      <x:c r="H26" s="234" t="n">
        <x:v>1.000000000000001</x:v>
      </x:c>
      <x:c r="I26" s="234" t="n">
        <x:v>95.57224077537809</x:v>
      </x:c>
      <x:c r="J26" s="234" t="n">
        <x:v>126.6117012853718</x:v>
      </x:c>
      <x:c r="K26" s="234" t="inlineStr">
        <x:is>
          <x:t xml:space="preserve">Lowest residual over all 120 correspondences; selected-fit effect means residual alone is not a p-value.</x:t>
        </x:is>
      </x:c>
    </x:row>
    <x:row r="27">
      <x:c r="A27" s="234" t="inlineStr">
        <x:is>
          <x:t xml:space="preserve">24→73</x:t>
        </x:is>
      </x:c>
      <x:c r="B27" s="234" t="inlineStr">
        <x:is>
          <x:t xml:space="preserve">similarity with reflections</x:t>
        </x:is>
      </x:c>
      <x:c r="C27" s="234" t="n">
        <x:v>120</x:v>
      </x:c>
      <x:c r="D27" s="234" t="inlineStr">
        <x:is>
          <x:t xml:space="preserve">4,5,3,2,1</x:t>
        </x:is>
      </x:c>
      <x:c r="E27" s="234" t="n">
        <x:v>1.000430688944727</x:v>
      </x:c>
      <x:c r="F27" s="234" t="n">
        <x:v>2401.413323984559</x:v>
      </x:c>
      <x:c r="G27" s="234" t="n">
        <x:v>-420.5623699978105</x:v>
      </x:c>
      <x:c r="H27" s="234" t="n">
        <x:v>-1.000000000000001</x:v>
      </x:c>
      <x:c r="I27" s="234" t="n">
        <x:v>0.206281104376186</x:v>
      </x:c>
      <x:c r="J27" s="234" t="n">
        <x:v>0.2882153329570294</x:v>
      </x:c>
      <x:c r="K27" s="234" t="inlineStr">
        <x:is>
          <x:t xml:space="preserve">Lowest residual over all 120 correspondences; selected-fit effect means residual alone is not a p-value.</x:t>
        </x:is>
      </x:c>
    </x:row>
    <x:row r="28">
      <x:c r="A28" s="234" t="inlineStr">
        <x:is>
          <x:t xml:space="preserve">40→73</x:t>
        </x:is>
      </x:c>
      <x:c r="B28" s="234" t="inlineStr">
        <x:is>
          <x:t xml:space="preserve">proper similarity only</x:t>
        </x:is>
      </x:c>
      <x:c r="C28" s="234" t="n">
        <x:v>120</x:v>
      </x:c>
      <x:c r="D28" s="234" t="inlineStr">
        <x:is>
          <x:t xml:space="preserve">4,5,1,2,3</x:t>
        </x:is>
      </x:c>
      <x:c r="E28" s="234" t="n">
        <x:v>1.000409214116101</x:v>
      </x:c>
      <x:c r="F28" s="234" t="n">
        <x:v>2401.109550128917</x:v>
      </x:c>
      <x:c r="G28" s="234" t="n">
        <x:v>3254.950988419271</x:v>
      </x:c>
      <x:c r="H28" s="234" t="n">
        <x:v>1</x:v>
      </x:c>
      <x:c r="I28" s="234" t="n">
        <x:v>0.2315488880252385</x:v>
      </x:c>
      <x:c r="J28" s="234" t="n">
        <x:v>0.3389644052838339</x:v>
      </x:c>
      <x:c r="K28" s="234" t="inlineStr">
        <x:is>
          <x:t xml:space="preserve">Lowest residual over all 120 correspondences; selected-fit effect means residual alone is not a p-value.</x:t>
        </x:is>
      </x:c>
    </x:row>
    <x:row r="29">
      <x:c r="A29" s="234" t="inlineStr">
        <x:is>
          <x:t xml:space="preserve">40→73</x:t>
        </x:is>
      </x:c>
      <x:c r="B29" s="234" t="inlineStr">
        <x:is>
          <x:t xml:space="preserve">similarity with reflections</x:t>
        </x:is>
      </x:c>
      <x:c r="C29" s="234" t="n">
        <x:v>120</x:v>
      </x:c>
      <x:c r="D29" s="234" t="inlineStr">
        <x:is>
          <x:t xml:space="preserve">4,5,1,2,3</x:t>
        </x:is>
      </x:c>
      <x:c r="E29" s="234" t="n">
        <x:v>1.000409214116101</x:v>
      </x:c>
      <x:c r="F29" s="234" t="n">
        <x:v>2401.109550128917</x:v>
      </x:c>
      <x:c r="G29" s="234" t="n">
        <x:v>3254.950988419271</x:v>
      </x:c>
      <x:c r="H29" s="234" t="n">
        <x:v>1</x:v>
      </x:c>
      <x:c r="I29" s="234" t="n">
        <x:v>0.2315488880252385</x:v>
      </x:c>
      <x:c r="J29" s="234" t="n">
        <x:v>0.3389644052838339</x:v>
      </x:c>
      <x:c r="K29" s="234" t="inlineStr">
        <x:is>
          <x:t xml:space="preserve">Lowest residual over all 120 correspondences; selected-fit effect means residual alone is not a p-value.</x:t>
        </x:is>
      </x:c>
    </x:row>
    <x:row r="32">
      <x:c r="A32" s="308" t="inlineStr">
        <x:is>
          <x:t xml:space="preserve">p24 → p40 mapped-coordinate diagnostic (inherited coordinates, not a new image decode)</x:t>
        </x:is>
      </x:c>
      <x:c r="B32" s="1" t="n"/>
      <x:c r="C32" s="1" t="n"/>
      <x:c r="D32" s="1" t="n"/>
      <x:c r="E32" s="1" t="n"/>
      <x:c r="F32" s="1" t="n"/>
    </x:row>
    <x:row r="33">
      <x:c r="A33" s="240" t="inlineStr">
        <x:is>
          <x:t xml:space="preserve">Metric</x:t>
        </x:is>
      </x:c>
      <x:c r="B33" s="240" t="inlineStr">
        <x:is>
          <x:t xml:space="preserve">Recomputed value</x:t>
        </x:is>
      </x:c>
      <x:c r="D33" s="309" t="inlineStr">
        <x:is>
          <x:t xml:space="preserve">The mapped x-coordinates agree to less than 0.001 source pixel in the inherited centroid table, while y values fit a near-reflection plus translation. This is exceptionally tight. It could reflect a reused layout/template, but it also makes the independent decoder/source-coordinate cross-check mandatory. Do not treat subpixel coordinate agreement as cipher evidence.</x:t>
        </x:is>
      </x:c>
      <x:c r="E33" s="1" t="n"/>
      <x:c r="F33" s="1" t="n"/>
      <x:c r="G33" s="1" t="n"/>
      <x:c r="H33" s="1" t="n"/>
      <x:c r="I33" s="1" t="n"/>
      <x:c r="J33" s="1" t="n"/>
      <x:c r="K33" s="1" t="n"/>
    </x:row>
    <x:row r="34">
      <x:c r="A34" s="233" t="inlineStr">
        <x:is>
          <x:t xml:space="preserve">Maximum absolute x-coordinate difference across mapped dots (px)</x:t>
        </x:is>
      </x:c>
      <x:c r="B34" s="233" t="n">
        <x:v>0.0008530000000064319</x:v>
      </x:c>
      <x:c r="D34" s="1" t="n"/>
      <x:c r="K34" s="1" t="n"/>
    </x:row>
    <x:row r="35">
      <x:c r="A35" s="233" t="inlineStr">
        <x:is>
          <x:t xml:space="preserve">RMS x-coordinate difference across mapped dots (px)</x:t>
        </x:is>
      </x:c>
      <x:c r="B35" s="233" t="n">
        <x:v>0.0004755144582698412</x:v>
      </x:c>
      <x:c r="D35" s="1" t="n"/>
      <x:c r="K35" s="1" t="n"/>
    </x:row>
    <x:row r="36">
      <x:c r="A36" s="233" t="inlineStr">
        <x:is>
          <x:t xml:space="preserve">Mean mapped y24 + y40 (px)</x:t>
        </x:is>
      </x:c>
      <x:c r="B36" s="233" t="n">
        <x:v>3674.018478</x:v>
      </x:c>
      <x:c r="D36" s="1" t="n"/>
      <x:c r="K36" s="1" t="n"/>
    </x:row>
    <x:row r="37">
      <x:c r="A37" s="233" t="inlineStr">
        <x:is>
          <x:t xml:space="preserve">Maximum deviation from mean y-sum (px)</x:t>
        </x:is>
      </x:c>
      <x:c r="B37" s="233" t="n">
        <x:v>0.07366900000033638</x:v>
      </x:c>
      <x:c r="D37" s="1" t="n"/>
      <x:c r="E37" s="1" t="n"/>
      <x:c r="F37" s="1" t="n"/>
      <x:c r="G37" s="1" t="n"/>
      <x:c r="H37" s="1" t="n"/>
      <x:c r="I37" s="1" t="n"/>
      <x:c r="J37" s="1" t="n"/>
      <x:c r="K37" s="1" t="n"/>
    </x:row>
    <x:row r="39">
      <x:c r="A39" s="307" t="inlineStr">
        <x:is>
          <x:t xml:space="preserve">Control-group signatures — consistent max-normalized procedure</x:t>
        </x:is>
      </x:c>
      <x:c r="B39" s="1" t="n"/>
      <x:c r="C39" s="1" t="n"/>
      <x:c r="D39" s="1" t="n"/>
      <x:c r="E39" s="1" t="n"/>
      <x:c r="F39" s="1" t="n"/>
      <x:c r="G39" s="1" t="n"/>
    </x:row>
    <x:row r="40" s="232" customFormat="1" ht="32" customHeight="1">
      <x:c r="A40" s="230" t="inlineStr">
        <x:is>
          <x:t xml:space="preserve">Control group</x:t>
        </x:is>
      </x:c>
      <x:c r="B40" s="230" t="inlineStr">
        <x:is>
          <x:t xml:space="preserve">Subset labels</x:t>
        </x:is>
      </x:c>
      <x:c r="C40" s="230" t="inlineStr">
        <x:is>
          <x:t xml:space="preserve">Closest target page</x:t>
        </x:is>
      </x:c>
      <x:c r="D40" s="230" t="inlineStr">
        <x:is>
          <x:t xml:space="preserve">RMS vs p24</x:t>
        </x:is>
      </x:c>
      <x:c r="E40" s="230" t="inlineStr">
        <x:is>
          <x:t xml:space="preserve">RMS vs p40</x:t>
        </x:is>
      </x:c>
      <x:c r="F40" s="230" t="inlineStr">
        <x:is>
          <x:t xml:space="preserve">RMS vs p73</x:t>
        </x:is>
      </x:c>
      <x:c r="G40" s="230" t="inlineStr">
        <x:is>
          <x:t xml:space="preserve">Interpretation</x:t>
        </x:is>
      </x:c>
    </x:row>
    <x:row r="41">
      <x:c r="A41" s="234" t="inlineStr">
        <x:is>
          <x:t xml:space="preserve">Page 68 botanical-side group</x:t>
        </x:is>
      </x:c>
      <x:c r="B41" s="234" t="inlineStr">
        <x:is>
          <x:t xml:space="preserve">all 5</x:t>
        </x:is>
      </x:c>
      <x:c r="C41" s="234" t="n"/>
      <x:c r="D41" s="234" t="n">
        <x:v>0.1913067841310864</x:v>
      </x:c>
      <x:c r="E41" s="234" t="n">
        <x:v>0.1913026815274424</x:v>
      </x:c>
      <x:c r="F41" s="234" t="n">
        <x:v>0.1913452328773736</x:v>
      </x:c>
      <x:c r="G41" s="234" t="inlineStr">
        <x:is>
          <x:t xml:space="preserve">Strongly different signature; coordinates themselves inherited from v0.9.</x:t>
        </x:is>
      </x:c>
    </x:row>
    <x:row r="42">
      <x:c r="A42" s="234" t="inlineStr">
        <x:is>
          <x:t xml:space="preserve">Page 39 six-dot control</x:t>
        </x:is>
      </x:c>
      <x:c r="B42" s="234" t="inlineStr">
        <x:is>
          <x:t xml:space="preserve">1,2,3,4,5</x:t>
        </x:is>
      </x:c>
      <x:c r="C42" s="234" t="n">
        <x:v>24</x:v>
      </x:c>
      <x:c r="D42" s="234" t="n">
        <x:v>0.1082516673602437</x:v>
      </x:c>
      <x:c r="E42" s="234" t="n">
        <x:v>0.1082635767735821</x:v>
      </x:c>
      <x:c r="F42" s="234" t="n">
        <x:v>0.108361878937724</x:v>
      </x:c>
      <x:c r="G42" s="234" t="inlineStr">
        <x:is>
          <x:t xml:space="preserve">No subset of the six recorded points closely matches the target template.</x:t>
        </x:is>
      </x:c>
    </x:row>
    <x:row r="43">
      <x:c r="A43" s="234" t="inlineStr">
        <x:is>
          <x:t xml:space="preserve">Page 39 six-dot control</x:t>
        </x:is>
      </x:c>
      <x:c r="B43" s="234" t="inlineStr">
        <x:is>
          <x:t xml:space="preserve">1,2,3,4,6</x:t>
        </x:is>
      </x:c>
      <x:c r="C43" s="234" t="n">
        <x:v>24</x:v>
      </x:c>
      <x:c r="D43" s="234" t="n">
        <x:v>0.105133376974929</x:v>
      </x:c>
      <x:c r="E43" s="234" t="n">
        <x:v>0.1051478482628795</x:v>
      </x:c>
      <x:c r="F43" s="234" t="n">
        <x:v>0.1052440884455733</x:v>
      </x:c>
      <x:c r="G43" s="234" t="inlineStr">
        <x:is>
          <x:t xml:space="preserve">No subset of the six recorded points closely matches the target template.</x:t>
        </x:is>
      </x:c>
    </x:row>
    <x:row r="44">
      <x:c r="A44" s="234" t="inlineStr">
        <x:is>
          <x:t xml:space="preserve">Page 39 six-dot control</x:t>
        </x:is>
      </x:c>
      <x:c r="B44" s="234" t="inlineStr">
        <x:is>
          <x:t xml:space="preserve">1,2,3,5,6</x:t>
        </x:is>
      </x:c>
      <x:c r="C44" s="234" t="n">
        <x:v>24</x:v>
      </x:c>
      <x:c r="D44" s="234" t="n">
        <x:v>0.1175719549040911</x:v>
      </x:c>
      <x:c r="E44" s="234" t="n">
        <x:v>0.117585620212757</x:v>
      </x:c>
      <x:c r="F44" s="234" t="n">
        <x:v>0.117690301099541</x:v>
      </x:c>
      <x:c r="G44" s="234" t="inlineStr">
        <x:is>
          <x:t xml:space="preserve">No subset of the six recorded points closely matches the target template.</x:t>
        </x:is>
      </x:c>
    </x:row>
    <x:row r="45">
      <x:c r="A45" s="234" t="inlineStr">
        <x:is>
          <x:t xml:space="preserve">Page 39 six-dot control</x:t>
        </x:is>
      </x:c>
      <x:c r="B45" s="234" t="inlineStr">
        <x:is>
          <x:t xml:space="preserve">1,2,4,5,6</x:t>
        </x:is>
      </x:c>
      <x:c r="C45" s="234" t="n">
        <x:v>24</x:v>
      </x:c>
      <x:c r="D45" s="234" t="n">
        <x:v>0.1959607859544274</x:v>
      </x:c>
      <x:c r="E45" s="234" t="n">
        <x:v>0.1959686684653011</x:v>
      </x:c>
      <x:c r="F45" s="234" t="n">
        <x:v>0.1961483167247692</x:v>
      </x:c>
      <x:c r="G45" s="234" t="inlineStr">
        <x:is>
          <x:t xml:space="preserve">No subset of the six recorded points closely matches the target template.</x:t>
        </x:is>
      </x:c>
    </x:row>
    <x:row r="46">
      <x:c r="A46" s="234" t="inlineStr">
        <x:is>
          <x:t xml:space="preserve">Page 39 six-dot control</x:t>
        </x:is>
      </x:c>
      <x:c r="B46" s="234" t="inlineStr">
        <x:is>
          <x:t xml:space="preserve">1,3,4,5,6</x:t>
        </x:is>
      </x:c>
      <x:c r="C46" s="234" t="n">
        <x:v>24</x:v>
      </x:c>
      <x:c r="D46" s="234" t="n">
        <x:v>0.1203346288018277</x:v>
      </x:c>
      <x:c r="E46" s="234" t="n">
        <x:v>0.1203396916220505</x:v>
      </x:c>
      <x:c r="F46" s="234" t="n">
        <x:v>0.1204448222021261</x:v>
      </x:c>
      <x:c r="G46" s="234" t="inlineStr">
        <x:is>
          <x:t xml:space="preserve">No subset of the six recorded points closely matches the target template.</x:t>
        </x:is>
      </x:c>
    </x:row>
    <x:row r="47">
      <x:c r="A47" s="234" t="inlineStr">
        <x:is>
          <x:t xml:space="preserve">Page 39 six-dot control</x:t>
        </x:is>
      </x:c>
      <x:c r="B47" s="234" t="inlineStr">
        <x:is>
          <x:t xml:space="preserve">2,3,4,5,6</x:t>
        </x:is>
      </x:c>
      <x:c r="C47" s="234" t="n">
        <x:v>24</x:v>
      </x:c>
      <x:c r="D47" s="234" t="n">
        <x:v>0.1270458880256048</x:v>
      </x:c>
      <x:c r="E47" s="234" t="n">
        <x:v>0.1270527103760093</x:v>
      </x:c>
      <x:c r="F47" s="234" t="n">
        <x:v>0.1271948991075121</x:v>
      </x:c>
      <x:c r="G47" s="234" t="inlineStr">
        <x:is>
          <x:t xml:space="preserve">No subset of the six recorded points closely matches the target template.</x:t>
        </x:is>
      </x:c>
    </x:row>
    <x:row r="49">
      <x:c r="A49" s="308" t="inlineStr">
        <x:is>
          <x:t xml:space="preserve">Randomized null baseline — exploratory, not a formal inferential test</x:t>
        </x:is>
      </x:c>
      <x:c r="B49" s="1" t="n"/>
      <x:c r="C49" s="1" t="n"/>
      <x:c r="D49" s="1" t="n"/>
      <x:c r="E49" s="1" t="n"/>
      <x:c r="F49" s="1" t="n"/>
      <x:c r="G49" s="1" t="n"/>
    </x:row>
    <x:row r="50">
      <x:c r="A50" s="239" t="inlineStr">
        <x:is>
          <x:t xml:space="preserve">Parameter</x:t>
        </x:is>
      </x:c>
      <x:c r="B50" s="239" t="inlineStr">
        <x:is>
          <x:t xml:space="preserve">Result</x:t>
        </x:is>
      </x:c>
      <x:c r="D50" s="239" t="inlineStr">
        <x:is>
          <x:t xml:space="preserve">Parameter</x:t>
        </x:is>
      </x:c>
      <x:c r="E50" s="239" t="inlineStr">
        <x:is>
          <x:t xml:space="preserve">Result</x:t>
        </x:is>
      </x:c>
    </x:row>
    <x:row r="51">
      <x:c r="A51" t="inlineStr">
        <x:is>
          <x:t xml:space="preserve">Seed</x:t>
        </x:is>
      </x:c>
      <x:c r="B51" t="n">
        <x:v>3301</x:v>
      </x:c>
      <x:c r="D51" t="inlineStr">
        <x:is>
          <x:t xml:space="preserve">Minimum random-pair signature RMS</x:t>
        </x:is>
      </x:c>
      <x:c r="E51" t="n">
        <x:v>0.01184602374102165</x:v>
      </x:c>
    </x:row>
    <x:row r="52">
      <x:c r="A52" t="inlineStr">
        <x:is>
          <x:t xml:space="preserve">Random point groups generated</x:t>
        </x:is>
      </x:c>
      <x:c r="B52" t="n">
        <x:v>50000</x:v>
      </x:c>
      <x:c r="D52" t="inlineStr">
        <x:is>
          <x:t xml:space="preserve">Count ≤ any observed target-pair score</x:t>
        </x:is>
      </x:c>
      <x:c r="E52" t="n">
        <x:v>0</x:v>
      </x:c>
    </x:row>
    <x:row r="53">
      <x:c r="A53" t="inlineStr">
        <x:is>
          <x:t xml:space="preserve">Independent random group-pair signature comparisons</x:t>
        </x:is>
      </x:c>
      <x:c r="B53" t="n">
        <x:v>250000</x:v>
      </x:c>
    </x:row>
    <x:row r="54">
      <x:c r="A54" t="inlineStr">
        <x:is>
          <x:t xml:space="preserve">Sampling region width / height</x:t>
        </x:is>
      </x:c>
      <x:c r="B54" t="n">
        <x:v>2.4</x:v>
      </x:c>
    </x:row>
    <x:row r="55">
      <x:c r="A55" t="inlineStr">
        <x:is>
          <x:t xml:space="preserve">Median random-pair signature RMS</x:t>
        </x:is>
      </x:c>
      <x:c r="B55" t="n">
        <x:v>0.1181445747045816</x:v>
      </x:c>
    </x:row>
    <x:row r="56">
      <x:c r="A56" t="inlineStr">
        <x:is>
          <x:t xml:space="preserve">1st percentile random-pair signature RMS</x:t>
        </x:is>
      </x:c>
      <x:c r="B56" t="n">
        <x:v>0.04336298020365792</x:v>
      </x:c>
    </x:row>
    <x:row r="58" s="232" customFormat="1" ht="28" customHeight="1">
      <x:c r="A58" s="310" t="inlineStr">
        <x:is>
          <x:t xml:space="preserve">Interpretation and open validation items: (1) The inherited centroid table supports a repeated geometric template under reflection/rotation, with best fits below roughly 0.3 source px. (2) All six page-39 five-of-six subsets and the page-68 plant-side group remain geometrically distinct under one consistent maximum-normalized signature. (3) The random baseline found 0/250,000 pair comparisons as close as any target pair, but candidate groups were chosen after visual inspection and the null does not model manuscript layout or template reuse, so this is not a formal p-value. (4) No geometric-to-rune/plaintext mapping has been established. (5) The page-50/56 three-dot coordinates and page-57 counterpart coordinates are absent from the v0.9 measured-coordinate tables; their numerical claims remain inherited and were not remeasured here. (6) The workbook's previous 'Measured Geometry' target signatures matched median normalization while 'Contextual Controls' used maximum normalization. This audit uses maximum-distance normalization consistently; prior sheets were preserved unchanged.</x:t>
        </x:is>
      </x:c>
      <x:c r="B58" s="1" t="n"/>
      <x:c r="C58" s="1" t="n"/>
      <x:c r="D58" s="1" t="n"/>
      <x:c r="E58" s="1" t="n"/>
      <x:c r="F58" s="1" t="n"/>
      <x:c r="G58" s="1" t="n"/>
      <x:c r="H58" s="1" t="n"/>
      <x:c r="I58" s="1" t="n"/>
      <x:c r="J58" s="1" t="n"/>
      <x:c r="K58" s="1" t="n"/>
    </x:row>
    <x:row r="59" s="232" customFormat="1" ht="28" customHeight="1">
      <x:c r="A59" s="1" t="n"/>
      <x:c r="K59" s="1" t="n"/>
    </x:row>
    <x:row r="60" s="232" customFormat="1" ht="28" customHeight="1">
      <x:c r="A60" s="1" t="n"/>
      <x:c r="K60" s="1" t="n"/>
    </x:row>
    <x:row r="61" s="232" customFormat="1" ht="28" customHeight="1">
      <x:c r="A61" s="1" t="n"/>
      <x:c r="B61" s="1" t="n"/>
      <x:c r="C61" s="1" t="n"/>
      <x:c r="D61" s="1" t="n"/>
      <x:c r="E61" s="1" t="n"/>
      <x:c r="F61" s="1" t="n"/>
      <x:c r="G61" s="1" t="n"/>
      <x:c r="H61" s="1" t="n"/>
      <x:c r="I61" s="1" t="n"/>
      <x:c r="J61" s="1" t="n"/>
      <x:c r="K61" s="1" t="n"/>
    </x:row>
  </x:sheetData>
  <x:mergeCells>
    <x:mergeCell ref="A4:H4"/>
    <x:mergeCell ref="A1:J1"/>
    <x:mergeCell ref="A22:K22"/>
    <x:mergeCell ref="A14:J14"/>
    <x:mergeCell ref="D33:K37"/>
    <x:mergeCell ref="A39:G39"/>
    <x:mergeCell ref="A32:F32"/>
    <x:mergeCell ref="A2:J2"/>
    <x:mergeCell ref="A58:K61"/>
    <x:mergeCell ref="A49:G49"/>
  </x:mergeCells>
  <x:pageMargins left="0.7" right="0.7" top="0.75" bottom="0.75" header="0.3" footer="0.3"/>
</x:worksheet>
</file>

<file path=xl/worksheets/sheet14.xml><?xml version="1.0" encoding="utf-8"?>
<x:worksheet xmlns:x="http://schemas.openxmlformats.org/spreadsheetml/2006/main">
  <x:sheetViews>
    <x:sheetView workbookViewId="0">
      <x:pane ySplit="3" topLeftCell="A4" activePane="bottomLeft" state="frozen"/>
    </x:sheetView>
  </x:sheetViews>
  <x:sheetFormatPr baseColWidth="8" defaultRowHeight="15"/>
  <x:cols>
    <x:col min="1" max="1" width="12" style="232" customWidth="1"/>
    <x:col min="2" max="2" width="32" style="232" customWidth="1"/>
    <x:col min="3" max="3" width="44" style="232" customWidth="1"/>
    <x:col min="4" max="4" width="36" style="232" customWidth="1"/>
    <x:col min="5" max="5" width="24" style="232" customWidth="1"/>
    <x:col min="6" max="6" width="48" style="232" customWidth="1"/>
  </x:cols>
  <x:sheetData>
    <x:row r="1" s="232" customFormat="1" ht="28" customHeight="1">
      <x:c r="A1" s="305" t="inlineStr">
        <x:is>
          <x:t xml:space="preserve">Liber Primus Visual Geometry — Experiment Log v1.0</x:t>
        </x:is>
      </x:c>
      <x:c r="B1" s="1" t="n"/>
      <x:c r="C1" s="1" t="n"/>
      <x:c r="D1" s="1" t="n"/>
      <x:c r="E1" s="1" t="n"/>
      <x:c r="F1" s="1" t="n"/>
    </x:row>
    <x:row r="2" s="232" customFormat="1" ht="36" customHeight="1">
      <x:c r="A2" s="306" t="inlineStr">
        <x:is>
          <x:t xml:space="preserve">Versioned change log for this turn. Previous data sheets were preserved; new results are additions, not replacements.</x:t>
        </x:is>
      </x:c>
      <x:c r="B2" s="1" t="n"/>
      <x:c r="C2" s="1" t="n"/>
      <x:c r="D2" s="1" t="n"/>
      <x:c r="E2" s="1" t="n"/>
      <x:c r="F2" s="1" t="n"/>
    </x:row>
    <x:row r="4">
      <x:c r="A4" s="307" t="inlineStr">
        <x:is>
          <x:t xml:space="preserve">Audit trail</x:t>
        </x:is>
      </x:c>
      <x:c r="B4" s="1" t="n"/>
      <x:c r="C4" s="1" t="n"/>
      <x:c r="D4" s="1" t="n"/>
      <x:c r="E4" s="1" t="n"/>
      <x:c r="F4" s="1" t="n"/>
    </x:row>
    <x:row r="5" s="232" customFormat="1" ht="32" customHeight="1">
      <x:c r="A5" s="230" t="inlineStr">
        <x:is>
          <x:t xml:space="preserve">Step</x:t>
        </x:is>
      </x:c>
      <x:c r="B5" s="230" t="inlineStr">
        <x:is>
          <x:t xml:space="preserve">Action</x:t>
        </x:is>
      </x:c>
      <x:c r="C5" s="230" t="inlineStr">
        <x:is>
          <x:t xml:space="preserve">Result</x:t>
        </x:is>
      </x:c>
      <x:c r="D5" s="230" t="inlineStr">
        <x:is>
          <x:t xml:space="preserve">Data source</x:t>
        </x:is>
      </x:c>
      <x:c r="E5" s="230" t="inlineStr">
        <x:is>
          <x:t xml:space="preserve">Status</x:t>
        </x:is>
      </x:c>
      <x:c r="F5" s="230" t="inlineStr">
        <x:is>
          <x:t xml:space="preserve">Limit / next validation</x:t>
        </x:is>
      </x:c>
    </x:row>
    <x:row r="6">
      <x:c r="A6" s="234" t="n">
        <x:v>1</x:v>
      </x:c>
      <x:c r="B6" s="234" t="inlineStr">
        <x:is>
          <x:t xml:space="preserve">Search connected library and conversation files</x:t>
        </x:is>
      </x:c>
      <x:c r="C6" s="234" t="inlineStr">
        <x:is>
          <x:t xml:space="preserve">Found v0.9 workbook, master CSV, and v0.2 measurement script; materialized exact files locally.</x:t>
        </x:is>
      </x:c>
      <x:c r="D6" s="234" t="inlineStr">
        <x:is>
          <x:t xml:space="preserve">ChatGPT library file IDs; local SHA check</x:t>
        </x:is>
      </x:c>
      <x:c r="E6" s="234" t="inlineStr">
        <x:is>
          <x:t xml:space="preserve">PASS</x:t>
        </x:is>
      </x:c>
      <x:c r="F6" s="234" t="inlineStr">
        <x:is>
          <x:t xml:space="preserve">Master v0.9 preserved; no overwrite.</x:t>
        </x:is>
      </x:c>
    </x:row>
    <x:row r="7">
      <x:c r="A7" s="234" t="n">
        <x:v>2</x:v>
      </x:c>
      <x:c r="B7" s="234" t="inlineStr">
        <x:is>
          <x:t xml:space="preserve">Inspect connected GitHub repository trees</x:t>
        </x:is>
      </x:c>
      <x:c r="C7" s="234" t="inlineStr">
        <x:is>
          <x:t xml:space="preserve">Annotated repo contains 29 entries including v0.9, v0.3, CSV, and 26 annotated images. Source repo tree lists all 8 requested original JPEGs.</x:t>
        </x:is>
      </x:c>
      <x:c r="D7" s="234" t="inlineStr">
        <x:is>
          <x:t xml:space="preserve">mrfentmen/annotated-pages; scream314/cicada3301</x:t>
        </x:is>
      </x:c>
      <x:c r="E7" s="234" t="inlineStr">
        <x:is>
          <x:t xml:space="preserve">PASS</x:t>
        </x:is>
      </x:c>
      <x:c r="F7" s="234" t="inlineStr">
        <x:is>
          <x:t xml:space="preserve">Public tree inventory only; local images not downloaded.</x:t>
        </x:is>
      </x:c>
    </x:row>
    <x:row r="8">
      <x:c r="A8" s="234" t="n">
        <x:v>3</x:v>
      </x:c>
      <x:c r="B8" s="234" t="inlineStr">
        <x:is>
          <x:t xml:space="preserve">Recompute Git blob hashes for local inputs</x:t>
        </x:is>
      </x:c>
      <x:c r="C8" s="234" t="inlineStr">
        <x:is>
          <x:t xml:space="preserve">v0.9 workbook and CSV match public repository object IDs.</x:t>
        </x:is>
      </x:c>
      <x:c r="D8" s="234" t="inlineStr">
        <x:is>
          <x:t xml:space="preserve">Git blob SHA-1 over local bytes</x:t>
        </x:is>
      </x:c>
      <x:c r="E8" s="234" t="inlineStr">
        <x:is>
          <x:t xml:space="preserve">PASS</x:t>
        </x:is>
      </x:c>
      <x:c r="F8" s="234" t="inlineStr">
        <x:is>
          <x:t xml:space="preserve">Script is library-only in current inventory.</x:t>
        </x:is>
      </x:c>
    </x:row>
    <x:row r="9">
      <x:c r="A9" s="234" t="n">
        <x:v>4</x:v>
      </x:c>
      <x:c r="B9" s="234" t="inlineStr">
        <x:is>
          <x:t xml:space="preserve">Fetch and verify requested original scans</x:t>
        </x:is>
      </x:c>
      <x:c r="C9" s="234" t="inlineStr">
        <x:is>
          <x:t xml:space="preserve">All 8 exact byte streams hashed; hashes matched GitHub object IDs; SOF0 dimensions 2400×3600.</x:t>
        </x:is>
      </x:c>
      <x:c r="D9" s="234" t="inlineStr">
        <x:is>
          <x:t xml:space="preserve">GitHub connector base64 contents</x:t>
        </x:is>
      </x:c>
      <x:c r="E9" s="234" t="inlineStr">
        <x:is>
          <x:t xml:space="preserve">PASS</x:t>
        </x:is>
      </x:c>
      <x:c r="F9" s="234" t="inlineStr">
        <x:is>
          <x:t xml:space="preserve">Raw bytes could not be delivered to local Pillow filesystem.</x:t>
        </x:is>
      </x:c>
    </x:row>
    <x:row r="10">
      <x:c r="A10" s="234" t="n">
        <x:v>5</x:v>
      </x:c>
      <x:c r="B10" s="234" t="inlineStr">
        <x:is>
          <x:t xml:space="preserve">Compile existing measurement script</x:t>
        </x:is>
      </x:c>
      <x:c r="C10" s="234" t="inlineStr">
        <x:is>
          <x:t xml:space="preserve">Syntax compilation succeeded; Pillow 12.3.0 is available.</x:t>
        </x:is>
      </x:c>
      <x:c r="D10" s="234" t="inlineStr">
        <x:is>
          <x:t xml:space="preserve">measure_constellations_v0_2.py; Python runtime</x:t>
        </x:is>
      </x:c>
      <x:c r="E10" s="234" t="inlineStr">
        <x:is>
          <x:t xml:space="preserve">PASS</x:t>
        </x:is>
      </x:c>
      <x:c r="F10" s="234" t="inlineStr">
        <x:is>
          <x:t xml:space="preserve">Script expects local JPEG files; none were materialized.</x:t>
        </x:is>
      </x:c>
    </x:row>
    <x:row r="11">
      <x:c r="A11" s="234" t="n">
        <x:v>6</x:v>
      </x:c>
      <x:c r="B11" s="234" t="inlineStr">
        <x:is>
          <x:t xml:space="preserve">Recompute max-normalized signatures and control subsets</x:t>
        </x:is>
      </x:c>
      <x:c r="C11" s="234" t="inlineStr">
        <x:is>
          <x:t xml:space="preserve">3 target pairs and all 6 page-39 subsets independently recalculated from recorded coordinates.</x:t>
        </x:is>
      </x:c>
      <x:c r="D11" s="234" t="inlineStr">
        <x:is>
          <x:t xml:space="preserve">v0.9 Measured Centroids + Contextual Controls</x:t>
        </x:is>
      </x:c>
      <x:c r="E11" s="234" t="inlineStr">
        <x:is>
          <x:t xml:space="preserve">PASS — mathematical refit</x:t>
        </x:is>
      </x:c>
      <x:c r="F11" s="234" t="inlineStr">
        <x:is>
          <x:t xml:space="preserve">Inputs are inherited; this is not independent pixel extraction.</x:t>
        </x:is>
      </x:c>
    </x:row>
    <x:row r="12">
      <x:c r="A12" s="234" t="n">
        <x:v>7</x:v>
      </x:c>
      <x:c r="B12" s="234" t="inlineStr">
        <x:is>
          <x:t xml:space="preserve">Exhaustively refit point correspondences</x:t>
        </x:is>
      </x:c>
      <x:c r="C12" s="234" t="inlineStr">
        <x:is>
          <x:t xml:space="preserve">120 correspondences per pair per model; similarity/reflection model residuals recomputed.</x:t>
        </x:is>
      </x:c>
      <x:c r="D12" s="234" t="inlineStr">
        <x:is>
          <x:t xml:space="preserve">v0.9 Measured Centroids</x:t>
        </x:is>
      </x:c>
      <x:c r="E12" s="234" t="inlineStr">
        <x:is>
          <x:t xml:space="preserve">PASS — mathematical refit</x:t>
        </x:is>
      </x:c>
      <x:c r="F12" s="234" t="inlineStr">
        <x:is>
          <x:t xml:space="preserve">Must re-run after standard JPEG decode is feasible.</x:t>
        </x:is>
      </x:c>
    </x:row>
    <x:row r="13">
      <x:c r="A13" s="234" t="n">
        <x:v>8</x:v>
      </x:c>
      <x:c r="B13" s="234" t="inlineStr">
        <x:is>
          <x:t xml:space="preserve">Cipher relevance</x:t>
        </x:is>
      </x:c>
      <x:c r="C13" s="234" t="inlineStr">
        <x:is>
          <x:t xml:space="preserve">No point-to-rune mapping or held-out prediction tested successfully.</x:t>
        </x:is>
      </x:c>
      <x:c r="D13" s="234" t="inlineStr">
        <x:is>
          <x:t xml:space="preserve">Current evidence</x:t>
        </x:is>
      </x:c>
      <x:c r="E13" s="234" t="inlineStr">
        <x:is>
          <x:t xml:space="preserve">NOT ESTABLISHED</x:t>
        </x:is>
      </x:c>
      <x:c r="F13" s="234" t="inlineStr">
        <x:is>
          <x:t xml:space="preserve">Geometry recurrence alone is not evidence of a cipher.</x:t>
        </x:is>
      </x:c>
    </x:row>
  </x:sheetData>
  <x:mergeCells>
    <x:mergeCell ref="A2:F2"/>
    <x:mergeCell ref="A1:F1"/>
    <x:mergeCell ref="A4:F4"/>
  </x:mergeCells>
  <x:pageMargins left="0.7" right="0.7" top="0.75" bottom="0.75" header="0.3" footer="0.3"/>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Independent Pixel Centroids — Target Five-Dot Groups v1.1</x:t>
        </x:is>
      </x:c>
      <x:c r="B1" s="246" t="n"/>
      <x:c r="C1" s="246" t="n"/>
      <x:c r="D1" s="246" t="n"/>
      <x:c r="E1" s="246" t="n"/>
      <x:c r="F1" s="246" t="n"/>
      <x:c r="G1" s="246" t="n"/>
      <x:c r="H1" s="246" t="n"/>
      <x:c r="I1" s="246" t="n"/>
      <x:c r="J1" s="246" t="n"/>
      <x:c r="K1" s="246" t="n"/>
      <x:c r="L1" s="246" t="n"/>
      <x:c r="M1" s="246" t="n"/>
      <x:c r="N1" s="246" t="n"/>
      <x:c r="O1" s="246" t="n"/>
      <x:c r="P1" s="246" t="n"/>
      <x:c r="Q1" s="246" t="n"/>
      <x:c r="R1" s="246" t="n"/>
      <x:c r="S1" s="246" t="n"/>
      <x:c r="T1" s="246" t="n"/>
      <x:c r="U1" s="246" t="n"/>
      <x:c r="V1" s="246" t="n"/>
      <x:c r="W1" s="246" t="n"/>
    </x:row>
    <x:row r="2">
      <x:c r="A2" t="inlineStr">
        <x:is>
          <x:t xml:space="preserve">Source-raster centers from a separate JavaScript baseline-JPEG luma decoder. Primary threshold Y&lt;60; intensity-weighted center is recorded as a second estimator. All legacy sheets are preserved.</x:t>
        </x:is>
      </x:c>
    </x:row>
    <x:row r="4">
      <x:c r="A4" s="248" t="inlineStr">
        <x:is>
          <x:t xml:space="preserve">Page</x:t>
        </x:is>
      </x:c>
      <x:c r="B4" s="248" t="inlineStr">
        <x:is>
          <x:t xml:space="preserve">Provisional group class</x:t>
        </x:is>
      </x:c>
      <x:c r="C4" s="248" t="inlineStr">
        <x:is>
          <x:t xml:space="preserve">Dot label</x:t>
        </x:is>
      </x:c>
      <x:c r="D4" s="248" t="inlineStr">
        <x:is>
          <x:t xml:space="preserve">Physical position</x:t>
        </x:is>
      </x:c>
      <x:c r="E4" s="248" t="inlineStr">
        <x:is>
          <x:t xml:space="preserve">Source Git blob SHA-1</x:t>
        </x:is>
      </x:c>
      <x:c r="F4" s="248" t="inlineStr">
        <x:is>
          <x:t xml:space="preserve">Gray threshold (Y &lt; T)</x:t>
        </x:is>
      </x:c>
      <x:c r="G4" s="248" t="inlineStr">
        <x:is>
          <x:t xml:space="preserve">Threshold centroid X px</x:t>
        </x:is>
      </x:c>
      <x:c r="H4" s="248" t="inlineStr">
        <x:is>
          <x:t xml:space="preserve">Threshold centroid Y px</x:t>
        </x:is>
      </x:c>
      <x:c r="I4" s="248" t="inlineStr">
        <x:is>
          <x:t xml:space="preserve">Intensity-weighted centroid X px</x:t>
        </x:is>
      </x:c>
      <x:c r="J4" s="248" t="inlineStr">
        <x:is>
          <x:t xml:space="preserve">Intensity-weighted centroid Y px</x:t>
        </x:is>
      </x:c>
      <x:c r="K4" s="248" t="inlineStr">
        <x:is>
          <x:t xml:space="preserve">Estimator delta px</x:t>
        </x:is>
      </x:c>
      <x:c r="L4" s="248" t="inlineStr">
        <x:is>
          <x:t xml:space="preserve">Component area px²</x:t>
        </x:is>
      </x:c>
      <x:c r="M4" s="248" t="inlineStr">
        <x:is>
          <x:t xml:space="preserve">BBox X0 px</x:t>
        </x:is>
      </x:c>
      <x:c r="N4" s="248" t="inlineStr">
        <x:is>
          <x:t xml:space="preserve">BBox Y0 px</x:t>
        </x:is>
      </x:c>
      <x:c r="O4" s="248" t="inlineStr">
        <x:is>
          <x:t xml:space="preserve">BBox X1 px</x:t>
        </x:is>
      </x:c>
      <x:c r="P4" s="248" t="inlineStr">
        <x:is>
          <x:t xml:space="preserve">BBox Y1 px</x:t>
        </x:is>
      </x:c>
      <x:c r="Q4" s="248" t="inlineStr">
        <x:is>
          <x:t xml:space="preserve">BBox width px</x:t>
        </x:is>
      </x:c>
      <x:c r="R4" s="248" t="inlineStr">
        <x:is>
          <x:t xml:space="preserve">BBox height px</x:t>
        </x:is>
      </x:c>
      <x:c r="S4" s="248" t="inlineStr">
        <x:is>
          <x:t xml:space="preserve">X normalized</x:t>
        </x:is>
      </x:c>
      <x:c r="T4" s="248" t="inlineStr">
        <x:is>
          <x:t xml:space="preserve">Y normalized</x:t>
        </x:is>
      </x:c>
      <x:c r="U4" s="248" t="inlineStr">
        <x:is>
          <x:t xml:space="preserve">Delta to v0.9 centroid px</x:t>
        </x:is>
      </x:c>
      <x:c r="V4" s="248" t="inlineStr">
        <x:is>
          <x:t xml:space="preserve">ROI [x,y,w,h]</x:t>
        </x:is>
      </x:c>
      <x:c r="W4" s="248" t="inlineStr">
        <x:is>
          <x:t xml:space="preserve">Original source URL</x:t>
        </x:is>
      </x:c>
    </x:row>
    <x:row r="5">
      <x:c r="A5" t="n">
        <x:v>24</x:v>
      </x:c>
      <x:c r="B5" t="inlineStr">
        <x:is>
          <x:t xml:space="preserve">isolated five-dot target</x:t>
        </x:is>
      </x:c>
      <x:c r="C5" t="n">
        <x:v>1</x:v>
      </x:c>
      <x:c r="D5" t="inlineStr">
        <x:is>
          <x:t xml:space="preserve">lower-left</x:t>
        </x:is>
      </x:c>
      <x:c r="E5" t="inlineStr">
        <x:is>
          <x:t xml:space="preserve">2b4e09dbad1a9c602a2919864b1a84f49d7ff501</x:t>
        </x:is>
      </x:c>
      <x:c r="F5" t="n">
        <x:v>60</x:v>
      </x:c>
      <x:c r="G5" t="n">
        <x:v>796.9413</x:v>
      </x:c>
      <x:c r="H5" t="n">
        <x:v>3105.7733</x:v>
      </x:c>
      <x:c r="I5" t="n">
        <x:v>796.9127</x:v>
      </x:c>
      <x:c r="J5" t="n">
        <x:v>3105.7344</x:v>
      </x:c>
      <x:c r="K5" t="n">
        <x:v>0.04828219133386548</x:v>
      </x:c>
      <x:c r="L5" t="n">
        <x:v>3542</x:v>
      </x:c>
      <x:c r="M5" t="n">
        <x:v>763</x:v>
      </x:c>
      <x:c r="N5" t="n">
        <x:v>3071</x:v>
      </x:c>
      <x:c r="O5" t="n">
        <x:v>831</x:v>
      </x:c>
      <x:c r="P5" t="n">
        <x:v>3140</x:v>
      </x:c>
      <x:c r="Q5" t="n">
        <x:v>69</x:v>
      </x:c>
      <x:c r="R5" t="n">
        <x:v>70</x:v>
      </x:c>
      <x:c r="S5" t="n">
        <x:v>0.33205887</x:v>
      </x:c>
      <x:c r="T5" t="n">
        <x:v>0.8627148100000001</x:v>
      </x:c>
      <x:c r="U5" t="n">
        <x:v>2.529822121747517e-05</x:v>
      </x:c>
      <x:c r="V5" t="inlineStr">
        <x:is>
          <x:t xml:space="preserve">[650, 2700, 1050, 600]</x:t>
        </x:is>
      </x:c>
      <x:c r="W5" t="inlineStr">
        <x:is>
          <x:t xml:space="preserve">https://github.com/scream314/cicada3301/blob/master/assets/2014/liber-primus-complete/24.jpg</x:t>
        </x:is>
      </x:c>
    </x:row>
    <x:row r="6">
      <x:c r="A6" t="n">
        <x:v>24</x:v>
      </x:c>
      <x:c r="B6" t="inlineStr">
        <x:is>
          <x:t xml:space="preserve">isolated five-dot target</x:t>
        </x:is>
      </x:c>
      <x:c r="C6" t="n">
        <x:v>2</x:v>
      </x:c>
      <x:c r="D6" t="inlineStr">
        <x:is>
          <x:t xml:space="preserve">bottom / lower-middle</x:t>
        </x:is>
      </x:c>
      <x:c r="E6" t="inlineStr">
        <x:is>
          <x:t xml:space="preserve">2b4e09dbad1a9c602a2919864b1a84f49d7ff501</x:t>
        </x:is>
      </x:c>
      <x:c r="F6" t="n">
        <x:v>60</x:v>
      </x:c>
      <x:c r="G6" t="n">
        <x:v>992.5</x:v>
      </x:c>
      <x:c r="H6" t="n">
        <x:v>3166.6371</x:v>
      </x:c>
      <x:c r="I6" t="n">
        <x:v>992.4933</x:v>
      </x:c>
      <x:c r="J6" t="n">
        <x:v>3166.6546</x:v>
      </x:c>
      <x:c r="K6" t="n">
        <x:v>0.01873872994623082</x:v>
      </x:c>
      <x:c r="L6" t="n">
        <x:v>3560</x:v>
      </x:c>
      <x:c r="M6" t="n">
        <x:v>958</x:v>
      </x:c>
      <x:c r="N6" t="n">
        <x:v>3132</x:v>
      </x:c>
      <x:c r="O6" t="n">
        <x:v>1027</x:v>
      </x:c>
      <x:c r="P6" t="n">
        <x:v>3201</x:v>
      </x:c>
      <x:c r="Q6" t="n">
        <x:v>70</x:v>
      </x:c>
      <x:c r="R6" t="n">
        <x:v>70</x:v>
      </x:c>
      <x:c r="S6" t="n">
        <x:v>0.41354167</x:v>
      </x:c>
      <x:c r="T6" t="n">
        <x:v>0.87962142</x:v>
      </x:c>
      <x:c r="U6" t="n">
        <x:v>2.099999983329326e-05</x:v>
      </x:c>
      <x:c r="V6" t="inlineStr">
        <x:is>
          <x:t xml:space="preserve">[650, 2700, 1050, 600]</x:t>
        </x:is>
      </x:c>
      <x:c r="W6" t="inlineStr">
        <x:is>
          <x:t xml:space="preserve">https://github.com/scream314/cicada3301/blob/master/assets/2014/liber-primus-complete/24.jpg</x:t>
        </x:is>
      </x:c>
    </x:row>
    <x:row r="7">
      <x:c r="A7" t="n">
        <x:v>24</x:v>
      </x:c>
      <x:c r="B7" t="inlineStr">
        <x:is>
          <x:t xml:space="preserve">isolated five-dot target</x:t>
        </x:is>
      </x:c>
      <x:c r="C7" t="n">
        <x:v>3</x:v>
      </x:c>
      <x:c r="D7" t="inlineStr">
        <x:is>
          <x:t xml:space="preserve">lower-right</x:t>
        </x:is>
      </x:c>
      <x:c r="E7" t="inlineStr">
        <x:is>
          <x:t xml:space="preserve">2b4e09dbad1a9c602a2919864b1a84f49d7ff501</x:t>
        </x:is>
      </x:c>
      <x:c r="F7" t="n">
        <x:v>60</x:v>
      </x:c>
      <x:c r="G7" t="n">
        <x:v>1479.2647</x:v>
      </x:c>
      <x:c r="H7" t="n">
        <x:v>3127.5</x:v>
      </x:c>
      <x:c r="I7" t="n">
        <x:v>1479.3244</x:v>
      </x:c>
      <x:c r="J7" t="n">
        <x:v>3127.5</x:v>
      </x:c>
      <x:c r="K7" t="n">
        <x:v>0.05970000000002074</x:v>
      </x:c>
      <x:c r="L7" t="n">
        <x:v>3370</x:v>
      </x:c>
      <x:c r="M7" t="n">
        <x:v>1445</x:v>
      </x:c>
      <x:c r="N7" t="n">
        <x:v>3093</x:v>
      </x:c>
      <x:c r="O7" t="n">
        <x:v>1514</x:v>
      </x:c>
      <x:c r="P7" t="n">
        <x:v>3162</x:v>
      </x:c>
      <x:c r="Q7" t="n">
        <x:v>70</x:v>
      </x:c>
      <x:c r="R7" t="n">
        <x:v>70</x:v>
      </x:c>
      <x:c r="S7" t="n">
        <x:v>0.61636029</x:v>
      </x:c>
      <x:c r="T7" t="n">
        <x:v>0.86875</x:v>
      </x:c>
      <x:c r="U7" t="n">
        <x:v>1.199999996970291e-05</x:v>
      </x:c>
      <x:c r="V7" t="inlineStr">
        <x:is>
          <x:t xml:space="preserve">[650, 2700, 1050, 600]</x:t>
        </x:is>
      </x:c>
      <x:c r="W7" t="inlineStr">
        <x:is>
          <x:t xml:space="preserve">https://github.com/scream314/cicada3301/blob/master/assets/2014/liber-primus-complete/24.jpg</x:t>
        </x:is>
      </x:c>
    </x:row>
    <x:row r="8">
      <x:c r="A8" t="n">
        <x:v>24</x:v>
      </x:c>
      <x:c r="B8" t="inlineStr">
        <x:is>
          <x:t xml:space="preserve">isolated five-dot target</x:t>
        </x:is>
      </x:c>
      <x:c r="C8" t="n">
        <x:v>4</x:v>
      </x:c>
      <x:c r="D8" t="inlineStr">
        <x:is>
          <x:t xml:space="preserve">upper-right</x:t>
        </x:is>
      </x:c>
      <x:c r="E8" t="inlineStr">
        <x:is>
          <x:t xml:space="preserve">2b4e09dbad1a9c602a2919864b1a84f49d7ff501</x:t>
        </x:is>
      </x:c>
      <x:c r="F8" t="n">
        <x:v>60</x:v>
      </x:c>
      <x:c r="G8" t="n">
        <x:v>1527.1531</x:v>
      </x:c>
      <x:c r="H8" t="n">
        <x:v>2936.1531</x:v>
      </x:c>
      <x:c r="I8" t="n">
        <x:v>1527.2269</x:v>
      </x:c>
      <x:c r="J8" t="n">
        <x:v>2936.221</x:v>
      </x:c>
      <x:c r="K8" t="n">
        <x:v>0.1002838471538923</x:v>
      </x:c>
      <x:c r="L8" t="n">
        <x:v>3415</x:v>
      </x:c>
      <x:c r="M8" t="n">
        <x:v>1493</x:v>
      </x:c>
      <x:c r="N8" t="n">
        <x:v>2902</x:v>
      </x:c>
      <x:c r="O8" t="n">
        <x:v>1562</x:v>
      </x:c>
      <x:c r="P8" t="n">
        <x:v>2971</x:v>
      </x:c>
      <x:c r="Q8" t="n">
        <x:v>70</x:v>
      </x:c>
      <x:c r="R8" t="n">
        <x:v>70</x:v>
      </x:c>
      <x:c r="S8" t="n">
        <x:v>0.63631379</x:v>
      </x:c>
      <x:c r="T8" t="n">
        <x:v>0.81559808</x:v>
      </x:c>
      <x:c r="U8" t="n">
        <x:v>6.646803742449727e-05</x:v>
      </x:c>
      <x:c r="V8" t="inlineStr">
        <x:is>
          <x:t xml:space="preserve">[650, 2700, 1050, 600]</x:t>
        </x:is>
      </x:c>
      <x:c r="W8" t="inlineStr">
        <x:is>
          <x:t xml:space="preserve">https://github.com/scream314/cicada3301/blob/master/assets/2014/liber-primus-complete/24.jpg</x:t>
        </x:is>
      </x:c>
    </x:row>
    <x:row r="9">
      <x:c r="A9" t="n">
        <x:v>24</x:v>
      </x:c>
      <x:c r="B9" t="inlineStr">
        <x:is>
          <x:t xml:space="preserve">isolated five-dot target</x:t>
        </x:is>
      </x:c>
      <x:c r="C9" t="n">
        <x:v>5</x:v>
      </x:c>
      <x:c r="D9" t="inlineStr">
        <x:is>
          <x:t xml:space="preserve">upper-middle</x:t>
        </x:is>
      </x:c>
      <x:c r="E9" t="inlineStr">
        <x:is>
          <x:t xml:space="preserve">2b4e09dbad1a9c602a2919864b1a84f49d7ff501</x:t>
        </x:is>
      </x:c>
      <x:c r="F9" t="n">
        <x:v>60</x:v>
      </x:c>
      <x:c r="G9" t="n">
        <x:v>1296.9315</x:v>
      </x:c>
      <x:c r="H9" t="n">
        <x:v>2866.7889</x:v>
      </x:c>
      <x:c r="I9" t="n">
        <x:v>1296.9185</x:v>
      </x:c>
      <x:c r="J9" t="n">
        <x:v>2866.7258</x:v>
      </x:c>
      <x:c r="K9" t="n">
        <x:v>0.06442522797770227</x:v>
      </x:c>
      <x:c r="L9" t="n">
        <x:v>3415</x:v>
      </x:c>
      <x:c r="M9" t="n">
        <x:v>1263</x:v>
      </x:c>
      <x:c r="N9" t="n">
        <x:v>2832</x:v>
      </x:c>
      <x:c r="O9" t="n">
        <x:v>1331</x:v>
      </x:c>
      <x:c r="P9" t="n">
        <x:v>2901</x:v>
      </x:c>
      <x:c r="Q9" t="n">
        <x:v>69</x:v>
      </x:c>
      <x:c r="R9" t="n">
        <x:v>70</x:v>
      </x:c>
      <x:c r="S9" t="n">
        <x:v>0.54038812</x:v>
      </x:c>
      <x:c r="T9" t="n">
        <x:v>0.79633025</x:v>
      </x:c>
      <x:c r="U9" t="n">
        <x:v>3.499999984342139e-05</x:v>
      </x:c>
      <x:c r="V9" t="inlineStr">
        <x:is>
          <x:t xml:space="preserve">[650, 2700, 1050, 600]</x:t>
        </x:is>
      </x:c>
      <x:c r="W9" t="inlineStr">
        <x:is>
          <x:t xml:space="preserve">https://github.com/scream314/cicada3301/blob/master/assets/2014/liber-primus-complete/24.jpg</x:t>
        </x:is>
      </x:c>
    </x:row>
    <x:row r="10">
      <x:c r="A10" t="n">
        <x:v>40</x:v>
      </x:c>
      <x:c r="B10" t="inlineStr">
        <x:is>
          <x:t xml:space="preserve">isolated five-dot target</x:t>
        </x:is>
      </x:c>
      <x:c r="C10" t="n">
        <x:v>1</x:v>
      </x:c>
      <x:c r="D10" t="inlineStr">
        <x:is>
          <x:t xml:space="preserve">upper-left</x:t>
        </x:is>
      </x:c>
      <x:c r="E10" t="inlineStr">
        <x:is>
          <x:t xml:space="preserve">feee4eed2a4f6d66456ff5a977f43c7ef297f8eb</x:t>
        </x:is>
      </x:c>
      <x:c r="F10" t="n">
        <x:v>60</x:v>
      </x:c>
      <x:c r="G10" t="n">
        <x:v>796.9413</x:v>
      </x:c>
      <x:c r="H10" t="n">
        <x:v>568.2267000000001</x:v>
      </x:c>
      <x:c r="I10" t="n">
        <x:v>796.9096</x:v>
      </x:c>
      <x:c r="J10" t="n">
        <x:v>568.2621</x:v>
      </x:c>
      <x:c r="K10" t="n">
        <x:v>0.04751894359093784</x:v>
      </x:c>
      <x:c r="L10" t="n">
        <x:v>3542</x:v>
      </x:c>
      <x:c r="M10" t="n">
        <x:v>763</x:v>
      </x:c>
      <x:c r="N10" t="n">
        <x:v>534</x:v>
      </x:c>
      <x:c r="O10" t="n">
        <x:v>831</x:v>
      </x:c>
      <x:c r="P10" t="n">
        <x:v>603</x:v>
      </x:c>
      <x:c r="Q10" t="n">
        <x:v>69</x:v>
      </x:c>
      <x:c r="R10" t="n">
        <x:v>70</x:v>
      </x:c>
      <x:c r="S10" t="n">
        <x:v>0.33205887</x:v>
      </x:c>
      <x:c r="T10" t="n">
        <x:v>0.15784075</x:v>
      </x:c>
      <x:c r="U10" t="n">
        <x:v>0.0004242640686054295</x:v>
      </x:c>
      <x:c r="V10" t="inlineStr">
        <x:is>
          <x:t xml:space="preserve">[650, 400, 1050, 500]</x:t>
        </x:is>
      </x:c>
      <x:c r="W10" t="inlineStr">
        <x:is>
          <x:t xml:space="preserve">https://github.com/scream314/cicada3301/blob/master/assets/2014/liber-primus-complete/40.jpg</x:t>
        </x:is>
      </x:c>
    </x:row>
    <x:row r="11">
      <x:c r="A11" t="n">
        <x:v>40</x:v>
      </x:c>
      <x:c r="B11" t="inlineStr">
        <x:is>
          <x:t xml:space="preserve">isolated five-dot target</x:t>
        </x:is>
      </x:c>
      <x:c r="C11" t="n">
        <x:v>2</x:v>
      </x:c>
      <x:c r="D11" t="inlineStr">
        <x:is>
          <x:t xml:space="preserve">upper-middle</x:t>
        </x:is>
      </x:c>
      <x:c r="E11" t="inlineStr">
        <x:is>
          <x:t xml:space="preserve">feee4eed2a4f6d66456ff5a977f43c7ef297f8eb</x:t>
        </x:is>
      </x:c>
      <x:c r="F11" t="n">
        <x:v>60</x:v>
      </x:c>
      <x:c r="G11" t="n">
        <x:v>992.5</x:v>
      </x:c>
      <x:c r="H11" t="n">
        <x:v>507.3629</x:v>
      </x:c>
      <x:c r="I11" t="n">
        <x:v>992.494</x:v>
      </x:c>
      <x:c r="J11" t="n">
        <x:v>507.35</x:v>
      </x:c>
      <x:c r="K11" t="n">
        <x:v>0.01422708684164509</x:v>
      </x:c>
      <x:c r="L11" t="n">
        <x:v>3560</x:v>
      </x:c>
      <x:c r="M11" t="n">
        <x:v>958</x:v>
      </x:c>
      <x:c r="N11" t="n">
        <x:v>473</x:v>
      </x:c>
      <x:c r="O11" t="n">
        <x:v>1027</x:v>
      </x:c>
      <x:c r="P11" t="n">
        <x:v>542</x:v>
      </x:c>
      <x:c r="Q11" t="n">
        <x:v>70</x:v>
      </x:c>
      <x:c r="R11" t="n">
        <x:v>70</x:v>
      </x:c>
      <x:c r="S11" t="n">
        <x:v>0.41354167</x:v>
      </x:c>
      <x:c r="T11" t="n">
        <x:v>0.14093414</x:v>
      </x:c>
      <x:c r="U11" t="n">
        <x:v>9.999999997489795e-05</x:v>
      </x:c>
      <x:c r="V11" t="inlineStr">
        <x:is>
          <x:t xml:space="preserve">[650, 400, 1050, 500]</x:t>
        </x:is>
      </x:c>
      <x:c r="W11" t="inlineStr">
        <x:is>
          <x:t xml:space="preserve">https://github.com/scream314/cicada3301/blob/master/assets/2014/liber-primus-complete/40.jpg</x:t>
        </x:is>
      </x:c>
    </x:row>
    <x:row r="12">
      <x:c r="A12" t="n">
        <x:v>40</x:v>
      </x:c>
      <x:c r="B12" t="inlineStr">
        <x:is>
          <x:t xml:space="preserve">isolated five-dot target</x:t>
        </x:is>
      </x:c>
      <x:c r="C12" t="n">
        <x:v>3</x:v>
      </x:c>
      <x:c r="D12" t="inlineStr">
        <x:is>
          <x:t xml:space="preserve">lower-left</x:t>
        </x:is>
      </x:c>
      <x:c r="E12" t="inlineStr">
        <x:is>
          <x:t xml:space="preserve">feee4eed2a4f6d66456ff5a977f43c7ef297f8eb</x:t>
        </x:is>
      </x:c>
      <x:c r="F12" t="n">
        <x:v>60</x:v>
      </x:c>
      <x:c r="G12" t="n">
        <x:v>1296.9315</x:v>
      </x:c>
      <x:c r="H12" t="n">
        <x:v>807.2111</x:v>
      </x:c>
      <x:c r="I12" t="n">
        <x:v>1296.919</x:v>
      </x:c>
      <x:c r="J12" t="n">
        <x:v>807.279</x:v>
      </x:c>
      <x:c r="K12" t="n">
        <x:v>0.06904100231019708</x:v>
      </x:c>
      <x:c r="L12" t="n">
        <x:v>3415</x:v>
      </x:c>
      <x:c r="M12" t="n">
        <x:v>1263</x:v>
      </x:c>
      <x:c r="N12" t="n">
        <x:v>773</x:v>
      </x:c>
      <x:c r="O12" t="n">
        <x:v>1331</x:v>
      </x:c>
      <x:c r="P12" t="n">
        <x:v>842</x:v>
      </x:c>
      <x:c r="Q12" t="n">
        <x:v>69</x:v>
      </x:c>
      <x:c r="R12" t="n">
        <x:v>70</x:v>
      </x:c>
      <x:c r="S12" t="n">
        <x:v>0.54038812</x:v>
      </x:c>
      <x:c r="T12" t="n">
        <x:v>0.22422531</x:v>
      </x:c>
      <x:c r="U12" t="n">
        <x:v>0.0005099019512312826</x:v>
      </x:c>
      <x:c r="V12" t="inlineStr">
        <x:is>
          <x:t xml:space="preserve">[650, 400, 1050, 500]</x:t>
        </x:is>
      </x:c>
      <x:c r="W12" t="inlineStr">
        <x:is>
          <x:t xml:space="preserve">https://github.com/scream314/cicada3301/blob/master/assets/2014/liber-primus-complete/40.jpg</x:t>
        </x:is>
      </x:c>
    </x:row>
    <x:row r="13">
      <x:c r="A13" t="n">
        <x:v>40</x:v>
      </x:c>
      <x:c r="B13" t="inlineStr">
        <x:is>
          <x:t xml:space="preserve">isolated five-dot target</x:t>
        </x:is>
      </x:c>
      <x:c r="C13" t="n">
        <x:v>4</x:v>
      </x:c>
      <x:c r="D13" t="inlineStr">
        <x:is>
          <x:t xml:space="preserve">lower-right</x:t>
        </x:is>
      </x:c>
      <x:c r="E13" t="inlineStr">
        <x:is>
          <x:t xml:space="preserve">feee4eed2a4f6d66456ff5a977f43c7ef297f8eb</x:t>
        </x:is>
      </x:c>
      <x:c r="F13" t="n">
        <x:v>60</x:v>
      </x:c>
      <x:c r="G13" t="n">
        <x:v>1527.1536</x:v>
      </x:c>
      <x:c r="H13" t="n">
        <x:v>737.9389</x:v>
      </x:c>
      <x:c r="I13" t="n">
        <x:v>1527.229</x:v>
      </x:c>
      <x:c r="J13" t="n">
        <x:v>737.9301</x:v>
      </x:c>
      <x:c r="K13" t="n">
        <x:v>0.07591179091544906</x:v>
      </x:c>
      <x:c r="L13" t="n">
        <x:v>3406</x:v>
      </x:c>
      <x:c r="M13" t="n">
        <x:v>1493</x:v>
      </x:c>
      <x:c r="N13" t="n">
        <x:v>704</x:v>
      </x:c>
      <x:c r="O13" t="n">
        <x:v>1562</x:v>
      </x:c>
      <x:c r="P13" t="n">
        <x:v>772</x:v>
      </x:c>
      <x:c r="Q13" t="n">
        <x:v>70</x:v>
      </x:c>
      <x:c r="R13" t="n">
        <x:v>69</x:v>
      </x:c>
      <x:c r="S13" t="n">
        <x:v>0.636314</x:v>
      </x:c>
      <x:c r="T13" t="n">
        <x:v>0.20498303</x:v>
      </x:c>
      <x:c r="U13" t="n">
        <x:v>0.0004123105624582676</x:v>
      </x:c>
      <x:c r="V13" t="inlineStr">
        <x:is>
          <x:t xml:space="preserve">[650, 400, 1050, 500]</x:t>
        </x:is>
      </x:c>
      <x:c r="W13" t="inlineStr">
        <x:is>
          <x:t xml:space="preserve">https://github.com/scream314/cicada3301/blob/master/assets/2014/liber-primus-complete/40.jpg</x:t>
        </x:is>
      </x:c>
    </x:row>
    <x:row r="14">
      <x:c r="A14" t="n">
        <x:v>40</x:v>
      </x:c>
      <x:c r="B14" t="inlineStr">
        <x:is>
          <x:t xml:space="preserve">isolated five-dot target</x:t>
        </x:is>
      </x:c>
      <x:c r="C14" t="n">
        <x:v>5</x:v>
      </x:c>
      <x:c r="D14" t="inlineStr">
        <x:is>
          <x:t xml:space="preserve">upper-right</x:t>
        </x:is>
      </x:c>
      <x:c r="E14" t="inlineStr">
        <x:is>
          <x:t xml:space="preserve">feee4eed2a4f6d66456ff5a977f43c7ef297f8eb</x:t>
        </x:is>
      </x:c>
      <x:c r="F14" t="n">
        <x:v>60</x:v>
      </x:c>
      <x:c r="G14" t="n">
        <x:v>1479.2647</x:v>
      </x:c>
      <x:c r="H14" t="n">
        <x:v>546.5</x:v>
      </x:c>
      <x:c r="I14" t="n">
        <x:v>1479.3222</x:v>
      </x:c>
      <x:c r="J14" t="n">
        <x:v>546.5076</x:v>
      </x:c>
      <x:c r="K14" t="n">
        <x:v>0.05800008620695297</x:v>
      </x:c>
      <x:c r="L14" t="n">
        <x:v>3370</x:v>
      </x:c>
      <x:c r="M14" t="n">
        <x:v>1445</x:v>
      </x:c>
      <x:c r="N14" t="n">
        <x:v>512</x:v>
      </x:c>
      <x:c r="O14" t="n">
        <x:v>1514</x:v>
      </x:c>
      <x:c r="P14" t="n">
        <x:v>581</x:v>
      </x:c>
      <x:c r="Q14" t="n">
        <x:v>70</x:v>
      </x:c>
      <x:c r="R14" t="n">
        <x:v>70</x:v>
      </x:c>
      <x:c r="S14" t="n">
        <x:v>0.61636029</x:v>
      </x:c>
      <x:c r="T14" t="n">
        <x:v>0.15180556</x:v>
      </x:c>
      <x:c r="U14" t="n">
        <x:v>0.0003000000001520675</x:v>
      </x:c>
      <x:c r="V14" t="inlineStr">
        <x:is>
          <x:t xml:space="preserve">[650, 400, 1050, 500]</x:t>
        </x:is>
      </x:c>
      <x:c r="W14" t="inlineStr">
        <x:is>
          <x:t xml:space="preserve">https://github.com/scream314/cicada3301/blob/master/assets/2014/liber-primus-complete/40.jpg</x:t>
        </x:is>
      </x:c>
    </x:row>
    <x:row r="15">
      <x:c r="A15" t="n">
        <x:v>73</x:v>
      </x:c>
      <x:c r="B15" t="inlineStr">
        <x:is>
          <x:t xml:space="preserve">isolated five-dot target</x:t>
        </x:is>
      </x:c>
      <x:c r="C15" t="n">
        <x:v>1</x:v>
      </x:c>
      <x:c r="D15" t="inlineStr">
        <x:is>
          <x:t xml:space="preserve">upper-middle</x:t>
        </x:is>
      </x:c>
      <x:c r="E15" t="inlineStr">
        <x:is>
          <x:t xml:space="preserve">afa3428764199ddf590baf0c055c8caedc079cb1</x:t>
        </x:is>
      </x:c>
      <x:c r="F15" t="n">
        <x:v>60</x:v>
      </x:c>
      <x:c r="G15" t="n">
        <x:v>1103.9313</x:v>
      </x:c>
      <x:c r="H15" t="n">
        <x:v>2447.221</x:v>
      </x:c>
      <x:c r="I15" t="n">
        <x:v>1103.9159</x:v>
      </x:c>
      <x:c r="J15" t="n">
        <x:v>2447.2824</x:v>
      </x:c>
      <x:c r="K15" t="n">
        <x:v>0.06330181671963274</x:v>
      </x:c>
      <x:c r="L15" t="n">
        <x:v>3407</x:v>
      </x:c>
      <x:c r="M15" t="n">
        <x:v>1070</x:v>
      </x:c>
      <x:c r="N15" t="n">
        <x:v>2413</x:v>
      </x:c>
      <x:c r="O15" t="n">
        <x:v>1138</x:v>
      </x:c>
      <x:c r="P15" t="n">
        <x:v>2482</x:v>
      </x:c>
      <x:c r="Q15" t="n">
        <x:v>69</x:v>
      </x:c>
      <x:c r="R15" t="n">
        <x:v>70</x:v>
      </x:c>
      <x:c r="S15" t="n">
        <x:v>0.45997137</x:v>
      </x:c>
      <x:c r="T15" t="n">
        <x:v>0.67978361</x:v>
      </x:c>
      <x:c r="U15" t="n">
        <x:v>0.0002999999999246938</x:v>
      </x:c>
      <x:c r="V15" t="inlineStr">
        <x:is>
          <x:t xml:space="preserve">[750, 2290, 1020, 620]</x:t>
        </x:is>
      </x:c>
      <x:c r="W15" t="inlineStr">
        <x:is>
          <x:t xml:space="preserve">https://github.com/scream314/cicada3301/blob/master/assets/2014/liber-primus-complete/73.jpg</x:t>
        </x:is>
      </x:c>
    </x:row>
    <x:row r="16">
      <x:c r="A16" t="n">
        <x:v>73</x:v>
      </x:c>
      <x:c r="B16" t="inlineStr">
        <x:is>
          <x:t xml:space="preserve">isolated five-dot target</x:t>
        </x:is>
      </x:c>
      <x:c r="C16" t="n">
        <x:v>2</x:v>
      </x:c>
      <x:c r="D16" t="inlineStr">
        <x:is>
          <x:t xml:space="preserve">upper-left</x:t>
        </x:is>
      </x:c>
      <x:c r="E16" t="inlineStr">
        <x:is>
          <x:t xml:space="preserve">afa3428764199ddf590baf0c055c8caedc079cb1</x:t>
        </x:is>
      </x:c>
      <x:c r="F16" t="n">
        <x:v>60</x:v>
      </x:c>
      <x:c r="G16" t="n">
        <x:v>873.2673</x:v>
      </x:c>
      <x:c r="H16" t="n">
        <x:v>2517</x:v>
      </x:c>
      <x:c r="I16" t="n">
        <x:v>873.3198</x:v>
      </x:c>
      <x:c r="J16" t="n">
        <x:v>2516.992</x:v>
      </x:c>
      <x:c r="K16" t="n">
        <x:v>0.05310602602339896</x:v>
      </x:c>
      <x:c r="L16" t="n">
        <x:v>3408</x:v>
      </x:c>
      <x:c r="M16" t="n">
        <x:v>839</x:v>
      </x:c>
      <x:c r="N16" t="n">
        <x:v>2483</x:v>
      </x:c>
      <x:c r="O16" t="n">
        <x:v>908</x:v>
      </x:c>
      <x:c r="P16" t="n">
        <x:v>2551</x:v>
      </x:c>
      <x:c r="Q16" t="n">
        <x:v>70</x:v>
      </x:c>
      <x:c r="R16" t="n">
        <x:v>69</x:v>
      </x:c>
      <x:c r="S16" t="n">
        <x:v>0.36386137</x:v>
      </x:c>
      <x:c r="T16" t="n">
        <x:v>0.69916667</x:v>
      </x:c>
      <x:c r="U16" t="n">
        <x:v>0.0002999999999246938</x:v>
      </x:c>
      <x:c r="V16" t="inlineStr">
        <x:is>
          <x:t xml:space="preserve">[750, 2290, 1020, 620]</x:t>
        </x:is>
      </x:c>
      <x:c r="W16" t="inlineStr">
        <x:is>
          <x:t xml:space="preserve">https://github.com/scream314/cicada3301/blob/master/assets/2014/liber-primus-complete/73.jpg</x:t>
        </x:is>
      </x:c>
    </x:row>
    <x:row r="17">
      <x:c r="A17" t="n">
        <x:v>73</x:v>
      </x:c>
      <x:c r="B17" t="inlineStr">
        <x:is>
          <x:t xml:space="preserve">isolated five-dot target</x:t>
        </x:is>
      </x:c>
      <x:c r="C17" t="n">
        <x:v>3</x:v>
      </x:c>
      <x:c r="D17" t="inlineStr">
        <x:is>
          <x:t xml:space="preserve">lower-left</x:t>
        </x:is>
      </x:c>
      <x:c r="E17" t="inlineStr">
        <x:is>
          <x:t xml:space="preserve">afa3428764199ddf590baf0c055c8caedc079cb1</x:t>
        </x:is>
      </x:c>
      <x:c r="F17" t="n">
        <x:v>60</x:v>
      </x:c>
      <x:c r="G17" t="n">
        <x:v>921.1536</x:v>
      </x:c>
      <x:c r="H17" t="n">
        <x:v>2708.0611</x:v>
      </x:c>
      <x:c r="I17" t="n">
        <x:v>921.2221</x:v>
      </x:c>
      <x:c r="J17" t="n">
        <x:v>2708.0753</x:v>
      </x:c>
      <x:c r="K17" t="n">
        <x:v>0.06995634352936282</x:v>
      </x:c>
      <x:c r="L17" t="n">
        <x:v>3406</x:v>
      </x:c>
      <x:c r="M17" t="n">
        <x:v>887</x:v>
      </x:c>
      <x:c r="N17" t="n">
        <x:v>2674</x:v>
      </x:c>
      <x:c r="O17" t="n">
        <x:v>956</x:v>
      </x:c>
      <x:c r="P17" t="n">
        <x:v>2742</x:v>
      </x:c>
      <x:c r="Q17" t="n">
        <x:v>70</x:v>
      </x:c>
      <x:c r="R17" t="n">
        <x:v>69</x:v>
      </x:c>
      <x:c r="S17" t="n">
        <x:v>0.383814</x:v>
      </x:c>
      <x:c r="T17" t="n">
        <x:v>0.7522391899999999</x:v>
      </x:c>
      <x:c r="U17" t="n">
        <x:v>0.0004123105625134139</x:v>
      </x:c>
      <x:c r="V17" t="inlineStr">
        <x:is>
          <x:t xml:space="preserve">[750, 2290, 1020, 620]</x:t>
        </x:is>
      </x:c>
      <x:c r="W17" t="inlineStr">
        <x:is>
          <x:t xml:space="preserve">https://github.com/scream314/cicada3301/blob/master/assets/2014/liber-primus-complete/73.jpg</x:t>
        </x:is>
      </x:c>
    </x:row>
    <x:row r="18">
      <x:c r="A18" t="n">
        <x:v>73</x:v>
      </x:c>
      <x:c r="B18" t="inlineStr">
        <x:is>
          <x:t xml:space="preserve">isolated five-dot target</x:t>
        </x:is>
      </x:c>
      <x:c r="C18" t="n">
        <x:v>4</x:v>
      </x:c>
      <x:c r="D18" t="inlineStr">
        <x:is>
          <x:t xml:space="preserve">lower-right</x:t>
        </x:is>
      </x:c>
      <x:c r="E18" t="inlineStr">
        <x:is>
          <x:t xml:space="preserve">afa3428764199ddf590baf0c055c8caedc079cb1</x:t>
        </x:is>
      </x:c>
      <x:c r="F18" t="n">
        <x:v>60</x:v>
      </x:c>
      <x:c r="G18" t="n">
        <x:v>1603.9264</x:v>
      </x:c>
      <x:c r="H18" t="n">
        <x:v>2686.5</x:v>
      </x:c>
      <x:c r="I18" t="n">
        <x:v>1603.9054</x:v>
      </x:c>
      <x:c r="J18" t="n">
        <x:v>2686.5066</x:v>
      </x:c>
      <x:c r="K18" t="n">
        <x:v>0.02201272359342171</x:v>
      </x:c>
      <x:c r="L18" t="n">
        <x:v>3532</x:v>
      </x:c>
      <x:c r="M18" t="n">
        <x:v>1570</x:v>
      </x:c>
      <x:c r="N18" t="n">
        <x:v>2652</x:v>
      </x:c>
      <x:c r="O18" t="n">
        <x:v>1638</x:v>
      </x:c>
      <x:c r="P18" t="n">
        <x:v>2721</x:v>
      </x:c>
      <x:c r="Q18" t="n">
        <x:v>69</x:v>
      </x:c>
      <x:c r="R18" t="n">
        <x:v>70</x:v>
      </x:c>
      <x:c r="S18" t="n">
        <x:v>0.66830267</x:v>
      </x:c>
      <x:c r="T18" t="n">
        <x:v>0.74625</x:v>
      </x:c>
      <x:c r="U18" t="n">
        <x:v>0.0004000000001269655</x:v>
      </x:c>
      <x:c r="V18" t="inlineStr">
        <x:is>
          <x:t xml:space="preserve">[750, 2290, 1020, 620]</x:t>
        </x:is>
      </x:c>
      <x:c r="W18" t="inlineStr">
        <x:is>
          <x:t xml:space="preserve">https://github.com/scream314/cicada3301/blob/master/assets/2014/liber-primus-complete/73.jpg</x:t>
        </x:is>
      </x:c>
    </x:row>
    <x:row r="19">
      <x:c r="A19" t="n">
        <x:v>73</x:v>
      </x:c>
      <x:c r="B19" t="inlineStr">
        <x:is>
          <x:t xml:space="preserve">isolated five-dot target</x:t>
        </x:is>
      </x:c>
      <x:c r="C19" t="n">
        <x:v>5</x:v>
      </x:c>
      <x:c r="D19" t="inlineStr">
        <x:is>
          <x:t xml:space="preserve">bottom / lower-middle</x:t>
        </x:is>
      </x:c>
      <x:c r="E19" t="inlineStr">
        <x:is>
          <x:t xml:space="preserve">afa3428764199ddf590baf0c055c8caedc079cb1</x:t>
        </x:is>
      </x:c>
      <x:c r="F19" t="n">
        <x:v>60</x:v>
      </x:c>
      <x:c r="G19" t="n">
        <x:v>1408.0659</x:v>
      </x:c>
      <x:c r="H19" t="n">
        <x:v>2747.2819</x:v>
      </x:c>
      <x:c r="I19" t="n">
        <x:v>1408.0826</x:v>
      </x:c>
      <x:c r="J19" t="n">
        <x:v>2747.3069</x:v>
      </x:c>
      <x:c r="K19" t="n">
        <x:v>0.03006476342832636</x:v>
      </x:c>
      <x:c r="L19" t="n">
        <x:v>3551</x:v>
      </x:c>
      <x:c r="M19" t="n">
        <x:v>1374</x:v>
      </x:c>
      <x:c r="N19" t="n">
        <x:v>2713</x:v>
      </x:c>
      <x:c r="O19" t="n">
        <x:v>1442</x:v>
      </x:c>
      <x:c r="P19" t="n">
        <x:v>2782</x:v>
      </x:c>
      <x:c r="Q19" t="n">
        <x:v>69</x:v>
      </x:c>
      <x:c r="R19" t="n">
        <x:v>70</x:v>
      </x:c>
      <x:c r="S19" t="n">
        <x:v>0.58669413</x:v>
      </x:c>
      <x:c r="T19" t="n">
        <x:v>0.7631338600000001</x:v>
      </x:c>
      <x:c r="U19" t="n">
        <x:v>0.0001414213563625873</x:v>
      </x:c>
      <x:c r="V19" t="inlineStr">
        <x:is>
          <x:t xml:space="preserve">[750, 2290, 1020, 620]</x:t>
        </x:is>
      </x:c>
      <x:c r="W19" t="inlineStr">
        <x:is>
          <x:t xml:space="preserve">https://github.com/scream314/cicada3301/blob/master/assets/2014/liber-primus-complete/73.jpg</x:t>
        </x:is>
      </x:c>
    </x:row>
  </x:sheetData>
  <x:pageMargins left="0.7" right="0.7" top="0.75" bottom="0.75" header="0.3" footer="0.3"/>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Threshold Sensitivity — New Decoder v1.1</x:t>
        </x:is>
      </x:c>
      <x:c r="B1" s="246" t="n"/>
      <x:c r="C1" s="246" t="n"/>
      <x:c r="D1" s="246" t="n"/>
      <x:c r="E1" s="246" t="n"/>
      <x:c r="F1" s="246" t="n"/>
      <x:c r="G1" s="246" t="n"/>
      <x:c r="H1" s="246" t="n"/>
      <x:c r="I1" s="246" t="n"/>
      <x:c r="J1" s="246" t="n"/>
      <x:c r="K1" s="246" t="n"/>
      <x:c r="L1" s="246" t="n"/>
      <x:c r="M1" s="246" t="n"/>
      <x:c r="N1" s="246" t="n"/>
      <x:c r="O1" s="246" t="n"/>
      <x:c r="P1" s="246" t="n"/>
      <x:c r="Q1" s="246" t="n"/>
      <x:c r="R1" s="246" t="n"/>
    </x:row>
    <x:row r="2">
      <x:c r="A2" t="inlineStr">
        <x:is>
          <x:t xml:space="preserve">All five target dots were found at T=40,60,80,100 on pages 24,40,73. Threshold coordinates here are rounded to 0.001 source pixel as emitted by the decoder.</x:t>
        </x:is>
      </x:c>
    </x:row>
    <x:row r="4">
      <x:c r="A4" s="248" t="inlineStr">
        <x:is>
          <x:t xml:space="preserve">Page</x:t>
        </x:is>
      </x:c>
      <x:c r="B4" s="248" t="inlineStr">
        <x:is>
          <x:t xml:space="preserve">Group class</x:t>
        </x:is>
      </x:c>
      <x:c r="C4" s="248" t="inlineStr">
        <x:is>
          <x:t xml:space="preserve">Dot label</x:t>
        </x:is>
      </x:c>
      <x:c r="D4" s="248" t="inlineStr">
        <x:is>
          <x:t xml:space="preserve">Gray threshold</x:t>
        </x:is>
      </x:c>
      <x:c r="E4" s="248" t="inlineStr">
        <x:is>
          <x:t xml:space="preserve">Centroid X px (rounded 0.001)</x:t>
        </x:is>
      </x:c>
      <x:c r="F4" s="248" t="inlineStr">
        <x:is>
          <x:t xml:space="preserve">Centroid Y px (rounded 0.001)</x:t>
        </x:is>
      </x:c>
      <x:c r="G4" s="248" t="inlineStr">
        <x:is>
          <x:t xml:space="preserve">Component area px²</x:t>
        </x:is>
      </x:c>
      <x:c r="H4" s="248" t="inlineStr">
        <x:is>
          <x:t xml:space="preserve">BBox X0 px</x:t>
        </x:is>
      </x:c>
      <x:c r="I4" s="248" t="inlineStr">
        <x:is>
          <x:t xml:space="preserve">BBox Y0 px</x:t>
        </x:is>
      </x:c>
      <x:c r="J4" s="248" t="inlineStr">
        <x:is>
          <x:t xml:space="preserve">BBox X1 px</x:t>
        </x:is>
      </x:c>
      <x:c r="K4" s="248" t="inlineStr">
        <x:is>
          <x:t xml:space="preserve">BBox Y1 px</x:t>
        </x:is>
      </x:c>
      <x:c r="L4" s="248" t="inlineStr">
        <x:is>
          <x:t xml:space="preserve">BBox width px</x:t>
        </x:is>
      </x:c>
      <x:c r="M4" s="248" t="inlineStr">
        <x:is>
          <x:t xml:space="preserve">BBox height px</x:t>
        </x:is>
      </x:c>
      <x:c r="N4" s="248" t="inlineStr">
        <x:is>
          <x:t xml:space="preserve">Method</x:t>
        </x:is>
      </x:c>
      <x:c r="O4" s="248" t="inlineStr">
        <x:is>
          <x:t xml:space="preserve">Source Git blob SHA-1</x:t>
        </x:is>
      </x:c>
      <x:c r="P4" s="248" t="inlineStr">
        <x:is>
          <x:t xml:space="preserve">ROI [x,y,w,h]</x:t>
        </x:is>
      </x:c>
      <x:c r="Q4" s="248" t="inlineStr">
        <x:is>
          <x:t xml:space="preserve">X normalized</x:t>
        </x:is>
      </x:c>
      <x:c r="R4" s="248" t="inlineStr">
        <x:is>
          <x:t xml:space="preserve">Y normalized</x:t>
        </x:is>
      </x:c>
    </x:row>
    <x:row r="5">
      <x:c r="A5" t="n">
        <x:v>24</x:v>
      </x:c>
      <x:c r="B5" t="inlineStr">
        <x:is>
          <x:t xml:space="preserve">isolated five-dot target</x:t>
        </x:is>
      </x:c>
      <x:c r="C5" t="n">
        <x:v>1</x:v>
      </x:c>
      <x:c r="D5" t="n">
        <x:v>40</x:v>
      </x:c>
      <x:c r="E5" t="n">
        <x:v>796.938</x:v>
      </x:c>
      <x:c r="F5" t="n">
        <x:v>3105.88</x:v>
      </x:c>
      <x:c r="G5" t="n">
        <x:v>3443</x:v>
      </x:c>
      <x:c r="H5" t="n">
        <x:v>763</x:v>
      </x:c>
      <x:c r="I5" t="n">
        <x:v>3071</x:v>
      </x:c>
      <x:c r="J5" t="n">
        <x:v>831</x:v>
      </x:c>
      <x:c r="K5" t="n">
        <x:v>3140</x:v>
      </x:c>
      <x:c r="L5" t="n">
        <x:v>69</x:v>
      </x:c>
      <x:c r="M5" t="n">
        <x:v>70</x:v>
      </x:c>
      <x:c r="N5" t="inlineStr">
        <x:is>
          <x:t xml:space="preserve">8-connected dark component centroid; new JS baseline-JPEG Y decoder</x:t>
        </x:is>
      </x:c>
      <x:c r="O5" t="inlineStr">
        <x:is>
          <x:t xml:space="preserve">2b4e09dbad1a9c602a2919864b1a84f49d7ff501</x:t>
        </x:is>
      </x:c>
      <x:c r="P5" t="inlineStr">
        <x:is>
          <x:t xml:space="preserve">[650, 2700, 1050, 600]</x:t>
        </x:is>
      </x:c>
      <x:c r="Q5" t="n">
        <x:v>0.3320575</x:v>
      </x:c>
      <x:c r="R5" t="n">
        <x:v>0.8627444399999999</x:v>
      </x:c>
    </x:row>
    <x:row r="6">
      <x:c r="A6" t="n">
        <x:v>24</x:v>
      </x:c>
      <x:c r="B6" t="inlineStr">
        <x:is>
          <x:t xml:space="preserve">isolated five-dot target</x:t>
        </x:is>
      </x:c>
      <x:c r="C6" t="n">
        <x:v>2</x:v>
      </x:c>
      <x:c r="D6" t="n">
        <x:v>40</x:v>
      </x:c>
      <x:c r="E6" t="n">
        <x:v>992.504</x:v>
      </x:c>
      <x:c r="F6" t="n">
        <x:v>3166.728</x:v>
      </x:c>
      <x:c r="G6" t="n">
        <x:v>3403</x:v>
      </x:c>
      <x:c r="H6" t="n">
        <x:v>958</x:v>
      </x:c>
      <x:c r="I6" t="n">
        <x:v>3132</x:v>
      </x:c>
      <x:c r="J6" t="n">
        <x:v>1027</x:v>
      </x:c>
      <x:c r="K6" t="n">
        <x:v>3201</x:v>
      </x:c>
      <x:c r="L6" t="n">
        <x:v>70</x:v>
      </x:c>
      <x:c r="M6" t="n">
        <x:v>70</x:v>
      </x:c>
      <x:c r="N6" t="inlineStr">
        <x:is>
          <x:t xml:space="preserve">8-connected dark component centroid; new JS baseline-JPEG Y decoder</x:t>
        </x:is>
      </x:c>
      <x:c r="O6" t="inlineStr">
        <x:is>
          <x:t xml:space="preserve">2b4e09dbad1a9c602a2919864b1a84f49d7ff501</x:t>
        </x:is>
      </x:c>
      <x:c r="P6" t="inlineStr">
        <x:is>
          <x:t xml:space="preserve">[650, 2700, 1050, 600]</x:t>
        </x:is>
      </x:c>
      <x:c r="Q6" t="n">
        <x:v>0.41354333</x:v>
      </x:c>
      <x:c r="R6" t="n">
        <x:v>0.87964667</x:v>
      </x:c>
    </x:row>
    <x:row r="7">
      <x:c r="A7" t="n">
        <x:v>24</x:v>
      </x:c>
      <x:c r="B7" t="inlineStr">
        <x:is>
          <x:t xml:space="preserve">isolated five-dot target</x:t>
        </x:is>
      </x:c>
      <x:c r="C7" t="n">
        <x:v>3</x:v>
      </x:c>
      <x:c r="D7" t="n">
        <x:v>40</x:v>
      </x:c>
      <x:c r="E7" t="n">
        <x:v>1479.265</x:v>
      </x:c>
      <x:c r="F7" t="n">
        <x:v>3127.5</x:v>
      </x:c>
      <x:c r="G7" t="n">
        <x:v>3370</x:v>
      </x:c>
      <x:c r="H7" t="n">
        <x:v>1445</x:v>
      </x:c>
      <x:c r="I7" t="n">
        <x:v>3093</x:v>
      </x:c>
      <x:c r="J7" t="n">
        <x:v>1514</x:v>
      </x:c>
      <x:c r="K7" t="n">
        <x:v>3162</x:v>
      </x:c>
      <x:c r="L7" t="n">
        <x:v>70</x:v>
      </x:c>
      <x:c r="M7" t="n">
        <x:v>70</x:v>
      </x:c>
      <x:c r="N7" t="inlineStr">
        <x:is>
          <x:t xml:space="preserve">8-connected dark component centroid; new JS baseline-JPEG Y decoder</x:t>
        </x:is>
      </x:c>
      <x:c r="O7" t="inlineStr">
        <x:is>
          <x:t xml:space="preserve">2b4e09dbad1a9c602a2919864b1a84f49d7ff501</x:t>
        </x:is>
      </x:c>
      <x:c r="P7" t="inlineStr">
        <x:is>
          <x:t xml:space="preserve">[650, 2700, 1050, 600]</x:t>
        </x:is>
      </x:c>
      <x:c r="Q7" t="n">
        <x:v>0.61636042</x:v>
      </x:c>
      <x:c r="R7" t="n">
        <x:v>0.86875</x:v>
      </x:c>
    </x:row>
    <x:row r="8">
      <x:c r="A8" t="n">
        <x:v>24</x:v>
      </x:c>
      <x:c r="B8" t="inlineStr">
        <x:is>
          <x:t xml:space="preserve">isolated five-dot target</x:t>
        </x:is>
      </x:c>
      <x:c r="C8" t="n">
        <x:v>4</x:v>
      </x:c>
      <x:c r="D8" t="n">
        <x:v>40</x:v>
      </x:c>
      <x:c r="E8" t="n">
        <x:v>1527.153</x:v>
      </x:c>
      <x:c r="F8" t="n">
        <x:v>2936.153</x:v>
      </x:c>
      <x:c r="G8" t="n">
        <x:v>3415</x:v>
      </x:c>
      <x:c r="H8" t="n">
        <x:v>1493</x:v>
      </x:c>
      <x:c r="I8" t="n">
        <x:v>2902</x:v>
      </x:c>
      <x:c r="J8" t="n">
        <x:v>1562</x:v>
      </x:c>
      <x:c r="K8" t="n">
        <x:v>2971</x:v>
      </x:c>
      <x:c r="L8" t="n">
        <x:v>70</x:v>
      </x:c>
      <x:c r="M8" t="n">
        <x:v>70</x:v>
      </x:c>
      <x:c r="N8" t="inlineStr">
        <x:is>
          <x:t xml:space="preserve">8-connected dark component centroid; new JS baseline-JPEG Y decoder</x:t>
        </x:is>
      </x:c>
      <x:c r="O8" t="inlineStr">
        <x:is>
          <x:t xml:space="preserve">2b4e09dbad1a9c602a2919864b1a84f49d7ff501</x:t>
        </x:is>
      </x:c>
      <x:c r="P8" t="inlineStr">
        <x:is>
          <x:t xml:space="preserve">[650, 2700, 1050, 600]</x:t>
        </x:is>
      </x:c>
      <x:c r="Q8" t="n">
        <x:v>0.63631375</x:v>
      </x:c>
      <x:c r="R8" t="n">
        <x:v>0.81559806</x:v>
      </x:c>
    </x:row>
    <x:row r="9">
      <x:c r="A9" t="n">
        <x:v>24</x:v>
      </x:c>
      <x:c r="B9" t="inlineStr">
        <x:is>
          <x:t xml:space="preserve">isolated five-dot target</x:t>
        </x:is>
      </x:c>
      <x:c r="C9" t="n">
        <x:v>5</x:v>
      </x:c>
      <x:c r="D9" t="n">
        <x:v>40</x:v>
      </x:c>
      <x:c r="E9" t="n">
        <x:v>1296.931</x:v>
      </x:c>
      <x:c r="F9" t="n">
        <x:v>2866.789</x:v>
      </x:c>
      <x:c r="G9" t="n">
        <x:v>3415</x:v>
      </x:c>
      <x:c r="H9" t="n">
        <x:v>1263</x:v>
      </x:c>
      <x:c r="I9" t="n">
        <x:v>2832</x:v>
      </x:c>
      <x:c r="J9" t="n">
        <x:v>1331</x:v>
      </x:c>
      <x:c r="K9" t="n">
        <x:v>2901</x:v>
      </x:c>
      <x:c r="L9" t="n">
        <x:v>69</x:v>
      </x:c>
      <x:c r="M9" t="n">
        <x:v>70</x:v>
      </x:c>
      <x:c r="N9" t="inlineStr">
        <x:is>
          <x:t xml:space="preserve">8-connected dark component centroid; new JS baseline-JPEG Y decoder</x:t>
        </x:is>
      </x:c>
      <x:c r="O9" t="inlineStr">
        <x:is>
          <x:t xml:space="preserve">2b4e09dbad1a9c602a2919864b1a84f49d7ff501</x:t>
        </x:is>
      </x:c>
      <x:c r="P9" t="inlineStr">
        <x:is>
          <x:t xml:space="preserve">[650, 2700, 1050, 600]</x:t>
        </x:is>
      </x:c>
      <x:c r="Q9" t="n">
        <x:v>0.54038792</x:v>
      </x:c>
      <x:c r="R9" t="n">
        <x:v>0.7963302799999999</x:v>
      </x:c>
    </x:row>
    <x:row r="10">
      <x:c r="A10" t="n">
        <x:v>24</x:v>
      </x:c>
      <x:c r="B10" t="inlineStr">
        <x:is>
          <x:t xml:space="preserve">isolated five-dot target</x:t>
        </x:is>
      </x:c>
      <x:c r="C10" t="n">
        <x:v>1</x:v>
      </x:c>
      <x:c r="D10" t="n">
        <x:v>60</x:v>
      </x:c>
      <x:c r="E10" t="n">
        <x:v>796.941</x:v>
      </x:c>
      <x:c r="F10" t="n">
        <x:v>3105.773</x:v>
      </x:c>
      <x:c r="G10" t="n">
        <x:v>3542</x:v>
      </x:c>
      <x:c r="H10" t="n">
        <x:v>763</x:v>
      </x:c>
      <x:c r="I10" t="n">
        <x:v>3071</x:v>
      </x:c>
      <x:c r="J10" t="n">
        <x:v>831</x:v>
      </x:c>
      <x:c r="K10" t="n">
        <x:v>3140</x:v>
      </x:c>
      <x:c r="L10" t="n">
        <x:v>69</x:v>
      </x:c>
      <x:c r="M10" t="n">
        <x:v>70</x:v>
      </x:c>
      <x:c r="N10" t="inlineStr">
        <x:is>
          <x:t xml:space="preserve">8-connected dark component centroid; new JS baseline-JPEG Y decoder</x:t>
        </x:is>
      </x:c>
      <x:c r="O10" t="inlineStr">
        <x:is>
          <x:t xml:space="preserve">2b4e09dbad1a9c602a2919864b1a84f49d7ff501</x:t>
        </x:is>
      </x:c>
      <x:c r="P10" t="inlineStr">
        <x:is>
          <x:t xml:space="preserve">[650, 2700, 1050, 600]</x:t>
        </x:is>
      </x:c>
      <x:c r="Q10" t="n">
        <x:v>0.33205875</x:v>
      </x:c>
      <x:c r="R10" t="n">
        <x:v>0.86271472</x:v>
      </x:c>
    </x:row>
    <x:row r="11">
      <x:c r="A11" t="n">
        <x:v>24</x:v>
      </x:c>
      <x:c r="B11" t="inlineStr">
        <x:is>
          <x:t xml:space="preserve">isolated five-dot target</x:t>
        </x:is>
      </x:c>
      <x:c r="C11" t="n">
        <x:v>2</x:v>
      </x:c>
      <x:c r="D11" t="n">
        <x:v>60</x:v>
      </x:c>
      <x:c r="E11" t="n">
        <x:v>992.5</x:v>
      </x:c>
      <x:c r="F11" t="n">
        <x:v>3166.637</x:v>
      </x:c>
      <x:c r="G11" t="n">
        <x:v>3560</x:v>
      </x:c>
      <x:c r="H11" t="n">
        <x:v>958</x:v>
      </x:c>
      <x:c r="I11" t="n">
        <x:v>3132</x:v>
      </x:c>
      <x:c r="J11" t="n">
        <x:v>1027</x:v>
      </x:c>
      <x:c r="K11" t="n">
        <x:v>3201</x:v>
      </x:c>
      <x:c r="L11" t="n">
        <x:v>70</x:v>
      </x:c>
      <x:c r="M11" t="n">
        <x:v>70</x:v>
      </x:c>
      <x:c r="N11" t="inlineStr">
        <x:is>
          <x:t xml:space="preserve">8-connected dark component centroid; new JS baseline-JPEG Y decoder</x:t>
        </x:is>
      </x:c>
      <x:c r="O11" t="inlineStr">
        <x:is>
          <x:t xml:space="preserve">2b4e09dbad1a9c602a2919864b1a84f49d7ff501</x:t>
        </x:is>
      </x:c>
      <x:c r="P11" t="inlineStr">
        <x:is>
          <x:t xml:space="preserve">[650, 2700, 1050, 600]</x:t>
        </x:is>
      </x:c>
      <x:c r="Q11" t="n">
        <x:v>0.41354167</x:v>
      </x:c>
      <x:c r="R11" t="n">
        <x:v>0.8796213899999999</x:v>
      </x:c>
    </x:row>
    <x:row r="12">
      <x:c r="A12" t="n">
        <x:v>24</x:v>
      </x:c>
      <x:c r="B12" t="inlineStr">
        <x:is>
          <x:t xml:space="preserve">isolated five-dot target</x:t>
        </x:is>
      </x:c>
      <x:c r="C12" t="n">
        <x:v>3</x:v>
      </x:c>
      <x:c r="D12" t="n">
        <x:v>60</x:v>
      </x:c>
      <x:c r="E12" t="n">
        <x:v>1479.265</x:v>
      </x:c>
      <x:c r="F12" t="n">
        <x:v>3127.5</x:v>
      </x:c>
      <x:c r="G12" t="n">
        <x:v>3370</x:v>
      </x:c>
      <x:c r="H12" t="n">
        <x:v>1445</x:v>
      </x:c>
      <x:c r="I12" t="n">
        <x:v>3093</x:v>
      </x:c>
      <x:c r="J12" t="n">
        <x:v>1514</x:v>
      </x:c>
      <x:c r="K12" t="n">
        <x:v>3162</x:v>
      </x:c>
      <x:c r="L12" t="n">
        <x:v>70</x:v>
      </x:c>
      <x:c r="M12" t="n">
        <x:v>70</x:v>
      </x:c>
      <x:c r="N12" t="inlineStr">
        <x:is>
          <x:t xml:space="preserve">8-connected dark component centroid; new JS baseline-JPEG Y decoder</x:t>
        </x:is>
      </x:c>
      <x:c r="O12" t="inlineStr">
        <x:is>
          <x:t xml:space="preserve">2b4e09dbad1a9c602a2919864b1a84f49d7ff501</x:t>
        </x:is>
      </x:c>
      <x:c r="P12" t="inlineStr">
        <x:is>
          <x:t xml:space="preserve">[650, 2700, 1050, 600]</x:t>
        </x:is>
      </x:c>
      <x:c r="Q12" t="n">
        <x:v>0.61636042</x:v>
      </x:c>
      <x:c r="R12" t="n">
        <x:v>0.86875</x:v>
      </x:c>
    </x:row>
    <x:row r="13">
      <x:c r="A13" t="n">
        <x:v>24</x:v>
      </x:c>
      <x:c r="B13" t="inlineStr">
        <x:is>
          <x:t xml:space="preserve">isolated five-dot target</x:t>
        </x:is>
      </x:c>
      <x:c r="C13" t="n">
        <x:v>4</x:v>
      </x:c>
      <x:c r="D13" t="n">
        <x:v>60</x:v>
      </x:c>
      <x:c r="E13" t="n">
        <x:v>1527.153</x:v>
      </x:c>
      <x:c r="F13" t="n">
        <x:v>2936.153</x:v>
      </x:c>
      <x:c r="G13" t="n">
        <x:v>3415</x:v>
      </x:c>
      <x:c r="H13" t="n">
        <x:v>1493</x:v>
      </x:c>
      <x:c r="I13" t="n">
        <x:v>2902</x:v>
      </x:c>
      <x:c r="J13" t="n">
        <x:v>1562</x:v>
      </x:c>
      <x:c r="K13" t="n">
        <x:v>2971</x:v>
      </x:c>
      <x:c r="L13" t="n">
        <x:v>70</x:v>
      </x:c>
      <x:c r="M13" t="n">
        <x:v>70</x:v>
      </x:c>
      <x:c r="N13" t="inlineStr">
        <x:is>
          <x:t xml:space="preserve">8-connected dark component centroid; new JS baseline-JPEG Y decoder</x:t>
        </x:is>
      </x:c>
      <x:c r="O13" t="inlineStr">
        <x:is>
          <x:t xml:space="preserve">2b4e09dbad1a9c602a2919864b1a84f49d7ff501</x:t>
        </x:is>
      </x:c>
      <x:c r="P13" t="inlineStr">
        <x:is>
          <x:t xml:space="preserve">[650, 2700, 1050, 600]</x:t>
        </x:is>
      </x:c>
      <x:c r="Q13" t="n">
        <x:v>0.63631375</x:v>
      </x:c>
      <x:c r="R13" t="n">
        <x:v>0.81559806</x:v>
      </x:c>
    </x:row>
    <x:row r="14">
      <x:c r="A14" t="n">
        <x:v>24</x:v>
      </x:c>
      <x:c r="B14" t="inlineStr">
        <x:is>
          <x:t xml:space="preserve">isolated five-dot target</x:t>
        </x:is>
      </x:c>
      <x:c r="C14" t="n">
        <x:v>5</x:v>
      </x:c>
      <x:c r="D14" t="n">
        <x:v>60</x:v>
      </x:c>
      <x:c r="E14" t="n">
        <x:v>1296.931</x:v>
      </x:c>
      <x:c r="F14" t="n">
        <x:v>2866.789</x:v>
      </x:c>
      <x:c r="G14" t="n">
        <x:v>3415</x:v>
      </x:c>
      <x:c r="H14" t="n">
        <x:v>1263</x:v>
      </x:c>
      <x:c r="I14" t="n">
        <x:v>2832</x:v>
      </x:c>
      <x:c r="J14" t="n">
        <x:v>1331</x:v>
      </x:c>
      <x:c r="K14" t="n">
        <x:v>2901</x:v>
      </x:c>
      <x:c r="L14" t="n">
        <x:v>69</x:v>
      </x:c>
      <x:c r="M14" t="n">
        <x:v>70</x:v>
      </x:c>
      <x:c r="N14" t="inlineStr">
        <x:is>
          <x:t xml:space="preserve">8-connected dark component centroid; new JS baseline-JPEG Y decoder</x:t>
        </x:is>
      </x:c>
      <x:c r="O14" t="inlineStr">
        <x:is>
          <x:t xml:space="preserve">2b4e09dbad1a9c602a2919864b1a84f49d7ff501</x:t>
        </x:is>
      </x:c>
      <x:c r="P14" t="inlineStr">
        <x:is>
          <x:t xml:space="preserve">[650, 2700, 1050, 600]</x:t>
        </x:is>
      </x:c>
      <x:c r="Q14" t="n">
        <x:v>0.54038792</x:v>
      </x:c>
      <x:c r="R14" t="n">
        <x:v>0.7963302799999999</x:v>
      </x:c>
    </x:row>
    <x:row r="15">
      <x:c r="A15" t="n">
        <x:v>24</x:v>
      </x:c>
      <x:c r="B15" t="inlineStr">
        <x:is>
          <x:t xml:space="preserve">isolated five-dot target</x:t>
        </x:is>
      </x:c>
      <x:c r="C15" t="n">
        <x:v>1</x:v>
      </x:c>
      <x:c r="D15" t="n">
        <x:v>80</x:v>
      </x:c>
      <x:c r="E15" t="n">
        <x:v>796.941</x:v>
      </x:c>
      <x:c r="F15" t="n">
        <x:v>3105.773</x:v>
      </x:c>
      <x:c r="G15" t="n">
        <x:v>3542</x:v>
      </x:c>
      <x:c r="H15" t="n">
        <x:v>763</x:v>
      </x:c>
      <x:c r="I15" t="n">
        <x:v>3071</x:v>
      </x:c>
      <x:c r="J15" t="n">
        <x:v>831</x:v>
      </x:c>
      <x:c r="K15" t="n">
        <x:v>3140</x:v>
      </x:c>
      <x:c r="L15" t="n">
        <x:v>69</x:v>
      </x:c>
      <x:c r="M15" t="n">
        <x:v>70</x:v>
      </x:c>
      <x:c r="N15" t="inlineStr">
        <x:is>
          <x:t xml:space="preserve">8-connected dark component centroid; new JS baseline-JPEG Y decoder</x:t>
        </x:is>
      </x:c>
      <x:c r="O15" t="inlineStr">
        <x:is>
          <x:t xml:space="preserve">2b4e09dbad1a9c602a2919864b1a84f49d7ff501</x:t>
        </x:is>
      </x:c>
      <x:c r="P15" t="inlineStr">
        <x:is>
          <x:t xml:space="preserve">[650, 2700, 1050, 600]</x:t>
        </x:is>
      </x:c>
      <x:c r="Q15" t="n">
        <x:v>0.33205875</x:v>
      </x:c>
      <x:c r="R15" t="n">
        <x:v>0.86271472</x:v>
      </x:c>
    </x:row>
    <x:row r="16">
      <x:c r="A16" t="n">
        <x:v>24</x:v>
      </x:c>
      <x:c r="B16" t="inlineStr">
        <x:is>
          <x:t xml:space="preserve">isolated five-dot target</x:t>
        </x:is>
      </x:c>
      <x:c r="C16" t="n">
        <x:v>2</x:v>
      </x:c>
      <x:c r="D16" t="n">
        <x:v>80</x:v>
      </x:c>
      <x:c r="E16" t="n">
        <x:v>992.5</x:v>
      </x:c>
      <x:c r="F16" t="n">
        <x:v>3166.637</x:v>
      </x:c>
      <x:c r="G16" t="n">
        <x:v>3560</x:v>
      </x:c>
      <x:c r="H16" t="n">
        <x:v>958</x:v>
      </x:c>
      <x:c r="I16" t="n">
        <x:v>3132</x:v>
      </x:c>
      <x:c r="J16" t="n">
        <x:v>1027</x:v>
      </x:c>
      <x:c r="K16" t="n">
        <x:v>3201</x:v>
      </x:c>
      <x:c r="L16" t="n">
        <x:v>70</x:v>
      </x:c>
      <x:c r="M16" t="n">
        <x:v>70</x:v>
      </x:c>
      <x:c r="N16" t="inlineStr">
        <x:is>
          <x:t xml:space="preserve">8-connected dark component centroid; new JS baseline-JPEG Y decoder</x:t>
        </x:is>
      </x:c>
      <x:c r="O16" t="inlineStr">
        <x:is>
          <x:t xml:space="preserve">2b4e09dbad1a9c602a2919864b1a84f49d7ff501</x:t>
        </x:is>
      </x:c>
      <x:c r="P16" t="inlineStr">
        <x:is>
          <x:t xml:space="preserve">[650, 2700, 1050, 600]</x:t>
        </x:is>
      </x:c>
      <x:c r="Q16" t="n">
        <x:v>0.41354167</x:v>
      </x:c>
      <x:c r="R16" t="n">
        <x:v>0.8796213899999999</x:v>
      </x:c>
    </x:row>
    <x:row r="17">
      <x:c r="A17" t="n">
        <x:v>24</x:v>
      </x:c>
      <x:c r="B17" t="inlineStr">
        <x:is>
          <x:t xml:space="preserve">isolated five-dot target</x:t>
        </x:is>
      </x:c>
      <x:c r="C17" t="n">
        <x:v>3</x:v>
      </x:c>
      <x:c r="D17" t="n">
        <x:v>80</x:v>
      </x:c>
      <x:c r="E17" t="n">
        <x:v>1479.265</x:v>
      </x:c>
      <x:c r="F17" t="n">
        <x:v>3127.5</x:v>
      </x:c>
      <x:c r="G17" t="n">
        <x:v>3370</x:v>
      </x:c>
      <x:c r="H17" t="n">
        <x:v>1445</x:v>
      </x:c>
      <x:c r="I17" t="n">
        <x:v>3093</x:v>
      </x:c>
      <x:c r="J17" t="n">
        <x:v>1514</x:v>
      </x:c>
      <x:c r="K17" t="n">
        <x:v>3162</x:v>
      </x:c>
      <x:c r="L17" t="n">
        <x:v>70</x:v>
      </x:c>
      <x:c r="M17" t="n">
        <x:v>70</x:v>
      </x:c>
      <x:c r="N17" t="inlineStr">
        <x:is>
          <x:t xml:space="preserve">8-connected dark component centroid; new JS baseline-JPEG Y decoder</x:t>
        </x:is>
      </x:c>
      <x:c r="O17" t="inlineStr">
        <x:is>
          <x:t xml:space="preserve">2b4e09dbad1a9c602a2919864b1a84f49d7ff501</x:t>
        </x:is>
      </x:c>
      <x:c r="P17" t="inlineStr">
        <x:is>
          <x:t xml:space="preserve">[650, 2700, 1050, 600]</x:t>
        </x:is>
      </x:c>
      <x:c r="Q17" t="n">
        <x:v>0.61636042</x:v>
      </x:c>
      <x:c r="R17" t="n">
        <x:v>0.86875</x:v>
      </x:c>
    </x:row>
    <x:row r="18">
      <x:c r="A18" t="n">
        <x:v>24</x:v>
      </x:c>
      <x:c r="B18" t="inlineStr">
        <x:is>
          <x:t xml:space="preserve">isolated five-dot target</x:t>
        </x:is>
      </x:c>
      <x:c r="C18" t="n">
        <x:v>4</x:v>
      </x:c>
      <x:c r="D18" t="n">
        <x:v>80</x:v>
      </x:c>
      <x:c r="E18" t="n">
        <x:v>1527.153</x:v>
      </x:c>
      <x:c r="F18" t="n">
        <x:v>2936.153</x:v>
      </x:c>
      <x:c r="G18" t="n">
        <x:v>3415</x:v>
      </x:c>
      <x:c r="H18" t="n">
        <x:v>1493</x:v>
      </x:c>
      <x:c r="I18" t="n">
        <x:v>2902</x:v>
      </x:c>
      <x:c r="J18" t="n">
        <x:v>1562</x:v>
      </x:c>
      <x:c r="K18" t="n">
        <x:v>2971</x:v>
      </x:c>
      <x:c r="L18" t="n">
        <x:v>70</x:v>
      </x:c>
      <x:c r="M18" t="n">
        <x:v>70</x:v>
      </x:c>
      <x:c r="N18" t="inlineStr">
        <x:is>
          <x:t xml:space="preserve">8-connected dark component centroid; new JS baseline-JPEG Y decoder</x:t>
        </x:is>
      </x:c>
      <x:c r="O18" t="inlineStr">
        <x:is>
          <x:t xml:space="preserve">2b4e09dbad1a9c602a2919864b1a84f49d7ff501</x:t>
        </x:is>
      </x:c>
      <x:c r="P18" t="inlineStr">
        <x:is>
          <x:t xml:space="preserve">[650, 2700, 1050, 600]</x:t>
        </x:is>
      </x:c>
      <x:c r="Q18" t="n">
        <x:v>0.63631375</x:v>
      </x:c>
      <x:c r="R18" t="n">
        <x:v>0.81559806</x:v>
      </x:c>
    </x:row>
    <x:row r="19">
      <x:c r="A19" t="n">
        <x:v>24</x:v>
      </x:c>
      <x:c r="B19" t="inlineStr">
        <x:is>
          <x:t xml:space="preserve">isolated five-dot target</x:t>
        </x:is>
      </x:c>
      <x:c r="C19" t="n">
        <x:v>5</x:v>
      </x:c>
      <x:c r="D19" t="n">
        <x:v>80</x:v>
      </x:c>
      <x:c r="E19" t="n">
        <x:v>1296.931</x:v>
      </x:c>
      <x:c r="F19" t="n">
        <x:v>2866.789</x:v>
      </x:c>
      <x:c r="G19" t="n">
        <x:v>3415</x:v>
      </x:c>
      <x:c r="H19" t="n">
        <x:v>1263</x:v>
      </x:c>
      <x:c r="I19" t="n">
        <x:v>2832</x:v>
      </x:c>
      <x:c r="J19" t="n">
        <x:v>1331</x:v>
      </x:c>
      <x:c r="K19" t="n">
        <x:v>2901</x:v>
      </x:c>
      <x:c r="L19" t="n">
        <x:v>69</x:v>
      </x:c>
      <x:c r="M19" t="n">
        <x:v>70</x:v>
      </x:c>
      <x:c r="N19" t="inlineStr">
        <x:is>
          <x:t xml:space="preserve">8-connected dark component centroid; new JS baseline-JPEG Y decoder</x:t>
        </x:is>
      </x:c>
      <x:c r="O19" t="inlineStr">
        <x:is>
          <x:t xml:space="preserve">2b4e09dbad1a9c602a2919864b1a84f49d7ff501</x:t>
        </x:is>
      </x:c>
      <x:c r="P19" t="inlineStr">
        <x:is>
          <x:t xml:space="preserve">[650, 2700, 1050, 600]</x:t>
        </x:is>
      </x:c>
      <x:c r="Q19" t="n">
        <x:v>0.54038792</x:v>
      </x:c>
      <x:c r="R19" t="n">
        <x:v>0.7963302799999999</x:v>
      </x:c>
    </x:row>
    <x:row r="20">
      <x:c r="A20" t="n">
        <x:v>24</x:v>
      </x:c>
      <x:c r="B20" t="inlineStr">
        <x:is>
          <x:t xml:space="preserve">isolated five-dot target</x:t>
        </x:is>
      </x:c>
      <x:c r="C20" t="n">
        <x:v>1</x:v>
      </x:c>
      <x:c r="D20" t="n">
        <x:v>100</x:v>
      </x:c>
      <x:c r="E20" t="n">
        <x:v>796.9349999999999</x:v>
      </x:c>
      <x:c r="F20" t="n">
        <x:v>3105.782</x:v>
      </x:c>
      <x:c r="G20" t="n">
        <x:v>3547</x:v>
      </x:c>
      <x:c r="H20" t="n">
        <x:v>763</x:v>
      </x:c>
      <x:c r="I20" t="n">
        <x:v>3071</x:v>
      </x:c>
      <x:c r="J20" t="n">
        <x:v>831</x:v>
      </x:c>
      <x:c r="K20" t="n">
        <x:v>3140</x:v>
      </x:c>
      <x:c r="L20" t="n">
        <x:v>69</x:v>
      </x:c>
      <x:c r="M20" t="n">
        <x:v>70</x:v>
      </x:c>
      <x:c r="N20" t="inlineStr">
        <x:is>
          <x:t xml:space="preserve">8-connected dark component centroid; new JS baseline-JPEG Y decoder</x:t>
        </x:is>
      </x:c>
      <x:c r="O20" t="inlineStr">
        <x:is>
          <x:t xml:space="preserve">2b4e09dbad1a9c602a2919864b1a84f49d7ff501</x:t>
        </x:is>
      </x:c>
      <x:c r="P20" t="inlineStr">
        <x:is>
          <x:t xml:space="preserve">[650, 2700, 1050, 600]</x:t>
        </x:is>
      </x:c>
      <x:c r="Q20" t="n">
        <x:v>0.33205625</x:v>
      </x:c>
      <x:c r="R20" t="n">
        <x:v>0.86271722</x:v>
      </x:c>
    </x:row>
    <x:row r="21">
      <x:c r="A21" t="n">
        <x:v>24</x:v>
      </x:c>
      <x:c r="B21" t="inlineStr">
        <x:is>
          <x:t xml:space="preserve">isolated five-dot target</x:t>
        </x:is>
      </x:c>
      <x:c r="C21" t="n">
        <x:v>2</x:v>
      </x:c>
      <x:c r="D21" t="n">
        <x:v>100</x:v>
      </x:c>
      <x:c r="E21" t="n">
        <x:v>992.521</x:v>
      </x:c>
      <x:c r="F21" t="n">
        <x:v>3166.63</x:v>
      </x:c>
      <x:c r="G21" t="n">
        <x:v>3565</x:v>
      </x:c>
      <x:c r="H21" t="n">
        <x:v>958</x:v>
      </x:c>
      <x:c r="I21" t="n">
        <x:v>3132</x:v>
      </x:c>
      <x:c r="J21" t="n">
        <x:v>1027</x:v>
      </x:c>
      <x:c r="K21" t="n">
        <x:v>3201</x:v>
      </x:c>
      <x:c r="L21" t="n">
        <x:v>70</x:v>
      </x:c>
      <x:c r="M21" t="n">
        <x:v>70</x:v>
      </x:c>
      <x:c r="N21" t="inlineStr">
        <x:is>
          <x:t xml:space="preserve">8-connected dark component centroid; new JS baseline-JPEG Y decoder</x:t>
        </x:is>
      </x:c>
      <x:c r="O21" t="inlineStr">
        <x:is>
          <x:t xml:space="preserve">2b4e09dbad1a9c602a2919864b1a84f49d7ff501</x:t>
        </x:is>
      </x:c>
      <x:c r="P21" t="inlineStr">
        <x:is>
          <x:t xml:space="preserve">[650, 2700, 1050, 600]</x:t>
        </x:is>
      </x:c>
      <x:c r="Q21" t="n">
        <x:v>0.41355042</x:v>
      </x:c>
      <x:c r="R21" t="n">
        <x:v>0.87961944</x:v>
      </x:c>
    </x:row>
    <x:row r="22">
      <x:c r="A22" t="n">
        <x:v>24</x:v>
      </x:c>
      <x:c r="B22" t="inlineStr">
        <x:is>
          <x:t xml:space="preserve">isolated five-dot target</x:t>
        </x:is>
      </x:c>
      <x:c r="C22" t="n">
        <x:v>3</x:v>
      </x:c>
      <x:c r="D22" t="n">
        <x:v>100</x:v>
      </x:c>
      <x:c r="E22" t="n">
        <x:v>1479.321</x:v>
      </x:c>
      <x:c r="F22" t="n">
        <x:v>3127.5</x:v>
      </x:c>
      <x:c r="G22" t="n">
        <x:v>3412</x:v>
      </x:c>
      <x:c r="H22" t="n">
        <x:v>1445</x:v>
      </x:c>
      <x:c r="I22" t="n">
        <x:v>3093</x:v>
      </x:c>
      <x:c r="J22" t="n">
        <x:v>1514</x:v>
      </x:c>
      <x:c r="K22" t="n">
        <x:v>3162</x:v>
      </x:c>
      <x:c r="L22" t="n">
        <x:v>70</x:v>
      </x:c>
      <x:c r="M22" t="n">
        <x:v>70</x:v>
      </x:c>
      <x:c r="N22" t="inlineStr">
        <x:is>
          <x:t xml:space="preserve">8-connected dark component centroid; new JS baseline-JPEG Y decoder</x:t>
        </x:is>
      </x:c>
      <x:c r="O22" t="inlineStr">
        <x:is>
          <x:t xml:space="preserve">2b4e09dbad1a9c602a2919864b1a84f49d7ff501</x:t>
        </x:is>
      </x:c>
      <x:c r="P22" t="inlineStr">
        <x:is>
          <x:t xml:space="preserve">[650, 2700, 1050, 600]</x:t>
        </x:is>
      </x:c>
      <x:c r="Q22" t="n">
        <x:v>0.61638375</x:v>
      </x:c>
      <x:c r="R22" t="n">
        <x:v>0.86875</x:v>
      </x:c>
    </x:row>
    <x:row r="23">
      <x:c r="A23" t="n">
        <x:v>24</x:v>
      </x:c>
      <x:c r="B23" t="inlineStr">
        <x:is>
          <x:t xml:space="preserve">isolated five-dot target</x:t>
        </x:is>
      </x:c>
      <x:c r="C23" t="n">
        <x:v>4</x:v>
      </x:c>
      <x:c r="D23" t="n">
        <x:v>100</x:v>
      </x:c>
      <x:c r="E23" t="n">
        <x:v>1527.174</x:v>
      </x:c>
      <x:c r="F23" t="n">
        <x:v>2936.127</x:v>
      </x:c>
      <x:c r="G23" t="n">
        <x:v>3442</x:v>
      </x:c>
      <x:c r="H23" t="n">
        <x:v>1493</x:v>
      </x:c>
      <x:c r="I23" t="n">
        <x:v>2902</x:v>
      </x:c>
      <x:c r="J23" t="n">
        <x:v>1562</x:v>
      </x:c>
      <x:c r="K23" t="n">
        <x:v>2971</x:v>
      </x:c>
      <x:c r="L23" t="n">
        <x:v>70</x:v>
      </x:c>
      <x:c r="M23" t="n">
        <x:v>70</x:v>
      </x:c>
      <x:c r="N23" t="inlineStr">
        <x:is>
          <x:t xml:space="preserve">8-connected dark component centroid; new JS baseline-JPEG Y decoder</x:t>
        </x:is>
      </x:c>
      <x:c r="O23" t="inlineStr">
        <x:is>
          <x:t xml:space="preserve">2b4e09dbad1a9c602a2919864b1a84f49d7ff501</x:t>
        </x:is>
      </x:c>
      <x:c r="P23" t="inlineStr">
        <x:is>
          <x:t xml:space="preserve">[650, 2700, 1050, 600]</x:t>
        </x:is>
      </x:c>
      <x:c r="Q23" t="n">
        <x:v>0.6363225</x:v>
      </x:c>
      <x:c r="R23" t="n">
        <x:v>0.81559083</x:v>
      </x:c>
    </x:row>
    <x:row r="24">
      <x:c r="A24" t="n">
        <x:v>24</x:v>
      </x:c>
      <x:c r="B24" t="inlineStr">
        <x:is>
          <x:t xml:space="preserve">isolated five-dot target</x:t>
        </x:is>
      </x:c>
      <x:c r="C24" t="n">
        <x:v>5</x:v>
      </x:c>
      <x:c r="D24" t="n">
        <x:v>100</x:v>
      </x:c>
      <x:c r="E24" t="n">
        <x:v>1296.977</x:v>
      </x:c>
      <x:c r="F24" t="n">
        <x:v>2866.771</x:v>
      </x:c>
      <x:c r="G24" t="n">
        <x:v>3428</x:v>
      </x:c>
      <x:c r="H24" t="n">
        <x:v>1263</x:v>
      </x:c>
      <x:c r="I24" t="n">
        <x:v>2832</x:v>
      </x:c>
      <x:c r="J24" t="n">
        <x:v>1331</x:v>
      </x:c>
      <x:c r="K24" t="n">
        <x:v>2901</x:v>
      </x:c>
      <x:c r="L24" t="n">
        <x:v>69</x:v>
      </x:c>
      <x:c r="M24" t="n">
        <x:v>70</x:v>
      </x:c>
      <x:c r="N24" t="inlineStr">
        <x:is>
          <x:t xml:space="preserve">8-connected dark component centroid; new JS baseline-JPEG Y decoder</x:t>
        </x:is>
      </x:c>
      <x:c r="O24" t="inlineStr">
        <x:is>
          <x:t xml:space="preserve">2b4e09dbad1a9c602a2919864b1a84f49d7ff501</x:t>
        </x:is>
      </x:c>
      <x:c r="P24" t="inlineStr">
        <x:is>
          <x:t xml:space="preserve">[650, 2700, 1050, 600]</x:t>
        </x:is>
      </x:c>
      <x:c r="Q24" t="n">
        <x:v>0.54040708</x:v>
      </x:c>
      <x:c r="R24" t="n">
        <x:v>0.79632528</x:v>
      </x:c>
    </x:row>
    <x:row r="25">
      <x:c r="A25" t="n">
        <x:v>40</x:v>
      </x:c>
      <x:c r="B25" t="inlineStr">
        <x:is>
          <x:t xml:space="preserve">isolated five-dot target</x:t>
        </x:is>
      </x:c>
      <x:c r="C25" t="n">
        <x:v>1</x:v>
      </x:c>
      <x:c r="D25" t="n">
        <x:v>40</x:v>
      </x:c>
      <x:c r="E25" t="n">
        <x:v>796.919</x:v>
      </x:c>
      <x:c r="F25" t="n">
        <x:v>568.181</x:v>
      </x:c>
      <x:c r="G25" t="n">
        <x:v>3433</x:v>
      </x:c>
      <x:c r="H25" t="n">
        <x:v>763</x:v>
      </x:c>
      <x:c r="I25" t="n">
        <x:v>534</x:v>
      </x:c>
      <x:c r="J25" t="n">
        <x:v>831</x:v>
      </x:c>
      <x:c r="K25" t="n">
        <x:v>603</x:v>
      </x:c>
      <x:c r="L25" t="n">
        <x:v>69</x:v>
      </x:c>
      <x:c r="M25" t="n">
        <x:v>70</x:v>
      </x:c>
      <x:c r="N25" t="inlineStr">
        <x:is>
          <x:t xml:space="preserve">8-connected dark component centroid; new JS baseline-JPEG Y decoder</x:t>
        </x:is>
      </x:c>
      <x:c r="O25" t="inlineStr">
        <x:is>
          <x:t xml:space="preserve">feee4eed2a4f6d66456ff5a977f43c7ef297f8eb</x:t>
        </x:is>
      </x:c>
      <x:c r="P25" t="inlineStr">
        <x:is>
          <x:t xml:space="preserve">[650, 400, 1050, 500]</x:t>
        </x:is>
      </x:c>
      <x:c r="Q25" t="n">
        <x:v>0.33204958</x:v>
      </x:c>
      <x:c r="R25" t="n">
        <x:v>0.15782806</x:v>
      </x:c>
    </x:row>
    <x:row r="26">
      <x:c r="A26" t="n">
        <x:v>40</x:v>
      </x:c>
      <x:c r="B26" t="inlineStr">
        <x:is>
          <x:t xml:space="preserve">isolated five-dot target</x:t>
        </x:is>
      </x:c>
      <x:c r="C26" t="n">
        <x:v>2</x:v>
      </x:c>
      <x:c r="D26" t="n">
        <x:v>40</x:v>
      </x:c>
      <x:c r="E26" t="n">
        <x:v>992.53</x:v>
      </x:c>
      <x:c r="F26" t="n">
        <x:v>507.192</x:v>
      </x:c>
      <x:c r="G26" t="n">
        <x:v>3422</x:v>
      </x:c>
      <x:c r="H26" t="n">
        <x:v>958</x:v>
      </x:c>
      <x:c r="I26" t="n">
        <x:v>473</x:v>
      </x:c>
      <x:c r="J26" t="n">
        <x:v>1027</x:v>
      </x:c>
      <x:c r="K26" t="n">
        <x:v>542</x:v>
      </x:c>
      <x:c r="L26" t="n">
        <x:v>70</x:v>
      </x:c>
      <x:c r="M26" t="n">
        <x:v>70</x:v>
      </x:c>
      <x:c r="N26" t="inlineStr">
        <x:is>
          <x:t xml:space="preserve">8-connected dark component centroid; new JS baseline-JPEG Y decoder</x:t>
        </x:is>
      </x:c>
      <x:c r="O26" t="inlineStr">
        <x:is>
          <x:t xml:space="preserve">feee4eed2a4f6d66456ff5a977f43c7ef297f8eb</x:t>
        </x:is>
      </x:c>
      <x:c r="P26" t="inlineStr">
        <x:is>
          <x:t xml:space="preserve">[650, 400, 1050, 500]</x:t>
        </x:is>
      </x:c>
      <x:c r="Q26" t="n">
        <x:v>0.41355417</x:v>
      </x:c>
      <x:c r="R26" t="n">
        <x:v>0.14088667</x:v>
      </x:c>
    </x:row>
    <x:row r="27">
      <x:c r="A27" t="n">
        <x:v>40</x:v>
      </x:c>
      <x:c r="B27" t="inlineStr">
        <x:is>
          <x:t xml:space="preserve">isolated five-dot target</x:t>
        </x:is>
      </x:c>
      <x:c r="C27" t="n">
        <x:v>3</x:v>
      </x:c>
      <x:c r="D27" t="n">
        <x:v>40</x:v>
      </x:c>
      <x:c r="E27" t="n">
        <x:v>1296.931</x:v>
      </x:c>
      <x:c r="F27" t="n">
        <x:v>807.211</x:v>
      </x:c>
      <x:c r="G27" t="n">
        <x:v>3415</x:v>
      </x:c>
      <x:c r="H27" t="n">
        <x:v>1263</x:v>
      </x:c>
      <x:c r="I27" t="n">
        <x:v>773</x:v>
      </x:c>
      <x:c r="J27" t="n">
        <x:v>1331</x:v>
      </x:c>
      <x:c r="K27" t="n">
        <x:v>842</x:v>
      </x:c>
      <x:c r="L27" t="n">
        <x:v>69</x:v>
      </x:c>
      <x:c r="M27" t="n">
        <x:v>70</x:v>
      </x:c>
      <x:c r="N27" t="inlineStr">
        <x:is>
          <x:t xml:space="preserve">8-connected dark component centroid; new JS baseline-JPEG Y decoder</x:t>
        </x:is>
      </x:c>
      <x:c r="O27" t="inlineStr">
        <x:is>
          <x:t xml:space="preserve">feee4eed2a4f6d66456ff5a977f43c7ef297f8eb</x:t>
        </x:is>
      </x:c>
      <x:c r="P27" t="inlineStr">
        <x:is>
          <x:t xml:space="preserve">[650, 400, 1050, 500]</x:t>
        </x:is>
      </x:c>
      <x:c r="Q27" t="n">
        <x:v>0.54038792</x:v>
      </x:c>
      <x:c r="R27" t="n">
        <x:v>0.22422528</x:v>
      </x:c>
    </x:row>
    <x:row r="28">
      <x:c r="A28" t="n">
        <x:v>40</x:v>
      </x:c>
      <x:c r="B28" t="inlineStr">
        <x:is>
          <x:t xml:space="preserve">isolated five-dot target</x:t>
        </x:is>
      </x:c>
      <x:c r="C28" t="n">
        <x:v>4</x:v>
      </x:c>
      <x:c r="D28" t="n">
        <x:v>40</x:v>
      </x:c>
      <x:c r="E28" t="n">
        <x:v>1527.154</x:v>
      </x:c>
      <x:c r="F28" t="n">
        <x:v>737.939</x:v>
      </x:c>
      <x:c r="G28" t="n">
        <x:v>3406</x:v>
      </x:c>
      <x:c r="H28" t="n">
        <x:v>1493</x:v>
      </x:c>
      <x:c r="I28" t="n">
        <x:v>704</x:v>
      </x:c>
      <x:c r="J28" t="n">
        <x:v>1562</x:v>
      </x:c>
      <x:c r="K28" t="n">
        <x:v>772</x:v>
      </x:c>
      <x:c r="L28" t="n">
        <x:v>70</x:v>
      </x:c>
      <x:c r="M28" t="n">
        <x:v>69</x:v>
      </x:c>
      <x:c r="N28" t="inlineStr">
        <x:is>
          <x:t xml:space="preserve">8-connected dark component centroid; new JS baseline-JPEG Y decoder</x:t>
        </x:is>
      </x:c>
      <x:c r="O28" t="inlineStr">
        <x:is>
          <x:t xml:space="preserve">feee4eed2a4f6d66456ff5a977f43c7ef297f8eb</x:t>
        </x:is>
      </x:c>
      <x:c r="P28" t="inlineStr">
        <x:is>
          <x:t xml:space="preserve">[650, 400, 1050, 500]</x:t>
        </x:is>
      </x:c>
      <x:c r="Q28" t="n">
        <x:v>0.63631417</x:v>
      </x:c>
      <x:c r="R28" t="n">
        <x:v>0.20498306</x:v>
      </x:c>
    </x:row>
    <x:row r="29">
      <x:c r="A29" t="n">
        <x:v>40</x:v>
      </x:c>
      <x:c r="B29" t="inlineStr">
        <x:is>
          <x:t xml:space="preserve">isolated five-dot target</x:t>
        </x:is>
      </x:c>
      <x:c r="C29" t="n">
        <x:v>5</x:v>
      </x:c>
      <x:c r="D29" t="n">
        <x:v>40</x:v>
      </x:c>
      <x:c r="E29" t="n">
        <x:v>1479.265</x:v>
      </x:c>
      <x:c r="F29" t="n">
        <x:v>546.5</x:v>
      </x:c>
      <x:c r="G29" t="n">
        <x:v>3370</x:v>
      </x:c>
      <x:c r="H29" t="n">
        <x:v>1445</x:v>
      </x:c>
      <x:c r="I29" t="n">
        <x:v>512</x:v>
      </x:c>
      <x:c r="J29" t="n">
        <x:v>1514</x:v>
      </x:c>
      <x:c r="K29" t="n">
        <x:v>581</x:v>
      </x:c>
      <x:c r="L29" t="n">
        <x:v>70</x:v>
      </x:c>
      <x:c r="M29" t="n">
        <x:v>70</x:v>
      </x:c>
      <x:c r="N29" t="inlineStr">
        <x:is>
          <x:t xml:space="preserve">8-connected dark component centroid; new JS baseline-JPEG Y decoder</x:t>
        </x:is>
      </x:c>
      <x:c r="O29" t="inlineStr">
        <x:is>
          <x:t xml:space="preserve">feee4eed2a4f6d66456ff5a977f43c7ef297f8eb</x:t>
        </x:is>
      </x:c>
      <x:c r="P29" t="inlineStr">
        <x:is>
          <x:t xml:space="preserve">[650, 400, 1050, 500]</x:t>
        </x:is>
      </x:c>
      <x:c r="Q29" t="n">
        <x:v>0.61636042</x:v>
      </x:c>
      <x:c r="R29" t="n">
        <x:v>0.15180556</x:v>
      </x:c>
    </x:row>
    <x:row r="30">
      <x:c r="A30" t="n">
        <x:v>40</x:v>
      </x:c>
      <x:c r="B30" t="inlineStr">
        <x:is>
          <x:t xml:space="preserve">isolated five-dot target</x:t>
        </x:is>
      </x:c>
      <x:c r="C30" t="n">
        <x:v>1</x:v>
      </x:c>
      <x:c r="D30" t="n">
        <x:v>60</x:v>
      </x:c>
      <x:c r="E30" t="n">
        <x:v>796.941</x:v>
      </x:c>
      <x:c r="F30" t="n">
        <x:v>568.227</x:v>
      </x:c>
      <x:c r="G30" t="n">
        <x:v>3542</x:v>
      </x:c>
      <x:c r="H30" t="n">
        <x:v>763</x:v>
      </x:c>
      <x:c r="I30" t="n">
        <x:v>534</x:v>
      </x:c>
      <x:c r="J30" t="n">
        <x:v>831</x:v>
      </x:c>
      <x:c r="K30" t="n">
        <x:v>603</x:v>
      </x:c>
      <x:c r="L30" t="n">
        <x:v>69</x:v>
      </x:c>
      <x:c r="M30" t="n">
        <x:v>70</x:v>
      </x:c>
      <x:c r="N30" t="inlineStr">
        <x:is>
          <x:t xml:space="preserve">8-connected dark component centroid; new JS baseline-JPEG Y decoder</x:t>
        </x:is>
      </x:c>
      <x:c r="O30" t="inlineStr">
        <x:is>
          <x:t xml:space="preserve">feee4eed2a4f6d66456ff5a977f43c7ef297f8eb</x:t>
        </x:is>
      </x:c>
      <x:c r="P30" t="inlineStr">
        <x:is>
          <x:t xml:space="preserve">[650, 400, 1050, 500]</x:t>
        </x:is>
      </x:c>
      <x:c r="Q30" t="n">
        <x:v>0.33205875</x:v>
      </x:c>
      <x:c r="R30" t="n">
        <x:v>0.15784083</x:v>
      </x:c>
    </x:row>
    <x:row r="31">
      <x:c r="A31" t="n">
        <x:v>40</x:v>
      </x:c>
      <x:c r="B31" t="inlineStr">
        <x:is>
          <x:t xml:space="preserve">isolated five-dot target</x:t>
        </x:is>
      </x:c>
      <x:c r="C31" t="n">
        <x:v>2</x:v>
      </x:c>
      <x:c r="D31" t="n">
        <x:v>60</x:v>
      </x:c>
      <x:c r="E31" t="n">
        <x:v>992.5</x:v>
      </x:c>
      <x:c r="F31" t="n">
        <x:v>507.363</x:v>
      </x:c>
      <x:c r="G31" t="n">
        <x:v>3560</x:v>
      </x:c>
      <x:c r="H31" t="n">
        <x:v>958</x:v>
      </x:c>
      <x:c r="I31" t="n">
        <x:v>473</x:v>
      </x:c>
      <x:c r="J31" t="n">
        <x:v>1027</x:v>
      </x:c>
      <x:c r="K31" t="n">
        <x:v>542</x:v>
      </x:c>
      <x:c r="L31" t="n">
        <x:v>70</x:v>
      </x:c>
      <x:c r="M31" t="n">
        <x:v>70</x:v>
      </x:c>
      <x:c r="N31" t="inlineStr">
        <x:is>
          <x:t xml:space="preserve">8-connected dark component centroid; new JS baseline-JPEG Y decoder</x:t>
        </x:is>
      </x:c>
      <x:c r="O31" t="inlineStr">
        <x:is>
          <x:t xml:space="preserve">feee4eed2a4f6d66456ff5a977f43c7ef297f8eb</x:t>
        </x:is>
      </x:c>
      <x:c r="P31" t="inlineStr">
        <x:is>
          <x:t xml:space="preserve">[650, 400, 1050, 500]</x:t>
        </x:is>
      </x:c>
      <x:c r="Q31" t="n">
        <x:v>0.41354167</x:v>
      </x:c>
      <x:c r="R31" t="n">
        <x:v>0.14093417</x:v>
      </x:c>
    </x:row>
    <x:row r="32">
      <x:c r="A32" t="n">
        <x:v>40</x:v>
      </x:c>
      <x:c r="B32" t="inlineStr">
        <x:is>
          <x:t xml:space="preserve">isolated five-dot target</x:t>
        </x:is>
      </x:c>
      <x:c r="C32" t="n">
        <x:v>3</x:v>
      </x:c>
      <x:c r="D32" t="n">
        <x:v>60</x:v>
      </x:c>
      <x:c r="E32" t="n">
        <x:v>1296.931</x:v>
      </x:c>
      <x:c r="F32" t="n">
        <x:v>807.211</x:v>
      </x:c>
      <x:c r="G32" t="n">
        <x:v>3415</x:v>
      </x:c>
      <x:c r="H32" t="n">
        <x:v>1263</x:v>
      </x:c>
      <x:c r="I32" t="n">
        <x:v>773</x:v>
      </x:c>
      <x:c r="J32" t="n">
        <x:v>1331</x:v>
      </x:c>
      <x:c r="K32" t="n">
        <x:v>842</x:v>
      </x:c>
      <x:c r="L32" t="n">
        <x:v>69</x:v>
      </x:c>
      <x:c r="M32" t="n">
        <x:v>70</x:v>
      </x:c>
      <x:c r="N32" t="inlineStr">
        <x:is>
          <x:t xml:space="preserve">8-connected dark component centroid; new JS baseline-JPEG Y decoder</x:t>
        </x:is>
      </x:c>
      <x:c r="O32" t="inlineStr">
        <x:is>
          <x:t xml:space="preserve">feee4eed2a4f6d66456ff5a977f43c7ef297f8eb</x:t>
        </x:is>
      </x:c>
      <x:c r="P32" t="inlineStr">
        <x:is>
          <x:t xml:space="preserve">[650, 400, 1050, 500]</x:t>
        </x:is>
      </x:c>
      <x:c r="Q32" t="n">
        <x:v>0.54038792</x:v>
      </x:c>
      <x:c r="R32" t="n">
        <x:v>0.22422528</x:v>
      </x:c>
    </x:row>
    <x:row r="33">
      <x:c r="A33" t="n">
        <x:v>40</x:v>
      </x:c>
      <x:c r="B33" t="inlineStr">
        <x:is>
          <x:t xml:space="preserve">isolated five-dot target</x:t>
        </x:is>
      </x:c>
      <x:c r="C33" t="n">
        <x:v>4</x:v>
      </x:c>
      <x:c r="D33" t="n">
        <x:v>60</x:v>
      </x:c>
      <x:c r="E33" t="n">
        <x:v>1527.154</x:v>
      </x:c>
      <x:c r="F33" t="n">
        <x:v>737.939</x:v>
      </x:c>
      <x:c r="G33" t="n">
        <x:v>3406</x:v>
      </x:c>
      <x:c r="H33" t="n">
        <x:v>1493</x:v>
      </x:c>
      <x:c r="I33" t="n">
        <x:v>704</x:v>
      </x:c>
      <x:c r="J33" t="n">
        <x:v>1562</x:v>
      </x:c>
      <x:c r="K33" t="n">
        <x:v>772</x:v>
      </x:c>
      <x:c r="L33" t="n">
        <x:v>70</x:v>
      </x:c>
      <x:c r="M33" t="n">
        <x:v>69</x:v>
      </x:c>
      <x:c r="N33" t="inlineStr">
        <x:is>
          <x:t xml:space="preserve">8-connected dark component centroid; new JS baseline-JPEG Y decoder</x:t>
        </x:is>
      </x:c>
      <x:c r="O33" t="inlineStr">
        <x:is>
          <x:t xml:space="preserve">feee4eed2a4f6d66456ff5a977f43c7ef297f8eb</x:t>
        </x:is>
      </x:c>
      <x:c r="P33" t="inlineStr">
        <x:is>
          <x:t xml:space="preserve">[650, 400, 1050, 500]</x:t>
        </x:is>
      </x:c>
      <x:c r="Q33" t="n">
        <x:v>0.63631417</x:v>
      </x:c>
      <x:c r="R33" t="n">
        <x:v>0.20498306</x:v>
      </x:c>
    </x:row>
    <x:row r="34">
      <x:c r="A34" t="n">
        <x:v>40</x:v>
      </x:c>
      <x:c r="B34" t="inlineStr">
        <x:is>
          <x:t xml:space="preserve">isolated five-dot target</x:t>
        </x:is>
      </x:c>
      <x:c r="C34" t="n">
        <x:v>5</x:v>
      </x:c>
      <x:c r="D34" t="n">
        <x:v>60</x:v>
      </x:c>
      <x:c r="E34" t="n">
        <x:v>1479.265</x:v>
      </x:c>
      <x:c r="F34" t="n">
        <x:v>546.5</x:v>
      </x:c>
      <x:c r="G34" t="n">
        <x:v>3370</x:v>
      </x:c>
      <x:c r="H34" t="n">
        <x:v>1445</x:v>
      </x:c>
      <x:c r="I34" t="n">
        <x:v>512</x:v>
      </x:c>
      <x:c r="J34" t="n">
        <x:v>1514</x:v>
      </x:c>
      <x:c r="K34" t="n">
        <x:v>581</x:v>
      </x:c>
      <x:c r="L34" t="n">
        <x:v>70</x:v>
      </x:c>
      <x:c r="M34" t="n">
        <x:v>70</x:v>
      </x:c>
      <x:c r="N34" t="inlineStr">
        <x:is>
          <x:t xml:space="preserve">8-connected dark component centroid; new JS baseline-JPEG Y decoder</x:t>
        </x:is>
      </x:c>
      <x:c r="O34" t="inlineStr">
        <x:is>
          <x:t xml:space="preserve">feee4eed2a4f6d66456ff5a977f43c7ef297f8eb</x:t>
        </x:is>
      </x:c>
      <x:c r="P34" t="inlineStr">
        <x:is>
          <x:t xml:space="preserve">[650, 400, 1050, 500]</x:t>
        </x:is>
      </x:c>
      <x:c r="Q34" t="n">
        <x:v>0.61636042</x:v>
      </x:c>
      <x:c r="R34" t="n">
        <x:v>0.15180556</x:v>
      </x:c>
    </x:row>
    <x:row r="35">
      <x:c r="A35" t="n">
        <x:v>40</x:v>
      </x:c>
      <x:c r="B35" t="inlineStr">
        <x:is>
          <x:t xml:space="preserve">isolated five-dot target</x:t>
        </x:is>
      </x:c>
      <x:c r="C35" t="n">
        <x:v>1</x:v>
      </x:c>
      <x:c r="D35" t="n">
        <x:v>80</x:v>
      </x:c>
      <x:c r="E35" t="n">
        <x:v>796.941</x:v>
      </x:c>
      <x:c r="F35" t="n">
        <x:v>568.227</x:v>
      </x:c>
      <x:c r="G35" t="n">
        <x:v>3542</x:v>
      </x:c>
      <x:c r="H35" t="n">
        <x:v>763</x:v>
      </x:c>
      <x:c r="I35" t="n">
        <x:v>534</x:v>
      </x:c>
      <x:c r="J35" t="n">
        <x:v>831</x:v>
      </x:c>
      <x:c r="K35" t="n">
        <x:v>603</x:v>
      </x:c>
      <x:c r="L35" t="n">
        <x:v>69</x:v>
      </x:c>
      <x:c r="M35" t="n">
        <x:v>70</x:v>
      </x:c>
      <x:c r="N35" t="inlineStr">
        <x:is>
          <x:t xml:space="preserve">8-connected dark component centroid; new JS baseline-JPEG Y decoder</x:t>
        </x:is>
      </x:c>
      <x:c r="O35" t="inlineStr">
        <x:is>
          <x:t xml:space="preserve">feee4eed2a4f6d66456ff5a977f43c7ef297f8eb</x:t>
        </x:is>
      </x:c>
      <x:c r="P35" t="inlineStr">
        <x:is>
          <x:t xml:space="preserve">[650, 400, 1050, 500]</x:t>
        </x:is>
      </x:c>
      <x:c r="Q35" t="n">
        <x:v>0.33205875</x:v>
      </x:c>
      <x:c r="R35" t="n">
        <x:v>0.15784083</x:v>
      </x:c>
    </x:row>
    <x:row r="36">
      <x:c r="A36" t="n">
        <x:v>40</x:v>
      </x:c>
      <x:c r="B36" t="inlineStr">
        <x:is>
          <x:t xml:space="preserve">isolated five-dot target</x:t>
        </x:is>
      </x:c>
      <x:c r="C36" t="n">
        <x:v>2</x:v>
      </x:c>
      <x:c r="D36" t="n">
        <x:v>80</x:v>
      </x:c>
      <x:c r="E36" t="n">
        <x:v>992.5</x:v>
      </x:c>
      <x:c r="F36" t="n">
        <x:v>507.363</x:v>
      </x:c>
      <x:c r="G36" t="n">
        <x:v>3560</x:v>
      </x:c>
      <x:c r="H36" t="n">
        <x:v>958</x:v>
      </x:c>
      <x:c r="I36" t="n">
        <x:v>473</x:v>
      </x:c>
      <x:c r="J36" t="n">
        <x:v>1027</x:v>
      </x:c>
      <x:c r="K36" t="n">
        <x:v>542</x:v>
      </x:c>
      <x:c r="L36" t="n">
        <x:v>70</x:v>
      </x:c>
      <x:c r="M36" t="n">
        <x:v>70</x:v>
      </x:c>
      <x:c r="N36" t="inlineStr">
        <x:is>
          <x:t xml:space="preserve">8-connected dark component centroid; new JS baseline-JPEG Y decoder</x:t>
        </x:is>
      </x:c>
      <x:c r="O36" t="inlineStr">
        <x:is>
          <x:t xml:space="preserve">feee4eed2a4f6d66456ff5a977f43c7ef297f8eb</x:t>
        </x:is>
      </x:c>
      <x:c r="P36" t="inlineStr">
        <x:is>
          <x:t xml:space="preserve">[650, 400, 1050, 500]</x:t>
        </x:is>
      </x:c>
      <x:c r="Q36" t="n">
        <x:v>0.41354167</x:v>
      </x:c>
      <x:c r="R36" t="n">
        <x:v>0.14093417</x:v>
      </x:c>
    </x:row>
    <x:row r="37">
      <x:c r="A37" t="n">
        <x:v>40</x:v>
      </x:c>
      <x:c r="B37" t="inlineStr">
        <x:is>
          <x:t xml:space="preserve">isolated five-dot target</x:t>
        </x:is>
      </x:c>
      <x:c r="C37" t="n">
        <x:v>3</x:v>
      </x:c>
      <x:c r="D37" t="n">
        <x:v>80</x:v>
      </x:c>
      <x:c r="E37" t="n">
        <x:v>1296.931</x:v>
      </x:c>
      <x:c r="F37" t="n">
        <x:v>807.211</x:v>
      </x:c>
      <x:c r="G37" t="n">
        <x:v>3415</x:v>
      </x:c>
      <x:c r="H37" t="n">
        <x:v>1263</x:v>
      </x:c>
      <x:c r="I37" t="n">
        <x:v>773</x:v>
      </x:c>
      <x:c r="J37" t="n">
        <x:v>1331</x:v>
      </x:c>
      <x:c r="K37" t="n">
        <x:v>842</x:v>
      </x:c>
      <x:c r="L37" t="n">
        <x:v>69</x:v>
      </x:c>
      <x:c r="M37" t="n">
        <x:v>70</x:v>
      </x:c>
      <x:c r="N37" t="inlineStr">
        <x:is>
          <x:t xml:space="preserve">8-connected dark component centroid; new JS baseline-JPEG Y decoder</x:t>
        </x:is>
      </x:c>
      <x:c r="O37" t="inlineStr">
        <x:is>
          <x:t xml:space="preserve">feee4eed2a4f6d66456ff5a977f43c7ef297f8eb</x:t>
        </x:is>
      </x:c>
      <x:c r="P37" t="inlineStr">
        <x:is>
          <x:t xml:space="preserve">[650, 400, 1050, 500]</x:t>
        </x:is>
      </x:c>
      <x:c r="Q37" t="n">
        <x:v>0.54038792</x:v>
      </x:c>
      <x:c r="R37" t="n">
        <x:v>0.22422528</x:v>
      </x:c>
    </x:row>
    <x:row r="38">
      <x:c r="A38" t="n">
        <x:v>40</x:v>
      </x:c>
      <x:c r="B38" t="inlineStr">
        <x:is>
          <x:t xml:space="preserve">isolated five-dot target</x:t>
        </x:is>
      </x:c>
      <x:c r="C38" t="n">
        <x:v>4</x:v>
      </x:c>
      <x:c r="D38" t="n">
        <x:v>80</x:v>
      </x:c>
      <x:c r="E38" t="n">
        <x:v>1527.154</x:v>
      </x:c>
      <x:c r="F38" t="n">
        <x:v>737.939</x:v>
      </x:c>
      <x:c r="G38" t="n">
        <x:v>3406</x:v>
      </x:c>
      <x:c r="H38" t="n">
        <x:v>1493</x:v>
      </x:c>
      <x:c r="I38" t="n">
        <x:v>704</x:v>
      </x:c>
      <x:c r="J38" t="n">
        <x:v>1562</x:v>
      </x:c>
      <x:c r="K38" t="n">
        <x:v>772</x:v>
      </x:c>
      <x:c r="L38" t="n">
        <x:v>70</x:v>
      </x:c>
      <x:c r="M38" t="n">
        <x:v>69</x:v>
      </x:c>
      <x:c r="N38" t="inlineStr">
        <x:is>
          <x:t xml:space="preserve">8-connected dark component centroid; new JS baseline-JPEG Y decoder</x:t>
        </x:is>
      </x:c>
      <x:c r="O38" t="inlineStr">
        <x:is>
          <x:t xml:space="preserve">feee4eed2a4f6d66456ff5a977f43c7ef297f8eb</x:t>
        </x:is>
      </x:c>
      <x:c r="P38" t="inlineStr">
        <x:is>
          <x:t xml:space="preserve">[650, 400, 1050, 500]</x:t>
        </x:is>
      </x:c>
      <x:c r="Q38" t="n">
        <x:v>0.63631417</x:v>
      </x:c>
      <x:c r="R38" t="n">
        <x:v>0.20498306</x:v>
      </x:c>
    </x:row>
    <x:row r="39">
      <x:c r="A39" t="n">
        <x:v>40</x:v>
      </x:c>
      <x:c r="B39" t="inlineStr">
        <x:is>
          <x:t xml:space="preserve">isolated five-dot target</x:t>
        </x:is>
      </x:c>
      <x:c r="C39" t="n">
        <x:v>5</x:v>
      </x:c>
      <x:c r="D39" t="n">
        <x:v>80</x:v>
      </x:c>
      <x:c r="E39" t="n">
        <x:v>1479.265</x:v>
      </x:c>
      <x:c r="F39" t="n">
        <x:v>546.5</x:v>
      </x:c>
      <x:c r="G39" t="n">
        <x:v>3370</x:v>
      </x:c>
      <x:c r="H39" t="n">
        <x:v>1445</x:v>
      </x:c>
      <x:c r="I39" t="n">
        <x:v>512</x:v>
      </x:c>
      <x:c r="J39" t="n">
        <x:v>1514</x:v>
      </x:c>
      <x:c r="K39" t="n">
        <x:v>581</x:v>
      </x:c>
      <x:c r="L39" t="n">
        <x:v>70</x:v>
      </x:c>
      <x:c r="M39" t="n">
        <x:v>70</x:v>
      </x:c>
      <x:c r="N39" t="inlineStr">
        <x:is>
          <x:t xml:space="preserve">8-connected dark component centroid; new JS baseline-JPEG Y decoder</x:t>
        </x:is>
      </x:c>
      <x:c r="O39" t="inlineStr">
        <x:is>
          <x:t xml:space="preserve">feee4eed2a4f6d66456ff5a977f43c7ef297f8eb</x:t>
        </x:is>
      </x:c>
      <x:c r="P39" t="inlineStr">
        <x:is>
          <x:t xml:space="preserve">[650, 400, 1050, 500]</x:t>
        </x:is>
      </x:c>
      <x:c r="Q39" t="n">
        <x:v>0.61636042</x:v>
      </x:c>
      <x:c r="R39" t="n">
        <x:v>0.15180556</x:v>
      </x:c>
    </x:row>
    <x:row r="40">
      <x:c r="A40" t="n">
        <x:v>40</x:v>
      </x:c>
      <x:c r="B40" t="inlineStr">
        <x:is>
          <x:t xml:space="preserve">isolated five-dot target</x:t>
        </x:is>
      </x:c>
      <x:c r="C40" t="n">
        <x:v>1</x:v>
      </x:c>
      <x:c r="D40" t="n">
        <x:v>100</x:v>
      </x:c>
      <x:c r="E40" t="n">
        <x:v>796.941</x:v>
      </x:c>
      <x:c r="F40" t="n">
        <x:v>568.255</x:v>
      </x:c>
      <x:c r="G40" t="n">
        <x:v>3552</x:v>
      </x:c>
      <x:c r="H40" t="n">
        <x:v>763</x:v>
      </x:c>
      <x:c r="I40" t="n">
        <x:v>534</x:v>
      </x:c>
      <x:c r="J40" t="n">
        <x:v>831</x:v>
      </x:c>
      <x:c r="K40" t="n">
        <x:v>603</x:v>
      </x:c>
      <x:c r="L40" t="n">
        <x:v>69</x:v>
      </x:c>
      <x:c r="M40" t="n">
        <x:v>70</x:v>
      </x:c>
      <x:c r="N40" t="inlineStr">
        <x:is>
          <x:t xml:space="preserve">8-connected dark component centroid; new JS baseline-JPEG Y decoder</x:t>
        </x:is>
      </x:c>
      <x:c r="O40" t="inlineStr">
        <x:is>
          <x:t xml:space="preserve">feee4eed2a4f6d66456ff5a977f43c7ef297f8eb</x:t>
        </x:is>
      </x:c>
      <x:c r="P40" t="inlineStr">
        <x:is>
          <x:t xml:space="preserve">[650, 400, 1050, 500]</x:t>
        </x:is>
      </x:c>
      <x:c r="Q40" t="n">
        <x:v>0.33205875</x:v>
      </x:c>
      <x:c r="R40" t="n">
        <x:v>0.15784861</x:v>
      </x:c>
    </x:row>
    <x:row r="41">
      <x:c r="A41" t="n">
        <x:v>40</x:v>
      </x:c>
      <x:c r="B41" t="inlineStr">
        <x:is>
          <x:t xml:space="preserve">isolated five-dot target</x:t>
        </x:is>
      </x:c>
      <x:c r="C41" t="n">
        <x:v>2</x:v>
      </x:c>
      <x:c r="D41" t="n">
        <x:v>100</x:v>
      </x:c>
      <x:c r="E41" t="n">
        <x:v>992.499</x:v>
      </x:c>
      <x:c r="F41" t="n">
        <x:v>507.363</x:v>
      </x:c>
      <x:c r="G41" t="n">
        <x:v>3568</x:v>
      </x:c>
      <x:c r="H41" t="n">
        <x:v>958</x:v>
      </x:c>
      <x:c r="I41" t="n">
        <x:v>473</x:v>
      </x:c>
      <x:c r="J41" t="n">
        <x:v>1027</x:v>
      </x:c>
      <x:c r="K41" t="n">
        <x:v>542</x:v>
      </x:c>
      <x:c r="L41" t="n">
        <x:v>70</x:v>
      </x:c>
      <x:c r="M41" t="n">
        <x:v>70</x:v>
      </x:c>
      <x:c r="N41" t="inlineStr">
        <x:is>
          <x:t xml:space="preserve">8-connected dark component centroid; new JS baseline-JPEG Y decoder</x:t>
        </x:is>
      </x:c>
      <x:c r="O41" t="inlineStr">
        <x:is>
          <x:t xml:space="preserve">feee4eed2a4f6d66456ff5a977f43c7ef297f8eb</x:t>
        </x:is>
      </x:c>
      <x:c r="P41" t="inlineStr">
        <x:is>
          <x:t xml:space="preserve">[650, 400, 1050, 500]</x:t>
        </x:is>
      </x:c>
      <x:c r="Q41" t="n">
        <x:v>0.41354125</x:v>
      </x:c>
      <x:c r="R41" t="n">
        <x:v>0.14093417</x:v>
      </x:c>
    </x:row>
    <x:row r="42">
      <x:c r="A42" t="n">
        <x:v>40</x:v>
      </x:c>
      <x:c r="B42" t="inlineStr">
        <x:is>
          <x:t xml:space="preserve">isolated five-dot target</x:t>
        </x:is>
      </x:c>
      <x:c r="C42" t="n">
        <x:v>3</x:v>
      </x:c>
      <x:c r="D42" t="n">
        <x:v>100</x:v>
      </x:c>
      <x:c r="E42" t="n">
        <x:v>1296.87</x:v>
      </x:c>
      <x:c r="F42" t="n">
        <x:v>807.236</x:v>
      </x:c>
      <x:c r="G42" t="n">
        <x:v>3431</x:v>
      </x:c>
      <x:c r="H42" t="n">
        <x:v>1263</x:v>
      </x:c>
      <x:c r="I42" t="n">
        <x:v>773</x:v>
      </x:c>
      <x:c r="J42" t="n">
        <x:v>1331</x:v>
      </x:c>
      <x:c r="K42" t="n">
        <x:v>842</x:v>
      </x:c>
      <x:c r="L42" t="n">
        <x:v>69</x:v>
      </x:c>
      <x:c r="M42" t="n">
        <x:v>70</x:v>
      </x:c>
      <x:c r="N42" t="inlineStr">
        <x:is>
          <x:t xml:space="preserve">8-connected dark component centroid; new JS baseline-JPEG Y decoder</x:t>
        </x:is>
      </x:c>
      <x:c r="O42" t="inlineStr">
        <x:is>
          <x:t xml:space="preserve">feee4eed2a4f6d66456ff5a977f43c7ef297f8eb</x:t>
        </x:is>
      </x:c>
      <x:c r="P42" t="inlineStr">
        <x:is>
          <x:t xml:space="preserve">[650, 400, 1050, 500]</x:t>
        </x:is>
      </x:c>
      <x:c r="Q42" t="n">
        <x:v>0.5403625</x:v>
      </x:c>
      <x:c r="R42" t="n">
        <x:v>0.22423222</x:v>
      </x:c>
    </x:row>
    <x:row r="43">
      <x:c r="A43" t="n">
        <x:v>40</x:v>
      </x:c>
      <x:c r="B43" t="inlineStr">
        <x:is>
          <x:t xml:space="preserve">isolated five-dot target</x:t>
        </x:is>
      </x:c>
      <x:c r="C43" t="n">
        <x:v>4</x:v>
      </x:c>
      <x:c r="D43" t="n">
        <x:v>100</x:v>
      </x:c>
      <x:c r="E43" t="n">
        <x:v>1527.166</x:v>
      </x:c>
      <x:c r="F43" t="n">
        <x:v>737.907</x:v>
      </x:c>
      <x:c r="G43" t="n">
        <x:v>3421</x:v>
      </x:c>
      <x:c r="H43" t="n">
        <x:v>1493</x:v>
      </x:c>
      <x:c r="I43" t="n">
        <x:v>704</x:v>
      </x:c>
      <x:c r="J43" t="n">
        <x:v>1562</x:v>
      </x:c>
      <x:c r="K43" t="n">
        <x:v>772</x:v>
      </x:c>
      <x:c r="L43" t="n">
        <x:v>70</x:v>
      </x:c>
      <x:c r="M43" t="n">
        <x:v>69</x:v>
      </x:c>
      <x:c r="N43" t="inlineStr">
        <x:is>
          <x:t xml:space="preserve">8-connected dark component centroid; new JS baseline-JPEG Y decoder</x:t>
        </x:is>
      </x:c>
      <x:c r="O43" t="inlineStr">
        <x:is>
          <x:t xml:space="preserve">feee4eed2a4f6d66456ff5a977f43c7ef297f8eb</x:t>
        </x:is>
      </x:c>
      <x:c r="P43" t="inlineStr">
        <x:is>
          <x:t xml:space="preserve">[650, 400, 1050, 500]</x:t>
        </x:is>
      </x:c>
      <x:c r="Q43" t="n">
        <x:v>0.63631917</x:v>
      </x:c>
      <x:c r="R43" t="n">
        <x:v>0.20497417</x:v>
      </x:c>
    </x:row>
    <x:row r="44">
      <x:c r="A44" t="n">
        <x:v>40</x:v>
      </x:c>
      <x:c r="B44" t="inlineStr">
        <x:is>
          <x:t xml:space="preserve">isolated five-dot target</x:t>
        </x:is>
      </x:c>
      <x:c r="C44" t="n">
        <x:v>5</x:v>
      </x:c>
      <x:c r="D44" t="n">
        <x:v>100</x:v>
      </x:c>
      <x:c r="E44" t="n">
        <x:v>1479.256</x:v>
      </x:c>
      <x:c r="F44" t="n">
        <x:v>546.48</x:v>
      </x:c>
      <x:c r="G44" t="n">
        <x:v>3395</x:v>
      </x:c>
      <x:c r="H44" t="n">
        <x:v>1445</x:v>
      </x:c>
      <x:c r="I44" t="n">
        <x:v>512</x:v>
      </x:c>
      <x:c r="J44" t="n">
        <x:v>1514</x:v>
      </x:c>
      <x:c r="K44" t="n">
        <x:v>581</x:v>
      </x:c>
      <x:c r="L44" t="n">
        <x:v>70</x:v>
      </x:c>
      <x:c r="M44" t="n">
        <x:v>70</x:v>
      </x:c>
      <x:c r="N44" t="inlineStr">
        <x:is>
          <x:t xml:space="preserve">8-connected dark component centroid; new JS baseline-JPEG Y decoder</x:t>
        </x:is>
      </x:c>
      <x:c r="O44" t="inlineStr">
        <x:is>
          <x:t xml:space="preserve">feee4eed2a4f6d66456ff5a977f43c7ef297f8eb</x:t>
        </x:is>
      </x:c>
      <x:c r="P44" t="inlineStr">
        <x:is>
          <x:t xml:space="preserve">[650, 400, 1050, 500]</x:t>
        </x:is>
      </x:c>
      <x:c r="Q44" t="n">
        <x:v>0.6163566700000001</x:v>
      </x:c>
      <x:c r="R44" t="n">
        <x:v>0.1518</x:v>
      </x:c>
    </x:row>
    <x:row r="45">
      <x:c r="A45" t="n">
        <x:v>73</x:v>
      </x:c>
      <x:c r="B45" t="inlineStr">
        <x:is>
          <x:t xml:space="preserve">isolated five-dot target</x:t>
        </x:is>
      </x:c>
      <x:c r="C45" t="n">
        <x:v>1</x:v>
      </x:c>
      <x:c r="D45" t="n">
        <x:v>40</x:v>
      </x:c>
      <x:c r="E45" t="n">
        <x:v>1103.931</x:v>
      </x:c>
      <x:c r="F45" t="n">
        <x:v>2447.221</x:v>
      </x:c>
      <x:c r="G45" t="n">
        <x:v>3407</x:v>
      </x:c>
      <x:c r="H45" t="n">
        <x:v>1070</x:v>
      </x:c>
      <x:c r="I45" t="n">
        <x:v>2413</x:v>
      </x:c>
      <x:c r="J45" t="n">
        <x:v>1138</x:v>
      </x:c>
      <x:c r="K45" t="n">
        <x:v>2482</x:v>
      </x:c>
      <x:c r="L45" t="n">
        <x:v>69</x:v>
      </x:c>
      <x:c r="M45" t="n">
        <x:v>70</x:v>
      </x:c>
      <x:c r="N45" t="inlineStr">
        <x:is>
          <x:t xml:space="preserve">8-connected dark component centroid; new JS baseline-JPEG Y decoder</x:t>
        </x:is>
      </x:c>
      <x:c r="O45" t="inlineStr">
        <x:is>
          <x:t xml:space="preserve">afa3428764199ddf590baf0c055c8caedc079cb1</x:t>
        </x:is>
      </x:c>
      <x:c r="P45" t="inlineStr">
        <x:is>
          <x:t xml:space="preserve">[750, 2290, 1020, 620]</x:t>
        </x:is>
      </x:c>
      <x:c r="Q45" t="n">
        <x:v>0.45997125</x:v>
      </x:c>
      <x:c r="R45" t="n">
        <x:v>0.67978361</x:v>
      </x:c>
    </x:row>
    <x:row r="46">
      <x:c r="A46" t="n">
        <x:v>73</x:v>
      </x:c>
      <x:c r="B46" t="inlineStr">
        <x:is>
          <x:t xml:space="preserve">isolated five-dot target</x:t>
        </x:is>
      </x:c>
      <x:c r="C46" t="n">
        <x:v>2</x:v>
      </x:c>
      <x:c r="D46" t="n">
        <x:v>40</x:v>
      </x:c>
      <x:c r="E46" t="n">
        <x:v>873.2670000000001</x:v>
      </x:c>
      <x:c r="F46" t="n">
        <x:v>2517</x:v>
      </x:c>
      <x:c r="G46" t="n">
        <x:v>3408</x:v>
      </x:c>
      <x:c r="H46" t="n">
        <x:v>839</x:v>
      </x:c>
      <x:c r="I46" t="n">
        <x:v>2483</x:v>
      </x:c>
      <x:c r="J46" t="n">
        <x:v>908</x:v>
      </x:c>
      <x:c r="K46" t="n">
        <x:v>2551</x:v>
      </x:c>
      <x:c r="L46" t="n">
        <x:v>70</x:v>
      </x:c>
      <x:c r="M46" t="n">
        <x:v>69</x:v>
      </x:c>
      <x:c r="N46" t="inlineStr">
        <x:is>
          <x:t xml:space="preserve">8-connected dark component centroid; new JS baseline-JPEG Y decoder</x:t>
        </x:is>
      </x:c>
      <x:c r="O46" t="inlineStr">
        <x:is>
          <x:t xml:space="preserve">afa3428764199ddf590baf0c055c8caedc079cb1</x:t>
        </x:is>
      </x:c>
      <x:c r="P46" t="inlineStr">
        <x:is>
          <x:t xml:space="preserve">[750, 2290, 1020, 620]</x:t>
        </x:is>
      </x:c>
      <x:c r="Q46" t="n">
        <x:v>0.36386125</x:v>
      </x:c>
      <x:c r="R46" t="n">
        <x:v>0.69916667</x:v>
      </x:c>
    </x:row>
    <x:row r="47">
      <x:c r="A47" t="n">
        <x:v>73</x:v>
      </x:c>
      <x:c r="B47" t="inlineStr">
        <x:is>
          <x:t xml:space="preserve">isolated five-dot target</x:t>
        </x:is>
      </x:c>
      <x:c r="C47" t="n">
        <x:v>3</x:v>
      </x:c>
      <x:c r="D47" t="n">
        <x:v>40</x:v>
      </x:c>
      <x:c r="E47" t="n">
        <x:v>921.154</x:v>
      </x:c>
      <x:c r="F47" t="n">
        <x:v>2708.061</x:v>
      </x:c>
      <x:c r="G47" t="n">
        <x:v>3406</x:v>
      </x:c>
      <x:c r="H47" t="n">
        <x:v>887</x:v>
      </x:c>
      <x:c r="I47" t="n">
        <x:v>2674</x:v>
      </x:c>
      <x:c r="J47" t="n">
        <x:v>956</x:v>
      </x:c>
      <x:c r="K47" t="n">
        <x:v>2742</x:v>
      </x:c>
      <x:c r="L47" t="n">
        <x:v>70</x:v>
      </x:c>
      <x:c r="M47" t="n">
        <x:v>69</x:v>
      </x:c>
      <x:c r="N47" t="inlineStr">
        <x:is>
          <x:t xml:space="preserve">8-connected dark component centroid; new JS baseline-JPEG Y decoder</x:t>
        </x:is>
      </x:c>
      <x:c r="O47" t="inlineStr">
        <x:is>
          <x:t xml:space="preserve">afa3428764199ddf590baf0c055c8caedc079cb1</x:t>
        </x:is>
      </x:c>
      <x:c r="P47" t="inlineStr">
        <x:is>
          <x:t xml:space="preserve">[750, 2290, 1020, 620]</x:t>
        </x:is>
      </x:c>
      <x:c r="Q47" t="n">
        <x:v>0.38381417</x:v>
      </x:c>
      <x:c r="R47" t="n">
        <x:v>0.75223917</x:v>
      </x:c>
    </x:row>
    <x:row r="48">
      <x:c r="A48" t="n">
        <x:v>73</x:v>
      </x:c>
      <x:c r="B48" t="inlineStr">
        <x:is>
          <x:t xml:space="preserve">isolated five-dot target</x:t>
        </x:is>
      </x:c>
      <x:c r="C48" t="n">
        <x:v>4</x:v>
      </x:c>
      <x:c r="D48" t="n">
        <x:v>40</x:v>
      </x:c>
      <x:c r="E48" t="n">
        <x:v>1603.905</x:v>
      </x:c>
      <x:c r="F48" t="n">
        <x:v>2686.477</x:v>
      </x:c>
      <x:c r="G48" t="n">
        <x:v>3390</x:v>
      </x:c>
      <x:c r="H48" t="n">
        <x:v>1570</x:v>
      </x:c>
      <x:c r="I48" t="n">
        <x:v>2652</x:v>
      </x:c>
      <x:c r="J48" t="n">
        <x:v>1638</x:v>
      </x:c>
      <x:c r="K48" t="n">
        <x:v>2721</x:v>
      </x:c>
      <x:c r="L48" t="n">
        <x:v>69</x:v>
      </x:c>
      <x:c r="M48" t="n">
        <x:v>70</x:v>
      </x:c>
      <x:c r="N48" t="inlineStr">
        <x:is>
          <x:t xml:space="preserve">8-connected dark component centroid; new JS baseline-JPEG Y decoder</x:t>
        </x:is>
      </x:c>
      <x:c r="O48" t="inlineStr">
        <x:is>
          <x:t xml:space="preserve">afa3428764199ddf590baf0c055c8caedc079cb1</x:t>
        </x:is>
      </x:c>
      <x:c r="P48" t="inlineStr">
        <x:is>
          <x:t xml:space="preserve">[750, 2290, 1020, 620]</x:t>
        </x:is>
      </x:c>
      <x:c r="Q48" t="n">
        <x:v>0.66829375</x:v>
      </x:c>
      <x:c r="R48" t="n">
        <x:v>0.7462436099999999</x:v>
      </x:c>
    </x:row>
    <x:row r="49">
      <x:c r="A49" t="n">
        <x:v>73</x:v>
      </x:c>
      <x:c r="B49" t="inlineStr">
        <x:is>
          <x:t xml:space="preserve">isolated five-dot target</x:t>
        </x:is>
      </x:c>
      <x:c r="C49" t="n">
        <x:v>5</x:v>
      </x:c>
      <x:c r="D49" t="n">
        <x:v>40</x:v>
      </x:c>
      <x:c r="E49" t="n">
        <x:v>1408.15</x:v>
      </x:c>
      <x:c r="F49" t="n">
        <x:v>2747.191</x:v>
      </x:c>
      <x:c r="G49" t="n">
        <x:v>3447</x:v>
      </x:c>
      <x:c r="H49" t="n">
        <x:v>1374</x:v>
      </x:c>
      <x:c r="I49" t="n">
        <x:v>2713</x:v>
      </x:c>
      <x:c r="J49" t="n">
        <x:v>1442</x:v>
      </x:c>
      <x:c r="K49" t="n">
        <x:v>2782</x:v>
      </x:c>
      <x:c r="L49" t="n">
        <x:v>69</x:v>
      </x:c>
      <x:c r="M49" t="n">
        <x:v>70</x:v>
      </x:c>
      <x:c r="N49" t="inlineStr">
        <x:is>
          <x:t xml:space="preserve">8-connected dark component centroid; new JS baseline-JPEG Y decoder</x:t>
        </x:is>
      </x:c>
      <x:c r="O49" t="inlineStr">
        <x:is>
          <x:t xml:space="preserve">afa3428764199ddf590baf0c055c8caedc079cb1</x:t>
        </x:is>
      </x:c>
      <x:c r="P49" t="inlineStr">
        <x:is>
          <x:t xml:space="preserve">[750, 2290, 1020, 620]</x:t>
        </x:is>
      </x:c>
      <x:c r="Q49" t="n">
        <x:v>0.58672917</x:v>
      </x:c>
      <x:c r="R49" t="n">
        <x:v>0.76310861</x:v>
      </x:c>
    </x:row>
    <x:row r="50">
      <x:c r="A50" t="n">
        <x:v>73</x:v>
      </x:c>
      <x:c r="B50" t="inlineStr">
        <x:is>
          <x:t xml:space="preserve">isolated five-dot target</x:t>
        </x:is>
      </x:c>
      <x:c r="C50" t="n">
        <x:v>1</x:v>
      </x:c>
      <x:c r="D50" t="n">
        <x:v>60</x:v>
      </x:c>
      <x:c r="E50" t="n">
        <x:v>1103.931</x:v>
      </x:c>
      <x:c r="F50" t="n">
        <x:v>2447.221</x:v>
      </x:c>
      <x:c r="G50" t="n">
        <x:v>3407</x:v>
      </x:c>
      <x:c r="H50" t="n">
        <x:v>1070</x:v>
      </x:c>
      <x:c r="I50" t="n">
        <x:v>2413</x:v>
      </x:c>
      <x:c r="J50" t="n">
        <x:v>1138</x:v>
      </x:c>
      <x:c r="K50" t="n">
        <x:v>2482</x:v>
      </x:c>
      <x:c r="L50" t="n">
        <x:v>69</x:v>
      </x:c>
      <x:c r="M50" t="n">
        <x:v>70</x:v>
      </x:c>
      <x:c r="N50" t="inlineStr">
        <x:is>
          <x:t xml:space="preserve">8-connected dark component centroid; new JS baseline-JPEG Y decoder</x:t>
        </x:is>
      </x:c>
      <x:c r="O50" t="inlineStr">
        <x:is>
          <x:t xml:space="preserve">afa3428764199ddf590baf0c055c8caedc079cb1</x:t>
        </x:is>
      </x:c>
      <x:c r="P50" t="inlineStr">
        <x:is>
          <x:t xml:space="preserve">[750, 2290, 1020, 620]</x:t>
        </x:is>
      </x:c>
      <x:c r="Q50" t="n">
        <x:v>0.45997125</x:v>
      </x:c>
      <x:c r="R50" t="n">
        <x:v>0.67978361</x:v>
      </x:c>
    </x:row>
    <x:row r="51">
      <x:c r="A51" t="n">
        <x:v>73</x:v>
      </x:c>
      <x:c r="B51" t="inlineStr">
        <x:is>
          <x:t xml:space="preserve">isolated five-dot target</x:t>
        </x:is>
      </x:c>
      <x:c r="C51" t="n">
        <x:v>2</x:v>
      </x:c>
      <x:c r="D51" t="n">
        <x:v>60</x:v>
      </x:c>
      <x:c r="E51" t="n">
        <x:v>873.2670000000001</x:v>
      </x:c>
      <x:c r="F51" t="n">
        <x:v>2517</x:v>
      </x:c>
      <x:c r="G51" t="n">
        <x:v>3408</x:v>
      </x:c>
      <x:c r="H51" t="n">
        <x:v>839</x:v>
      </x:c>
      <x:c r="I51" t="n">
        <x:v>2483</x:v>
      </x:c>
      <x:c r="J51" t="n">
        <x:v>908</x:v>
      </x:c>
      <x:c r="K51" t="n">
        <x:v>2551</x:v>
      </x:c>
      <x:c r="L51" t="n">
        <x:v>70</x:v>
      </x:c>
      <x:c r="M51" t="n">
        <x:v>69</x:v>
      </x:c>
      <x:c r="N51" t="inlineStr">
        <x:is>
          <x:t xml:space="preserve">8-connected dark component centroid; new JS baseline-JPEG Y decoder</x:t>
        </x:is>
      </x:c>
      <x:c r="O51" t="inlineStr">
        <x:is>
          <x:t xml:space="preserve">afa3428764199ddf590baf0c055c8caedc079cb1</x:t>
        </x:is>
      </x:c>
      <x:c r="P51" t="inlineStr">
        <x:is>
          <x:t xml:space="preserve">[750, 2290, 1020, 620]</x:t>
        </x:is>
      </x:c>
      <x:c r="Q51" t="n">
        <x:v>0.36386125</x:v>
      </x:c>
      <x:c r="R51" t="n">
        <x:v>0.69916667</x:v>
      </x:c>
    </x:row>
    <x:row r="52">
      <x:c r="A52" t="n">
        <x:v>73</x:v>
      </x:c>
      <x:c r="B52" t="inlineStr">
        <x:is>
          <x:t xml:space="preserve">isolated five-dot target</x:t>
        </x:is>
      </x:c>
      <x:c r="C52" t="n">
        <x:v>3</x:v>
      </x:c>
      <x:c r="D52" t="n">
        <x:v>60</x:v>
      </x:c>
      <x:c r="E52" t="n">
        <x:v>921.154</x:v>
      </x:c>
      <x:c r="F52" t="n">
        <x:v>2708.061</x:v>
      </x:c>
      <x:c r="G52" t="n">
        <x:v>3406</x:v>
      </x:c>
      <x:c r="H52" t="n">
        <x:v>887</x:v>
      </x:c>
      <x:c r="I52" t="n">
        <x:v>2674</x:v>
      </x:c>
      <x:c r="J52" t="n">
        <x:v>956</x:v>
      </x:c>
      <x:c r="K52" t="n">
        <x:v>2742</x:v>
      </x:c>
      <x:c r="L52" t="n">
        <x:v>70</x:v>
      </x:c>
      <x:c r="M52" t="n">
        <x:v>69</x:v>
      </x:c>
      <x:c r="N52" t="inlineStr">
        <x:is>
          <x:t xml:space="preserve">8-connected dark component centroid; new JS baseline-JPEG Y decoder</x:t>
        </x:is>
      </x:c>
      <x:c r="O52" t="inlineStr">
        <x:is>
          <x:t xml:space="preserve">afa3428764199ddf590baf0c055c8caedc079cb1</x:t>
        </x:is>
      </x:c>
      <x:c r="P52" t="inlineStr">
        <x:is>
          <x:t xml:space="preserve">[750, 2290, 1020, 620]</x:t>
        </x:is>
      </x:c>
      <x:c r="Q52" t="n">
        <x:v>0.38381417</x:v>
      </x:c>
      <x:c r="R52" t="n">
        <x:v>0.75223917</x:v>
      </x:c>
    </x:row>
    <x:row r="53">
      <x:c r="A53" t="n">
        <x:v>73</x:v>
      </x:c>
      <x:c r="B53" t="inlineStr">
        <x:is>
          <x:t xml:space="preserve">isolated five-dot target</x:t>
        </x:is>
      </x:c>
      <x:c r="C53" t="n">
        <x:v>4</x:v>
      </x:c>
      <x:c r="D53" t="n">
        <x:v>60</x:v>
      </x:c>
      <x:c r="E53" t="n">
        <x:v>1603.926</x:v>
      </x:c>
      <x:c r="F53" t="n">
        <x:v>2686.5</x:v>
      </x:c>
      <x:c r="G53" t="n">
        <x:v>3532</x:v>
      </x:c>
      <x:c r="H53" t="n">
        <x:v>1570</x:v>
      </x:c>
      <x:c r="I53" t="n">
        <x:v>2652</x:v>
      </x:c>
      <x:c r="J53" t="n">
        <x:v>1638</x:v>
      </x:c>
      <x:c r="K53" t="n">
        <x:v>2721</x:v>
      </x:c>
      <x:c r="L53" t="n">
        <x:v>69</x:v>
      </x:c>
      <x:c r="M53" t="n">
        <x:v>70</x:v>
      </x:c>
      <x:c r="N53" t="inlineStr">
        <x:is>
          <x:t xml:space="preserve">8-connected dark component centroid; new JS baseline-JPEG Y decoder</x:t>
        </x:is>
      </x:c>
      <x:c r="O53" t="inlineStr">
        <x:is>
          <x:t xml:space="preserve">afa3428764199ddf590baf0c055c8caedc079cb1</x:t>
        </x:is>
      </x:c>
      <x:c r="P53" t="inlineStr">
        <x:is>
          <x:t xml:space="preserve">[750, 2290, 1020, 620]</x:t>
        </x:is>
      </x:c>
      <x:c r="Q53" t="n">
        <x:v>0.6683025</x:v>
      </x:c>
      <x:c r="R53" t="n">
        <x:v>0.74625</x:v>
      </x:c>
    </x:row>
    <x:row r="54">
      <x:c r="A54" t="n">
        <x:v>73</x:v>
      </x:c>
      <x:c r="B54" t="inlineStr">
        <x:is>
          <x:t xml:space="preserve">isolated five-dot target</x:t>
        </x:is>
      </x:c>
      <x:c r="C54" t="n">
        <x:v>5</x:v>
      </x:c>
      <x:c r="D54" t="n">
        <x:v>60</x:v>
      </x:c>
      <x:c r="E54" t="n">
        <x:v>1408.066</x:v>
      </x:c>
      <x:c r="F54" t="n">
        <x:v>2747.282</x:v>
      </x:c>
      <x:c r="G54" t="n">
        <x:v>3551</x:v>
      </x:c>
      <x:c r="H54" t="n">
        <x:v>1374</x:v>
      </x:c>
      <x:c r="I54" t="n">
        <x:v>2713</x:v>
      </x:c>
      <x:c r="J54" t="n">
        <x:v>1442</x:v>
      </x:c>
      <x:c r="K54" t="n">
        <x:v>2782</x:v>
      </x:c>
      <x:c r="L54" t="n">
        <x:v>69</x:v>
      </x:c>
      <x:c r="M54" t="n">
        <x:v>70</x:v>
      </x:c>
      <x:c r="N54" t="inlineStr">
        <x:is>
          <x:t xml:space="preserve">8-connected dark component centroid; new JS baseline-JPEG Y decoder</x:t>
        </x:is>
      </x:c>
      <x:c r="O54" t="inlineStr">
        <x:is>
          <x:t xml:space="preserve">afa3428764199ddf590baf0c055c8caedc079cb1</x:t>
        </x:is>
      </x:c>
      <x:c r="P54" t="inlineStr">
        <x:is>
          <x:t xml:space="preserve">[750, 2290, 1020, 620]</x:t>
        </x:is>
      </x:c>
      <x:c r="Q54" t="n">
        <x:v>0.58669417</x:v>
      </x:c>
      <x:c r="R54" t="n">
        <x:v>0.76313389</x:v>
      </x:c>
    </x:row>
    <x:row r="55">
      <x:c r="A55" t="n">
        <x:v>73</x:v>
      </x:c>
      <x:c r="B55" t="inlineStr">
        <x:is>
          <x:t xml:space="preserve">isolated five-dot target</x:t>
        </x:is>
      </x:c>
      <x:c r="C55" t="n">
        <x:v>1</x:v>
      </x:c>
      <x:c r="D55" t="n">
        <x:v>80</x:v>
      </x:c>
      <x:c r="E55" t="n">
        <x:v>1103.931</x:v>
      </x:c>
      <x:c r="F55" t="n">
        <x:v>2447.221</x:v>
      </x:c>
      <x:c r="G55" t="n">
        <x:v>3407</x:v>
      </x:c>
      <x:c r="H55" t="n">
        <x:v>1070</x:v>
      </x:c>
      <x:c r="I55" t="n">
        <x:v>2413</x:v>
      </x:c>
      <x:c r="J55" t="n">
        <x:v>1138</x:v>
      </x:c>
      <x:c r="K55" t="n">
        <x:v>2482</x:v>
      </x:c>
      <x:c r="L55" t="n">
        <x:v>69</x:v>
      </x:c>
      <x:c r="M55" t="n">
        <x:v>70</x:v>
      </x:c>
      <x:c r="N55" t="inlineStr">
        <x:is>
          <x:t xml:space="preserve">8-connected dark component centroid; new JS baseline-JPEG Y decoder</x:t>
        </x:is>
      </x:c>
      <x:c r="O55" t="inlineStr">
        <x:is>
          <x:t xml:space="preserve">afa3428764199ddf590baf0c055c8caedc079cb1</x:t>
        </x:is>
      </x:c>
      <x:c r="P55" t="inlineStr">
        <x:is>
          <x:t xml:space="preserve">[750, 2290, 1020, 620]</x:t>
        </x:is>
      </x:c>
      <x:c r="Q55" t="n">
        <x:v>0.45997125</x:v>
      </x:c>
      <x:c r="R55" t="n">
        <x:v>0.67978361</x:v>
      </x:c>
    </x:row>
    <x:row r="56">
      <x:c r="A56" t="n">
        <x:v>73</x:v>
      </x:c>
      <x:c r="B56" t="inlineStr">
        <x:is>
          <x:t xml:space="preserve">isolated five-dot target</x:t>
        </x:is>
      </x:c>
      <x:c r="C56" t="n">
        <x:v>2</x:v>
      </x:c>
      <x:c r="D56" t="n">
        <x:v>80</x:v>
      </x:c>
      <x:c r="E56" t="n">
        <x:v>873.2670000000001</x:v>
      </x:c>
      <x:c r="F56" t="n">
        <x:v>2517</x:v>
      </x:c>
      <x:c r="G56" t="n">
        <x:v>3408</x:v>
      </x:c>
      <x:c r="H56" t="n">
        <x:v>839</x:v>
      </x:c>
      <x:c r="I56" t="n">
        <x:v>2483</x:v>
      </x:c>
      <x:c r="J56" t="n">
        <x:v>908</x:v>
      </x:c>
      <x:c r="K56" t="n">
        <x:v>2551</x:v>
      </x:c>
      <x:c r="L56" t="n">
        <x:v>70</x:v>
      </x:c>
      <x:c r="M56" t="n">
        <x:v>69</x:v>
      </x:c>
      <x:c r="N56" t="inlineStr">
        <x:is>
          <x:t xml:space="preserve">8-connected dark component centroid; new JS baseline-JPEG Y decoder</x:t>
        </x:is>
      </x:c>
      <x:c r="O56" t="inlineStr">
        <x:is>
          <x:t xml:space="preserve">afa3428764199ddf590baf0c055c8caedc079cb1</x:t>
        </x:is>
      </x:c>
      <x:c r="P56" t="inlineStr">
        <x:is>
          <x:t xml:space="preserve">[750, 2290, 1020, 620]</x:t>
        </x:is>
      </x:c>
      <x:c r="Q56" t="n">
        <x:v>0.36386125</x:v>
      </x:c>
      <x:c r="R56" t="n">
        <x:v>0.69916667</x:v>
      </x:c>
    </x:row>
    <x:row r="57">
      <x:c r="A57" t="n">
        <x:v>73</x:v>
      </x:c>
      <x:c r="B57" t="inlineStr">
        <x:is>
          <x:t xml:space="preserve">isolated five-dot target</x:t>
        </x:is>
      </x:c>
      <x:c r="C57" t="n">
        <x:v>3</x:v>
      </x:c>
      <x:c r="D57" t="n">
        <x:v>80</x:v>
      </x:c>
      <x:c r="E57" t="n">
        <x:v>921.154</x:v>
      </x:c>
      <x:c r="F57" t="n">
        <x:v>2708.061</x:v>
      </x:c>
      <x:c r="G57" t="n">
        <x:v>3406</x:v>
      </x:c>
      <x:c r="H57" t="n">
        <x:v>887</x:v>
      </x:c>
      <x:c r="I57" t="n">
        <x:v>2674</x:v>
      </x:c>
      <x:c r="J57" t="n">
        <x:v>956</x:v>
      </x:c>
      <x:c r="K57" t="n">
        <x:v>2742</x:v>
      </x:c>
      <x:c r="L57" t="n">
        <x:v>70</x:v>
      </x:c>
      <x:c r="M57" t="n">
        <x:v>69</x:v>
      </x:c>
      <x:c r="N57" t="inlineStr">
        <x:is>
          <x:t xml:space="preserve">8-connected dark component centroid; new JS baseline-JPEG Y decoder</x:t>
        </x:is>
      </x:c>
      <x:c r="O57" t="inlineStr">
        <x:is>
          <x:t xml:space="preserve">afa3428764199ddf590baf0c055c8caedc079cb1</x:t>
        </x:is>
      </x:c>
      <x:c r="P57" t="inlineStr">
        <x:is>
          <x:t xml:space="preserve">[750, 2290, 1020, 620]</x:t>
        </x:is>
      </x:c>
      <x:c r="Q57" t="n">
        <x:v>0.38381417</x:v>
      </x:c>
      <x:c r="R57" t="n">
        <x:v>0.75223917</x:v>
      </x:c>
    </x:row>
    <x:row r="58">
      <x:c r="A58" t="n">
        <x:v>73</x:v>
      </x:c>
      <x:c r="B58" t="inlineStr">
        <x:is>
          <x:t xml:space="preserve">isolated five-dot target</x:t>
        </x:is>
      </x:c>
      <x:c r="C58" t="n">
        <x:v>4</x:v>
      </x:c>
      <x:c r="D58" t="n">
        <x:v>80</x:v>
      </x:c>
      <x:c r="E58" t="n">
        <x:v>1603.926</x:v>
      </x:c>
      <x:c r="F58" t="n">
        <x:v>2686.5</x:v>
      </x:c>
      <x:c r="G58" t="n">
        <x:v>3532</x:v>
      </x:c>
      <x:c r="H58" t="n">
        <x:v>1570</x:v>
      </x:c>
      <x:c r="I58" t="n">
        <x:v>2652</x:v>
      </x:c>
      <x:c r="J58" t="n">
        <x:v>1638</x:v>
      </x:c>
      <x:c r="K58" t="n">
        <x:v>2721</x:v>
      </x:c>
      <x:c r="L58" t="n">
        <x:v>69</x:v>
      </x:c>
      <x:c r="M58" t="n">
        <x:v>70</x:v>
      </x:c>
      <x:c r="N58" t="inlineStr">
        <x:is>
          <x:t xml:space="preserve">8-connected dark component centroid; new JS baseline-JPEG Y decoder</x:t>
        </x:is>
      </x:c>
      <x:c r="O58" t="inlineStr">
        <x:is>
          <x:t xml:space="preserve">afa3428764199ddf590baf0c055c8caedc079cb1</x:t>
        </x:is>
      </x:c>
      <x:c r="P58" t="inlineStr">
        <x:is>
          <x:t xml:space="preserve">[750, 2290, 1020, 620]</x:t>
        </x:is>
      </x:c>
      <x:c r="Q58" t="n">
        <x:v>0.6683025</x:v>
      </x:c>
      <x:c r="R58" t="n">
        <x:v>0.74625</x:v>
      </x:c>
    </x:row>
    <x:row r="59">
      <x:c r="A59" t="n">
        <x:v>73</x:v>
      </x:c>
      <x:c r="B59" t="inlineStr">
        <x:is>
          <x:t xml:space="preserve">isolated five-dot target</x:t>
        </x:is>
      </x:c>
      <x:c r="C59" t="n">
        <x:v>5</x:v>
      </x:c>
      <x:c r="D59" t="n">
        <x:v>80</x:v>
      </x:c>
      <x:c r="E59" t="n">
        <x:v>1408.066</x:v>
      </x:c>
      <x:c r="F59" t="n">
        <x:v>2747.282</x:v>
      </x:c>
      <x:c r="G59" t="n">
        <x:v>3551</x:v>
      </x:c>
      <x:c r="H59" t="n">
        <x:v>1374</x:v>
      </x:c>
      <x:c r="I59" t="n">
        <x:v>2713</x:v>
      </x:c>
      <x:c r="J59" t="n">
        <x:v>1442</x:v>
      </x:c>
      <x:c r="K59" t="n">
        <x:v>2782</x:v>
      </x:c>
      <x:c r="L59" t="n">
        <x:v>69</x:v>
      </x:c>
      <x:c r="M59" t="n">
        <x:v>70</x:v>
      </x:c>
      <x:c r="N59" t="inlineStr">
        <x:is>
          <x:t xml:space="preserve">8-connected dark component centroid; new JS baseline-JPEG Y decoder</x:t>
        </x:is>
      </x:c>
      <x:c r="O59" t="inlineStr">
        <x:is>
          <x:t xml:space="preserve">afa3428764199ddf590baf0c055c8caedc079cb1</x:t>
        </x:is>
      </x:c>
      <x:c r="P59" t="inlineStr">
        <x:is>
          <x:t xml:space="preserve">[750, 2290, 1020, 620]</x:t>
        </x:is>
      </x:c>
      <x:c r="Q59" t="n">
        <x:v>0.58669417</x:v>
      </x:c>
      <x:c r="R59" t="n">
        <x:v>0.76313389</x:v>
      </x:c>
    </x:row>
    <x:row r="60">
      <x:c r="A60" t="n">
        <x:v>73</x:v>
      </x:c>
      <x:c r="B60" t="inlineStr">
        <x:is>
          <x:t xml:space="preserve">isolated five-dot target</x:t>
        </x:is>
      </x:c>
      <x:c r="C60" t="n">
        <x:v>1</x:v>
      </x:c>
      <x:c r="D60" t="n">
        <x:v>100</x:v>
      </x:c>
      <x:c r="E60" t="n">
        <x:v>1103.858</x:v>
      </x:c>
      <x:c r="F60" t="n">
        <x:v>2447.251</x:v>
      </x:c>
      <x:c r="G60" t="n">
        <x:v>3450</x:v>
      </x:c>
      <x:c r="H60" t="n">
        <x:v>1070</x:v>
      </x:c>
      <x:c r="I60" t="n">
        <x:v>2413</x:v>
      </x:c>
      <x:c r="J60" t="n">
        <x:v>1138</x:v>
      </x:c>
      <x:c r="K60" t="n">
        <x:v>2482</x:v>
      </x:c>
      <x:c r="L60" t="n">
        <x:v>69</x:v>
      </x:c>
      <x:c r="M60" t="n">
        <x:v>70</x:v>
      </x:c>
      <x:c r="N60" t="inlineStr">
        <x:is>
          <x:t xml:space="preserve">8-connected dark component centroid; new JS baseline-JPEG Y decoder</x:t>
        </x:is>
      </x:c>
      <x:c r="O60" t="inlineStr">
        <x:is>
          <x:t xml:space="preserve">afa3428764199ddf590baf0c055c8caedc079cb1</x:t>
        </x:is>
      </x:c>
      <x:c r="P60" t="inlineStr">
        <x:is>
          <x:t xml:space="preserve">[750, 2290, 1020, 620]</x:t>
        </x:is>
      </x:c>
      <x:c r="Q60" t="n">
        <x:v>0.45994083</x:v>
      </x:c>
      <x:c r="R60" t="n">
        <x:v>0.67979194</x:v>
      </x:c>
    </x:row>
    <x:row r="61">
      <x:c r="A61" t="n">
        <x:v>73</x:v>
      </x:c>
      <x:c r="B61" t="inlineStr">
        <x:is>
          <x:t xml:space="preserve">isolated five-dot target</x:t>
        </x:is>
      </x:c>
      <x:c r="C61" t="n">
        <x:v>2</x:v>
      </x:c>
      <x:c r="D61" t="n">
        <x:v>100</x:v>
      </x:c>
      <x:c r="E61" t="n">
        <x:v>873.245</x:v>
      </x:c>
      <x:c r="F61" t="n">
        <x:v>2517.003</x:v>
      </x:c>
      <x:c r="G61" t="n">
        <x:v>3426</x:v>
      </x:c>
      <x:c r="H61" t="n">
        <x:v>839</x:v>
      </x:c>
      <x:c r="I61" t="n">
        <x:v>2483</x:v>
      </x:c>
      <x:c r="J61" t="n">
        <x:v>908</x:v>
      </x:c>
      <x:c r="K61" t="n">
        <x:v>2551</x:v>
      </x:c>
      <x:c r="L61" t="n">
        <x:v>70</x:v>
      </x:c>
      <x:c r="M61" t="n">
        <x:v>69</x:v>
      </x:c>
      <x:c r="N61" t="inlineStr">
        <x:is>
          <x:t xml:space="preserve">8-connected dark component centroid; new JS baseline-JPEG Y decoder</x:t>
        </x:is>
      </x:c>
      <x:c r="O61" t="inlineStr">
        <x:is>
          <x:t xml:space="preserve">afa3428764199ddf590baf0c055c8caedc079cb1</x:t>
        </x:is>
      </x:c>
      <x:c r="P61" t="inlineStr">
        <x:is>
          <x:t xml:space="preserve">[750, 2290, 1020, 620]</x:t>
        </x:is>
      </x:c>
      <x:c r="Q61" t="n">
        <x:v>0.36385208</x:v>
      </x:c>
      <x:c r="R61" t="n">
        <x:v>0.6991675000000001</x:v>
      </x:c>
    </x:row>
    <x:row r="62">
      <x:c r="A62" t="n">
        <x:v>73</x:v>
      </x:c>
      <x:c r="B62" t="inlineStr">
        <x:is>
          <x:t xml:space="preserve">isolated five-dot target</x:t>
        </x:is>
      </x:c>
      <x:c r="C62" t="n">
        <x:v>3</x:v>
      </x:c>
      <x:c r="D62" t="n">
        <x:v>100</x:v>
      </x:c>
      <x:c r="E62" t="n">
        <x:v>921.155</x:v>
      </x:c>
      <x:c r="F62" t="n">
        <x:v>2708.109</x:v>
      </x:c>
      <x:c r="G62" t="n">
        <x:v>3417</x:v>
      </x:c>
      <x:c r="H62" t="n">
        <x:v>887</x:v>
      </x:c>
      <x:c r="I62" t="n">
        <x:v>2674</x:v>
      </x:c>
      <x:c r="J62" t="n">
        <x:v>956</x:v>
      </x:c>
      <x:c r="K62" t="n">
        <x:v>2742</x:v>
      </x:c>
      <x:c r="L62" t="n">
        <x:v>70</x:v>
      </x:c>
      <x:c r="M62" t="n">
        <x:v>69</x:v>
      </x:c>
      <x:c r="N62" t="inlineStr">
        <x:is>
          <x:t xml:space="preserve">8-connected dark component centroid; new JS baseline-JPEG Y decoder</x:t>
        </x:is>
      </x:c>
      <x:c r="O62" t="inlineStr">
        <x:is>
          <x:t xml:space="preserve">afa3428764199ddf590baf0c055c8caedc079cb1</x:t>
        </x:is>
      </x:c>
      <x:c r="P62" t="inlineStr">
        <x:is>
          <x:t xml:space="preserve">[750, 2290, 1020, 620]</x:t>
        </x:is>
      </x:c>
      <x:c r="Q62" t="n">
        <x:v>0.38381458</x:v>
      </x:c>
      <x:c r="R62" t="n">
        <x:v>0.7522525</x:v>
      </x:c>
    </x:row>
    <x:row r="63">
      <x:c r="A63" t="n">
        <x:v>73</x:v>
      </x:c>
      <x:c r="B63" t="inlineStr">
        <x:is>
          <x:t xml:space="preserve">isolated five-dot target</x:t>
        </x:is>
      </x:c>
      <x:c r="C63" t="n">
        <x:v>4</x:v>
      </x:c>
      <x:c r="D63" t="n">
        <x:v>100</x:v>
      </x:c>
      <x:c r="E63" t="n">
        <x:v>1603.926</x:v>
      </x:c>
      <x:c r="F63" t="n">
        <x:v>2686.512</x:v>
      </x:c>
      <x:c r="G63" t="n">
        <x:v>3540</x:v>
      </x:c>
      <x:c r="H63" t="n">
        <x:v>1570</x:v>
      </x:c>
      <x:c r="I63" t="n">
        <x:v>2652</x:v>
      </x:c>
      <x:c r="J63" t="n">
        <x:v>1638</x:v>
      </x:c>
      <x:c r="K63" t="n">
        <x:v>2721</x:v>
      </x:c>
      <x:c r="L63" t="n">
        <x:v>69</x:v>
      </x:c>
      <x:c r="M63" t="n">
        <x:v>70</x:v>
      </x:c>
      <x:c r="N63" t="inlineStr">
        <x:is>
          <x:t xml:space="preserve">8-connected dark component centroid; new JS baseline-JPEG Y decoder</x:t>
        </x:is>
      </x:c>
      <x:c r="O63" t="inlineStr">
        <x:is>
          <x:t xml:space="preserve">afa3428764199ddf590baf0c055c8caedc079cb1</x:t>
        </x:is>
      </x:c>
      <x:c r="P63" t="inlineStr">
        <x:is>
          <x:t xml:space="preserve">[750, 2290, 1020, 620]</x:t>
        </x:is>
      </x:c>
      <x:c r="Q63" t="n">
        <x:v>0.6683025</x:v>
      </x:c>
      <x:c r="R63" t="n">
        <x:v>0.74625333</x:v>
      </x:c>
    </x:row>
    <x:row r="64">
      <x:c r="A64" t="n">
        <x:v>73</x:v>
      </x:c>
      <x:c r="B64" t="inlineStr">
        <x:is>
          <x:t xml:space="preserve">isolated five-dot target</x:t>
        </x:is>
      </x:c>
      <x:c r="C64" t="n">
        <x:v>5</x:v>
      </x:c>
      <x:c r="D64" t="n">
        <x:v>100</x:v>
      </x:c>
      <x:c r="E64" t="n">
        <x:v>1408.092</x:v>
      </x:c>
      <x:c r="F64" t="n">
        <x:v>2747.282</x:v>
      </x:c>
      <x:c r="G64" t="n">
        <x:v>3559</x:v>
      </x:c>
      <x:c r="H64" t="n">
        <x:v>1374</x:v>
      </x:c>
      <x:c r="I64" t="n">
        <x:v>2713</x:v>
      </x:c>
      <x:c r="J64" t="n">
        <x:v>1442</x:v>
      </x:c>
      <x:c r="K64" t="n">
        <x:v>2782</x:v>
      </x:c>
      <x:c r="L64" t="n">
        <x:v>69</x:v>
      </x:c>
      <x:c r="M64" t="n">
        <x:v>70</x:v>
      </x:c>
      <x:c r="N64" t="inlineStr">
        <x:is>
          <x:t xml:space="preserve">8-connected dark component centroid; new JS baseline-JPEG Y decoder</x:t>
        </x:is>
      </x:c>
      <x:c r="O64" t="inlineStr">
        <x:is>
          <x:t xml:space="preserve">afa3428764199ddf590baf0c055c8caedc079cb1</x:t>
        </x:is>
      </x:c>
      <x:c r="P64" t="inlineStr">
        <x:is>
          <x:t xml:space="preserve">[750, 2290, 1020, 620]</x:t>
        </x:is>
      </x:c>
      <x:c r="Q64" t="n">
        <x:v>0.586705</x:v>
      </x:c>
      <x:c r="R64" t="n">
        <x:v>0.76313389</x:v>
      </x:c>
    </x:row>
  </x:sheetData>
  <x:pageMargins left="0.7" right="0.7" top="0.75" bottom="0.75" header="0.3" footer="0.3"/>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Auxiliary Dot-Group Measurements — Source Pixel Controls v1.1</x:t>
        </x:is>
      </x:c>
      <x:c r="B1" s="246" t="n"/>
      <x:c r="C1" s="246" t="n"/>
      <x:c r="D1" s="246" t="n"/>
      <x:c r="E1" s="246" t="n"/>
      <x:c r="F1" s="246" t="n"/>
      <x:c r="G1" s="246" t="n"/>
      <x:c r="H1" s="246" t="n"/>
      <x:c r="I1" s="246" t="n"/>
      <x:c r="J1" s="246" t="n"/>
      <x:c r="K1" s="246" t="n"/>
      <x:c r="L1" s="246" t="n"/>
      <x:c r="M1" s="246" t="n"/>
      <x:c r="N1" s="246" t="n"/>
      <x:c r="O1" s="246" t="n"/>
      <x:c r="P1" s="246" t="n"/>
      <x:c r="Q1" s="246" t="n"/>
    </x:row>
    <x:row r="2">
      <x:c r="A2" t="inlineStr">
        <x:is>
          <x:t xml:space="preserve">Threshold-60 measurements from original JPEGs. Page-39 extra candidates and incomplete left-side plant ROIs are preserved explicitly rather than assigned to the annotated groups.</x:t>
        </x:is>
      </x:c>
    </x:row>
    <x:row r="4">
      <x:c r="A4" s="248" t="inlineStr">
        <x:is>
          <x:t xml:space="preserve">Page</x:t>
        </x:is>
      </x:c>
      <x:c r="B4" s="248" t="inlineStr">
        <x:is>
          <x:t xml:space="preserve">Region/group class</x:t>
        </x:is>
      </x:c>
      <x:c r="C4" s="248" t="inlineStr">
        <x:is>
          <x:t xml:space="preserve">Dot/candidate label</x:t>
        </x:is>
      </x:c>
      <x:c r="D4" s="248" t="inlineStr">
        <x:is>
          <x:t xml:space="preserve">Source Git blob SHA-1</x:t>
        </x:is>
      </x:c>
      <x:c r="E4" s="248" t="inlineStr">
        <x:is>
          <x:t xml:space="preserve">Gray threshold</x:t>
        </x:is>
      </x:c>
      <x:c r="F4" s="248" t="inlineStr">
        <x:is>
          <x:t xml:space="preserve">Centroid X px</x:t>
        </x:is>
      </x:c>
      <x:c r="G4" s="248" t="inlineStr">
        <x:is>
          <x:t xml:space="preserve">Centroid Y px</x:t>
        </x:is>
      </x:c>
      <x:c r="H4" s="248" t="inlineStr">
        <x:is>
          <x:t xml:space="preserve">Area px²</x:t>
        </x:is>
      </x:c>
      <x:c r="I4" s="248" t="inlineStr">
        <x:is>
          <x:t xml:space="preserve">BBox X0</x:t>
        </x:is>
      </x:c>
      <x:c r="J4" s="248" t="inlineStr">
        <x:is>
          <x:t xml:space="preserve">BBox Y0</x:t>
        </x:is>
      </x:c>
      <x:c r="K4" s="248" t="inlineStr">
        <x:is>
          <x:t xml:space="preserve">BBox X1</x:t>
        </x:is>
      </x:c>
      <x:c r="L4" s="248" t="inlineStr">
        <x:is>
          <x:t xml:space="preserve">BBox Y1</x:t>
        </x:is>
      </x:c>
      <x:c r="M4" s="248" t="inlineStr">
        <x:is>
          <x:t xml:space="preserve">BBox width px</x:t>
        </x:is>
      </x:c>
      <x:c r="N4" s="248" t="inlineStr">
        <x:is>
          <x:t xml:space="preserve">BBox height px</x:t>
        </x:is>
      </x:c>
      <x:c r="O4" s="248" t="inlineStr">
        <x:is>
          <x:t xml:space="preserve">Fill ratio</x:t>
        </x:is>
      </x:c>
      <x:c r="P4" s="248" t="inlineStr">
        <x:is>
          <x:t xml:space="preserve">Classification / note</x:t>
        </x:is>
      </x:c>
      <x:c r="Q4" s="248" t="inlineStr">
        <x:is>
          <x:t xml:space="preserve">Original source URL</x:t>
        </x:is>
      </x:c>
    </x:row>
    <x:row r="5">
      <x:c r="A5" t="n">
        <x:v>50</x:v>
      </x:c>
      <x:c r="B5" t="inlineStr">
        <x:is>
          <x:t xml:space="preserve">three-dot horizontal row</x:t>
        </x:is>
      </x:c>
      <x:c r="C5" t="inlineStr">
        <x:is>
          <x:t xml:space="preserve">dot_1</x:t>
        </x:is>
      </x:c>
      <x:c r="D5" t="inlineStr">
        <x:is>
          <x:t xml:space="preserve">68d3e28d8c4161fdfe91a542f5bac8e276bc441e</x:t>
        </x:is>
      </x:c>
      <x:c r="E5" t="n">
        <x:v>60</x:v>
      </x:c>
      <x:c r="F5" t="n">
        <x:v>766.221</x:v>
      </x:c>
      <x:c r="G5" t="n">
        <x:v>1743.931</x:v>
      </x:c>
      <x:c r="H5" t="n">
        <x:v>3407</x:v>
      </x:c>
      <x:c r="I5" t="n">
        <x:v>732</x:v>
      </x:c>
      <x:c r="J5" t="n">
        <x:v>1710</x:v>
      </x:c>
      <x:c r="K5" t="n">
        <x:v>801</x:v>
      </x:c>
      <x:c r="L5" t="n">
        <x:v>1778</x:v>
      </x:c>
      <x:c r="M5" t="n">
        <x:v>70</x:v>
      </x:c>
      <x:c r="N5" t="n">
        <x:v>69</x:v>
      </x:c>
      <x:c r="O5" t="n">
        <x:v>0.705</x:v>
      </x:c>
      <x:c r="P5" t="inlineStr">
        <x:is>
          <x:t xml:space="preserve">Threshold-60 component; point order is left-to-right.</x:t>
        </x:is>
      </x:c>
      <x:c r="Q5" t="inlineStr">
        <x:is>
          <x:t xml:space="preserve">https://github.com/scream314/cicada3301/blob/master/assets/2014/liber-primus-complete/50.jpg</x:t>
        </x:is>
      </x:c>
    </x:row>
    <x:row r="6">
      <x:c r="A6" t="n">
        <x:v>50</x:v>
      </x:c>
      <x:c r="B6" t="inlineStr">
        <x:is>
          <x:t xml:space="preserve">three-dot horizontal row</x:t>
        </x:is>
      </x:c>
      <x:c r="C6" t="inlineStr">
        <x:is>
          <x:t xml:space="preserve">dot_2</x:t>
        </x:is>
      </x:c>
      <x:c r="D6" t="inlineStr">
        <x:is>
          <x:t xml:space="preserve">68d3e28d8c4161fdfe91a542f5bac8e276bc441e</x:t>
        </x:is>
      </x:c>
      <x:c r="E6" t="n">
        <x:v>60</x:v>
      </x:c>
      <x:c r="F6" t="n">
        <x:v>1183.846</x:v>
      </x:c>
      <x:c r="G6" t="n">
        <x:v>1743.939</x:v>
      </x:c>
      <x:c r="H6" t="n">
        <x:v>3406</x:v>
      </x:c>
      <x:c r="I6" t="n">
        <x:v>1149</x:v>
      </x:c>
      <x:c r="J6" t="n">
        <x:v>1710</x:v>
      </x:c>
      <x:c r="K6" t="n">
        <x:v>1218</x:v>
      </x:c>
      <x:c r="L6" t="n">
        <x:v>1778</x:v>
      </x:c>
      <x:c r="M6" t="n">
        <x:v>70</x:v>
      </x:c>
      <x:c r="N6" t="n">
        <x:v>69</x:v>
      </x:c>
      <x:c r="O6" t="n">
        <x:v>0.705</x:v>
      </x:c>
      <x:c r="P6" t="inlineStr">
        <x:is>
          <x:t xml:space="preserve">Threshold-60 component; point order is left-to-right.</x:t>
        </x:is>
      </x:c>
      <x:c r="Q6" t="inlineStr">
        <x:is>
          <x:t xml:space="preserve">https://github.com/scream314/cicada3301/blob/master/assets/2014/liber-primus-complete/50.jpg</x:t>
        </x:is>
      </x:c>
    </x:row>
    <x:row r="7">
      <x:c r="A7" t="n">
        <x:v>50</x:v>
      </x:c>
      <x:c r="B7" t="inlineStr">
        <x:is>
          <x:t xml:space="preserve">three-dot horizontal row</x:t>
        </x:is>
      </x:c>
      <x:c r="C7" t="inlineStr">
        <x:is>
          <x:t xml:space="preserve">dot_3</x:t>
        </x:is>
      </x:c>
      <x:c r="D7" t="inlineStr">
        <x:is>
          <x:t xml:space="preserve">68d3e28d8c4161fdfe91a542f5bac8e276bc441e</x:t>
        </x:is>
      </x:c>
      <x:c r="E7" t="n">
        <x:v>60</x:v>
      </x:c>
      <x:c r="F7" t="n">
        <x:v>1662</x:v>
      </x:c>
      <x:c r="G7" t="n">
        <x:v>1743.939</x:v>
      </x:c>
      <x:c r="H7" t="n">
        <x:v>3405</x:v>
      </x:c>
      <x:c r="I7" t="n">
        <x:v>1628</x:v>
      </x:c>
      <x:c r="J7" t="n">
        <x:v>1710</x:v>
      </x:c>
      <x:c r="K7" t="n">
        <x:v>1696</x:v>
      </x:c>
      <x:c r="L7" t="n">
        <x:v>1778</x:v>
      </x:c>
      <x:c r="M7" t="n">
        <x:v>69</x:v>
      </x:c>
      <x:c r="N7" t="n">
        <x:v>69</x:v>
      </x:c>
      <x:c r="O7" t="n">
        <x:v>0.715</x:v>
      </x:c>
      <x:c r="P7" t="inlineStr">
        <x:is>
          <x:t xml:space="preserve">Threshold-60 component; point order is left-to-right.</x:t>
        </x:is>
      </x:c>
      <x:c r="Q7" t="inlineStr">
        <x:is>
          <x:t xml:space="preserve">https://github.com/scream314/cicada3301/blob/master/assets/2014/liber-primus-complete/50.jpg</x:t>
        </x:is>
      </x:c>
    </x:row>
    <x:row r="8">
      <x:c r="A8" t="n">
        <x:v>56</x:v>
      </x:c>
      <x:c r="B8" t="inlineStr">
        <x:is>
          <x:t xml:space="preserve">three-dot horizontal row</x:t>
        </x:is>
      </x:c>
      <x:c r="C8" t="inlineStr">
        <x:is>
          <x:t xml:space="preserve">dot_1</x:t>
        </x:is>
      </x:c>
      <x:c r="D8" t="inlineStr">
        <x:is>
          <x:t xml:space="preserve">819261c833837cbaa2bd200d210ca299d79031f3</x:t>
        </x:is>
      </x:c>
      <x:c r="E8" t="n">
        <x:v>60</x:v>
      </x:c>
      <x:c r="F8" t="n">
        <x:v>1297.5</x:v>
      </x:c>
      <x:c r="G8" t="n">
        <x:v>1693</x:v>
      </x:c>
      <x:c r="H8" t="n">
        <x:v>752</x:v>
      </x:c>
      <x:c r="I8" t="n">
        <x:v>1282</x:v>
      </x:c>
      <x:c r="J8" t="n">
        <x:v>1677</x:v>
      </x:c>
      <x:c r="K8" t="n">
        <x:v>1313</x:v>
      </x:c>
      <x:c r="L8" t="n">
        <x:v>1709</x:v>
      </x:c>
      <x:c r="M8" t="n">
        <x:v>32</x:v>
      </x:c>
      <x:c r="N8" t="n">
        <x:v>33</x:v>
      </x:c>
      <x:c r="O8" t="n">
        <x:v>0.712</x:v>
      </x:c>
      <x:c r="P8" t="inlineStr">
        <x:is>
          <x:t xml:space="preserve">Threshold-60 component; point order is left-to-right.</x:t>
        </x:is>
      </x:c>
      <x:c r="Q8" t="inlineStr">
        <x:is>
          <x:t xml:space="preserve">https://github.com/scream314/cicada3301/blob/master/assets/2014/liber-primus-complete/56.jpg</x:t>
        </x:is>
      </x:c>
    </x:row>
    <x:row r="9">
      <x:c r="A9" t="n">
        <x:v>56</x:v>
      </x:c>
      <x:c r="B9" t="inlineStr">
        <x:is>
          <x:t xml:space="preserve">three-dot horizontal row</x:t>
        </x:is>
      </x:c>
      <x:c r="C9" t="inlineStr">
        <x:is>
          <x:t xml:space="preserve">dot_2</x:t>
        </x:is>
      </x:c>
      <x:c r="D9" t="inlineStr">
        <x:is>
          <x:t xml:space="preserve">819261c833837cbaa2bd200d210ca299d79031f3</x:t>
        </x:is>
      </x:c>
      <x:c r="E9" t="n">
        <x:v>60</x:v>
      </x:c>
      <x:c r="F9" t="n">
        <x:v>1493.5</x:v>
      </x:c>
      <x:c r="G9" t="n">
        <x:v>1693</x:v>
      </x:c>
      <x:c r="H9" t="n">
        <x:v>752</x:v>
      </x:c>
      <x:c r="I9" t="n">
        <x:v>1478</x:v>
      </x:c>
      <x:c r="J9" t="n">
        <x:v>1677</x:v>
      </x:c>
      <x:c r="K9" t="n">
        <x:v>1509</x:v>
      </x:c>
      <x:c r="L9" t="n">
        <x:v>1709</x:v>
      </x:c>
      <x:c r="M9" t="n">
        <x:v>32</x:v>
      </x:c>
      <x:c r="N9" t="n">
        <x:v>33</x:v>
      </x:c>
      <x:c r="O9" t="n">
        <x:v>0.712</x:v>
      </x:c>
      <x:c r="P9" t="inlineStr">
        <x:is>
          <x:t xml:space="preserve">Threshold-60 component; point order is left-to-right.</x:t>
        </x:is>
      </x:c>
      <x:c r="Q9" t="inlineStr">
        <x:is>
          <x:t xml:space="preserve">https://github.com/scream314/cicada3301/blob/master/assets/2014/liber-primus-complete/56.jpg</x:t>
        </x:is>
      </x:c>
    </x:row>
    <x:row r="10">
      <x:c r="A10" t="n">
        <x:v>56</x:v>
      </x:c>
      <x:c r="B10" t="inlineStr">
        <x:is>
          <x:t xml:space="preserve">three-dot horizontal row</x:t>
        </x:is>
      </x:c>
      <x:c r="C10" t="inlineStr">
        <x:is>
          <x:t xml:space="preserve">dot_3</x:t>
        </x:is>
      </x:c>
      <x:c r="D10" t="inlineStr">
        <x:is>
          <x:t xml:space="preserve">819261c833837cbaa2bd200d210ca299d79031f3</x:t>
        </x:is>
      </x:c>
      <x:c r="E10" t="n">
        <x:v>60</x:v>
      </x:c>
      <x:c r="F10" t="n">
        <x:v>1718.01</x:v>
      </x:c>
      <x:c r="G10" t="n">
        <x:v>1693</x:v>
      </x:c>
      <x:c r="H10" t="n">
        <x:v>781</x:v>
      </x:c>
      <x:c r="I10" t="n">
        <x:v>1702</x:v>
      </x:c>
      <x:c r="J10" t="n">
        <x:v>1677</x:v>
      </x:c>
      <x:c r="K10" t="n">
        <x:v>1734</x:v>
      </x:c>
      <x:c r="L10" t="n">
        <x:v>1709</x:v>
      </x:c>
      <x:c r="M10" t="n">
        <x:v>33</x:v>
      </x:c>
      <x:c r="N10" t="n">
        <x:v>33</x:v>
      </x:c>
      <x:c r="O10" t="n">
        <x:v>0.717</x:v>
      </x:c>
      <x:c r="P10" t="inlineStr">
        <x:is>
          <x:t xml:space="preserve">Threshold-60 component; point order is left-to-right.</x:t>
        </x:is>
      </x:c>
      <x:c r="Q10" t="inlineStr">
        <x:is>
          <x:t xml:space="preserve">https://github.com/scream314/cicada3301/blob/master/assets/2014/liber-primus-complete/56.jpg</x:t>
        </x:is>
      </x:c>
    </x:row>
    <x:row r="11">
      <x:c r="A11" t="n">
        <x:v>57</x:v>
      </x:c>
      <x:c r="B11" t="inlineStr">
        <x:is>
          <x:t xml:space="preserve">plant-side right five-dot group</x:t>
        </x:is>
      </x:c>
      <x:c r="C11" t="inlineStr">
        <x:is>
          <x:t xml:space="preserve">label_1</x:t>
        </x:is>
      </x:c>
      <x:c r="D11" t="inlineStr">
        <x:is>
          <x:t xml:space="preserve">83f661b6107587c5d153d6dea3f6bf03090a70bc</x:t>
        </x:is>
      </x:c>
      <x:c r="E11" t="n">
        <x:v>60</x:v>
      </x:c>
      <x:c r="F11" t="n">
        <x:v>2003.38</x:v>
      </x:c>
      <x:c r="G11" t="n">
        <x:v>1476.1</x:v>
      </x:c>
      <x:c r="H11" t="n">
        <x:v>400</x:v>
      </x:c>
      <x:c r="I11" t="n">
        <x:v>1993</x:v>
      </x:c>
      <x:c r="J11" t="n">
        <x:v>1464</x:v>
      </x:c>
      <x:c r="K11" t="n">
        <x:v>2014</x:v>
      </x:c>
      <x:c r="L11" t="n">
        <x:v>1487</x:v>
      </x:c>
      <x:c r="M11" t="n">
        <x:v>22</x:v>
      </x:c>
      <x:c r="N11" t="n">
        <x:v>24</x:v>
      </x:c>
      <x:c r="O11" t="n">
        <x:v>0.758</x:v>
      </x:c>
      <x:c r="P11" t="inlineStr">
        <x:is>
          <x:t xml:space="preserve">Five components recovered; coordinates, bbox and component areas match counterpart page at emitted precision.</x:t>
        </x:is>
      </x:c>
      <x:c r="Q11" t="inlineStr">
        <x:is>
          <x:t xml:space="preserve">https://github.com/scream314/cicada3301/blob/master/assets/2014/liber-primus-complete/57.jpg</x:t>
        </x:is>
      </x:c>
    </x:row>
    <x:row r="12">
      <x:c r="A12" t="n">
        <x:v>57</x:v>
      </x:c>
      <x:c r="B12" t="inlineStr">
        <x:is>
          <x:t xml:space="preserve">plant-side right five-dot group</x:t>
        </x:is>
      </x:c>
      <x:c r="C12" t="inlineStr">
        <x:is>
          <x:t xml:space="preserve">label_2</x:t>
        </x:is>
      </x:c>
      <x:c r="D12" t="inlineStr">
        <x:is>
          <x:t xml:space="preserve">83f661b6107587c5d153d6dea3f6bf03090a70bc</x:t>
        </x:is>
      </x:c>
      <x:c r="E12" t="n">
        <x:v>60</x:v>
      </x:c>
      <x:c r="F12" t="n">
        <x:v>1975.021</x:v>
      </x:c>
      <x:c r="G12" t="n">
        <x:v>1498.808</x:v>
      </x:c>
      <x:c r="H12" t="n">
        <x:v>468</x:v>
      </x:c>
      <x:c r="I12" t="n">
        <x:v>1963</x:v>
      </x:c>
      <x:c r="J12" t="n">
        <x:v>1486</x:v>
      </x:c>
      <x:c r="K12" t="n">
        <x:v>1986</x:v>
      </x:c>
      <x:c r="L12" t="n">
        <x:v>1511</x:v>
      </x:c>
      <x:c r="M12" t="n">
        <x:v>24</x:v>
      </x:c>
      <x:c r="N12" t="n">
        <x:v>26</x:v>
      </x:c>
      <x:c r="O12" t="n">
        <x:v>0.75</x:v>
      </x:c>
      <x:c r="P12" t="inlineStr">
        <x:is>
          <x:t xml:space="preserve">Five components recovered; coordinates, bbox and component areas match counterpart page at emitted precision.</x:t>
        </x:is>
      </x:c>
      <x:c r="Q12" t="inlineStr">
        <x:is>
          <x:t xml:space="preserve">https://github.com/scream314/cicada3301/blob/master/assets/2014/liber-primus-complete/57.jpg</x:t>
        </x:is>
      </x:c>
    </x:row>
    <x:row r="13">
      <x:c r="A13" t="n">
        <x:v>57</x:v>
      </x:c>
      <x:c r="B13" t="inlineStr">
        <x:is>
          <x:t xml:space="preserve">plant-side right five-dot group</x:t>
        </x:is>
      </x:c>
      <x:c r="C13" t="inlineStr">
        <x:is>
          <x:t xml:space="preserve">label_3</x:t>
        </x:is>
      </x:c>
      <x:c r="D13" t="inlineStr">
        <x:is>
          <x:t xml:space="preserve">83f661b6107587c5d153d6dea3f6bf03090a70bc</x:t>
        </x:is>
      </x:c>
      <x:c r="E13" t="n">
        <x:v>60</x:v>
      </x:c>
      <x:c r="F13" t="n">
        <x:v>2032.845</x:v>
      </x:c>
      <x:c r="G13" t="n">
        <x:v>1497.394</x:v>
      </x:c>
      <x:c r="H13" t="n">
        <x:v>431</x:v>
      </x:c>
      <x:c r="I13" t="n">
        <x:v>2021</x:v>
      </x:c>
      <x:c r="J13" t="n">
        <x:v>1486</x:v>
      </x:c>
      <x:c r="K13" t="n">
        <x:v>2044</x:v>
      </x:c>
      <x:c r="L13" t="n">
        <x:v>1509</x:v>
      </x:c>
      <x:c r="M13" t="n">
        <x:v>24</x:v>
      </x:c>
      <x:c r="N13" t="n">
        <x:v>24</x:v>
      </x:c>
      <x:c r="O13" t="n">
        <x:v>0.748</x:v>
      </x:c>
      <x:c r="P13" t="inlineStr">
        <x:is>
          <x:t xml:space="preserve">Five components recovered; coordinates, bbox and component areas match counterpart page at emitted precision.</x:t>
        </x:is>
      </x:c>
      <x:c r="Q13" t="inlineStr">
        <x:is>
          <x:t xml:space="preserve">https://github.com/scream314/cicada3301/blob/master/assets/2014/liber-primus-complete/57.jpg</x:t>
        </x:is>
      </x:c>
    </x:row>
    <x:row r="14">
      <x:c r="A14" t="n">
        <x:v>57</x:v>
      </x:c>
      <x:c r="B14" t="inlineStr">
        <x:is>
          <x:t xml:space="preserve">plant-side right five-dot group</x:t>
        </x:is>
      </x:c>
      <x:c r="C14" t="inlineStr">
        <x:is>
          <x:t xml:space="preserve">label_4</x:t>
        </x:is>
      </x:c>
      <x:c r="D14" t="inlineStr">
        <x:is>
          <x:t xml:space="preserve">83f661b6107587c5d153d6dea3f6bf03090a70bc</x:t>
        </x:is>
      </x:c>
      <x:c r="E14" t="n">
        <x:v>60</x:v>
      </x:c>
      <x:c r="F14" t="n">
        <x:v>1979.562</x:v>
      </x:c>
      <x:c r="G14" t="n">
        <x:v>1533.24</x:v>
      </x:c>
      <x:c r="H14" t="n">
        <x:v>338</x:v>
      </x:c>
      <x:c r="I14" t="n">
        <x:v>1969</x:v>
      </x:c>
      <x:c r="J14" t="n">
        <x:v>1524</x:v>
      </x:c>
      <x:c r="K14" t="n">
        <x:v>1990</x:v>
      </x:c>
      <x:c r="L14" t="n">
        <x:v>1544</x:v>
      </x:c>
      <x:c r="M14" t="n">
        <x:v>22</x:v>
      </x:c>
      <x:c r="N14" t="n">
        <x:v>21</x:v>
      </x:c>
      <x:c r="O14" t="n">
        <x:v>0.732</x:v>
      </x:c>
      <x:c r="P14" t="inlineStr">
        <x:is>
          <x:t xml:space="preserve">Five components recovered; coordinates, bbox and component areas match counterpart page at emitted precision.</x:t>
        </x:is>
      </x:c>
      <x:c r="Q14" t="inlineStr">
        <x:is>
          <x:t xml:space="preserve">https://github.com/scream314/cicada3301/blob/master/assets/2014/liber-primus-complete/57.jpg</x:t>
        </x:is>
      </x:c>
    </x:row>
    <x:row r="15">
      <x:c r="A15" t="n">
        <x:v>57</x:v>
      </x:c>
      <x:c r="B15" t="inlineStr">
        <x:is>
          <x:t xml:space="preserve">plant-side right five-dot group</x:t>
        </x:is>
      </x:c>
      <x:c r="C15" t="inlineStr">
        <x:is>
          <x:t xml:space="preserve">label_5</x:t>
        </x:is>
      </x:c>
      <x:c r="D15" t="inlineStr">
        <x:is>
          <x:t xml:space="preserve">83f661b6107587c5d153d6dea3f6bf03090a70bc</x:t>
        </x:is>
      </x:c>
      <x:c r="E15" t="n">
        <x:v>60</x:v>
      </x:c>
      <x:c r="F15" t="n">
        <x:v>2019.523</x:v>
      </x:c>
      <x:c r="G15" t="n">
        <x:v>1539.869</x:v>
      </x:c>
      <x:c r="H15" t="n">
        <x:v>350</x:v>
      </x:c>
      <x:c r="I15" t="n">
        <x:v>2011</x:v>
      </x:c>
      <x:c r="J15" t="n">
        <x:v>1528</x:v>
      </x:c>
      <x:c r="K15" t="n">
        <x:v>2028</x:v>
      </x:c>
      <x:c r="L15" t="n">
        <x:v>1550</x:v>
      </x:c>
      <x:c r="M15" t="n">
        <x:v>18</x:v>
      </x:c>
      <x:c r="N15" t="n">
        <x:v>23</x:v>
      </x:c>
      <x:c r="O15" t="n">
        <x:v>0.845</x:v>
      </x:c>
      <x:c r="P15" t="inlineStr">
        <x:is>
          <x:t xml:space="preserve">Five components recovered; coordinates, bbox and component areas match counterpart page at emitted precision.</x:t>
        </x:is>
      </x:c>
      <x:c r="Q15" t="inlineStr">
        <x:is>
          <x:t xml:space="preserve">https://github.com/scream314/cicada3301/blob/master/assets/2014/liber-primus-complete/57.jpg</x:t>
        </x:is>
      </x:c>
    </x:row>
    <x:row r="16">
      <x:c r="A16" t="n">
        <x:v>57</x:v>
      </x:c>
      <x:c r="B16" t="inlineStr">
        <x:is>
          <x:t xml:space="preserve">plant-side left ROI — incomplete</x:t>
        </x:is>
      </x:c>
      <x:c r="C16" t="inlineStr">
        <x:is>
          <x:t xml:space="preserve">left_candidate_A</x:t>
        </x:is>
      </x:c>
      <x:c r="D16" t="inlineStr">
        <x:is>
          <x:t xml:space="preserve">83f661b6107587c5d153d6dea3f6bf03090a70bc</x:t>
        </x:is>
      </x:c>
      <x:c r="E16" t="n">
        <x:v>60</x:v>
      </x:c>
      <x:c r="F16" t="n">
        <x:v>366.155</x:v>
      </x:c>
      <x:c r="G16" t="n">
        <x:v>1497.394</x:v>
      </x:c>
      <x:c r="H16" t="n">
        <x:v>431</x:v>
      </x:c>
      <x:c r="I16" t="n">
        <x:v>355</x:v>
      </x:c>
      <x:c r="J16" t="n">
        <x:v>1486</x:v>
      </x:c>
      <x:c r="K16" t="n">
        <x:v>378</x:v>
      </x:c>
      <x:c r="L16" t="n">
        <x:v>1509</x:v>
      </x:c>
      <x:c r="M16" t="n">
        <x:v>24</x:v>
      </x:c>
      <x:c r="N16" t="n">
        <x:v>24</x:v>
      </x:c>
      <x:c r="O16" t="n">
        <x:v>0.748</x:v>
      </x:c>
      <x:c r="P16" t="inlineStr">
        <x:is>
          <x:t xml:space="preserve">Only 3 components met this crop's filters; incomplete detection, not a complete cluster measurement.</x:t>
        </x:is>
      </x:c>
      <x:c r="Q16" t="inlineStr">
        <x:is>
          <x:t xml:space="preserve">https://github.com/scream314/cicada3301/blob/master/assets/2014/liber-primus-complete/57.jpg</x:t>
        </x:is>
      </x:c>
    </x:row>
    <x:row r="17">
      <x:c r="A17" t="n">
        <x:v>57</x:v>
      </x:c>
      <x:c r="B17" t="inlineStr">
        <x:is>
          <x:t xml:space="preserve">plant-side left ROI — incomplete</x:t>
        </x:is>
      </x:c>
      <x:c r="C17" t="inlineStr">
        <x:is>
          <x:t xml:space="preserve">left_candidate_B</x:t>
        </x:is>
      </x:c>
      <x:c r="D17" t="inlineStr">
        <x:is>
          <x:t xml:space="preserve">83f661b6107587c5d153d6dea3f6bf03090a70bc</x:t>
        </x:is>
      </x:c>
      <x:c r="E17" t="n">
        <x:v>60</x:v>
      </x:c>
      <x:c r="F17" t="n">
        <x:v>423.979</x:v>
      </x:c>
      <x:c r="G17" t="n">
        <x:v>1498.808</x:v>
      </x:c>
      <x:c r="H17" t="n">
        <x:v>468</x:v>
      </x:c>
      <x:c r="I17" t="n">
        <x:v>413</x:v>
      </x:c>
      <x:c r="J17" t="n">
        <x:v>1486</x:v>
      </x:c>
      <x:c r="K17" t="n">
        <x:v>436</x:v>
      </x:c>
      <x:c r="L17" t="n">
        <x:v>1511</x:v>
      </x:c>
      <x:c r="M17" t="n">
        <x:v>24</x:v>
      </x:c>
      <x:c r="N17" t="n">
        <x:v>26</x:v>
      </x:c>
      <x:c r="O17" t="n">
        <x:v>0.75</x:v>
      </x:c>
      <x:c r="P17" t="inlineStr">
        <x:is>
          <x:t xml:space="preserve">Only 3 components met this crop's filters; incomplete detection, not a complete cluster measurement.</x:t>
        </x:is>
      </x:c>
      <x:c r="Q17" t="inlineStr">
        <x:is>
          <x:t xml:space="preserve">https://github.com/scream314/cicada3301/blob/master/assets/2014/liber-primus-complete/57.jpg</x:t>
        </x:is>
      </x:c>
    </x:row>
    <x:row r="18">
      <x:c r="A18" t="n">
        <x:v>57</x:v>
      </x:c>
      <x:c r="B18" t="inlineStr">
        <x:is>
          <x:t xml:space="preserve">plant-side left ROI — incomplete</x:t>
        </x:is>
      </x:c>
      <x:c r="C18" t="inlineStr">
        <x:is>
          <x:t xml:space="preserve">left_candidate_C</x:t>
        </x:is>
      </x:c>
      <x:c r="D18" t="inlineStr">
        <x:is>
          <x:t xml:space="preserve">83f661b6107587c5d153d6dea3f6bf03090a70bc</x:t>
        </x:is>
      </x:c>
      <x:c r="E18" t="n">
        <x:v>60</x:v>
      </x:c>
      <x:c r="F18" t="n">
        <x:v>419.438</x:v>
      </x:c>
      <x:c r="G18" t="n">
        <x:v>1533.24</x:v>
      </x:c>
      <x:c r="H18" t="n">
        <x:v>338</x:v>
      </x:c>
      <x:c r="I18" t="n">
        <x:v>409</x:v>
      </x:c>
      <x:c r="J18" t="n">
        <x:v>1524</x:v>
      </x:c>
      <x:c r="K18" t="n">
        <x:v>430</x:v>
      </x:c>
      <x:c r="L18" t="n">
        <x:v>1544</x:v>
      </x:c>
      <x:c r="M18" t="n">
        <x:v>22</x:v>
      </x:c>
      <x:c r="N18" t="n">
        <x:v>21</x:v>
      </x:c>
      <x:c r="O18" t="n">
        <x:v>0.732</x:v>
      </x:c>
      <x:c r="P18" t="inlineStr">
        <x:is>
          <x:t xml:space="preserve">Only 3 components met this crop's filters; incomplete detection, not a complete cluster measurement.</x:t>
        </x:is>
      </x:c>
      <x:c r="Q18" t="inlineStr">
        <x:is>
          <x:t xml:space="preserve">https://github.com/scream314/cicada3301/blob/master/assets/2014/liber-primus-complete/57.jpg</x:t>
        </x:is>
      </x:c>
    </x:row>
    <x:row r="19">
      <x:c r="A19" t="n">
        <x:v>68</x:v>
      </x:c>
      <x:c r="B19" t="inlineStr">
        <x:is>
          <x:t xml:space="preserve">plant-side right five-dot group</x:t>
        </x:is>
      </x:c>
      <x:c r="C19" t="inlineStr">
        <x:is>
          <x:t xml:space="preserve">label_1</x:t>
        </x:is>
      </x:c>
      <x:c r="D19" t="inlineStr">
        <x:is>
          <x:t xml:space="preserve">701e47789abf4401d61420ff938c2b72aa03ad2c</x:t>
        </x:is>
      </x:c>
      <x:c r="E19" t="n">
        <x:v>60</x:v>
      </x:c>
      <x:c r="F19" t="n">
        <x:v>2003.38</x:v>
      </x:c>
      <x:c r="G19" t="n">
        <x:v>1476.1</x:v>
      </x:c>
      <x:c r="H19" t="n">
        <x:v>400</x:v>
      </x:c>
      <x:c r="I19" t="n">
        <x:v>1993</x:v>
      </x:c>
      <x:c r="J19" t="n">
        <x:v>1464</x:v>
      </x:c>
      <x:c r="K19" t="n">
        <x:v>2014</x:v>
      </x:c>
      <x:c r="L19" t="n">
        <x:v>1487</x:v>
      </x:c>
      <x:c r="M19" t="n">
        <x:v>22</x:v>
      </x:c>
      <x:c r="N19" t="n">
        <x:v>24</x:v>
      </x:c>
      <x:c r="O19" t="n">
        <x:v>0.758</x:v>
      </x:c>
      <x:c r="P19" t="inlineStr">
        <x:is>
          <x:t xml:space="preserve">Five components recovered; coordinates, bbox and component areas match counterpart page at emitted precision.</x:t>
        </x:is>
      </x:c>
      <x:c r="Q19" t="inlineStr">
        <x:is>
          <x:t xml:space="preserve">https://github.com/scream314/cicada3301/blob/master/assets/2014/liber-primus-complete/68.jpg</x:t>
        </x:is>
      </x:c>
    </x:row>
    <x:row r="20">
      <x:c r="A20" t="n">
        <x:v>68</x:v>
      </x:c>
      <x:c r="B20" t="inlineStr">
        <x:is>
          <x:t xml:space="preserve">plant-side right five-dot group</x:t>
        </x:is>
      </x:c>
      <x:c r="C20" t="inlineStr">
        <x:is>
          <x:t xml:space="preserve">label_2</x:t>
        </x:is>
      </x:c>
      <x:c r="D20" t="inlineStr">
        <x:is>
          <x:t xml:space="preserve">701e47789abf4401d61420ff938c2b72aa03ad2c</x:t>
        </x:is>
      </x:c>
      <x:c r="E20" t="n">
        <x:v>60</x:v>
      </x:c>
      <x:c r="F20" t="n">
        <x:v>1975.021</x:v>
      </x:c>
      <x:c r="G20" t="n">
        <x:v>1498.808</x:v>
      </x:c>
      <x:c r="H20" t="n">
        <x:v>468</x:v>
      </x:c>
      <x:c r="I20" t="n">
        <x:v>1963</x:v>
      </x:c>
      <x:c r="J20" t="n">
        <x:v>1486</x:v>
      </x:c>
      <x:c r="K20" t="n">
        <x:v>1986</x:v>
      </x:c>
      <x:c r="L20" t="n">
        <x:v>1511</x:v>
      </x:c>
      <x:c r="M20" t="n">
        <x:v>24</x:v>
      </x:c>
      <x:c r="N20" t="n">
        <x:v>26</x:v>
      </x:c>
      <x:c r="O20" t="n">
        <x:v>0.75</x:v>
      </x:c>
      <x:c r="P20" t="inlineStr">
        <x:is>
          <x:t xml:space="preserve">Five components recovered; coordinates, bbox and component areas match counterpart page at emitted precision.</x:t>
        </x:is>
      </x:c>
      <x:c r="Q20" t="inlineStr">
        <x:is>
          <x:t xml:space="preserve">https://github.com/scream314/cicada3301/blob/master/assets/2014/liber-primus-complete/68.jpg</x:t>
        </x:is>
      </x:c>
    </x:row>
    <x:row r="21">
      <x:c r="A21" t="n">
        <x:v>68</x:v>
      </x:c>
      <x:c r="B21" t="inlineStr">
        <x:is>
          <x:t xml:space="preserve">plant-side right five-dot group</x:t>
        </x:is>
      </x:c>
      <x:c r="C21" t="inlineStr">
        <x:is>
          <x:t xml:space="preserve">label_3</x:t>
        </x:is>
      </x:c>
      <x:c r="D21" t="inlineStr">
        <x:is>
          <x:t xml:space="preserve">701e47789abf4401d61420ff938c2b72aa03ad2c</x:t>
        </x:is>
      </x:c>
      <x:c r="E21" t="n">
        <x:v>60</x:v>
      </x:c>
      <x:c r="F21" t="n">
        <x:v>2032.845</x:v>
      </x:c>
      <x:c r="G21" t="n">
        <x:v>1497.394</x:v>
      </x:c>
      <x:c r="H21" t="n">
        <x:v>431</x:v>
      </x:c>
      <x:c r="I21" t="n">
        <x:v>2021</x:v>
      </x:c>
      <x:c r="J21" t="n">
        <x:v>1486</x:v>
      </x:c>
      <x:c r="K21" t="n">
        <x:v>2044</x:v>
      </x:c>
      <x:c r="L21" t="n">
        <x:v>1509</x:v>
      </x:c>
      <x:c r="M21" t="n">
        <x:v>24</x:v>
      </x:c>
      <x:c r="N21" t="n">
        <x:v>24</x:v>
      </x:c>
      <x:c r="O21" t="n">
        <x:v>0.748</x:v>
      </x:c>
      <x:c r="P21" t="inlineStr">
        <x:is>
          <x:t xml:space="preserve">Five components recovered; coordinates, bbox and component areas match counterpart page at emitted precision.</x:t>
        </x:is>
      </x:c>
      <x:c r="Q21" t="inlineStr">
        <x:is>
          <x:t xml:space="preserve">https://github.com/scream314/cicada3301/blob/master/assets/2014/liber-primus-complete/68.jpg</x:t>
        </x:is>
      </x:c>
    </x:row>
    <x:row r="22">
      <x:c r="A22" t="n">
        <x:v>68</x:v>
      </x:c>
      <x:c r="B22" t="inlineStr">
        <x:is>
          <x:t xml:space="preserve">plant-side right five-dot group</x:t>
        </x:is>
      </x:c>
      <x:c r="C22" t="inlineStr">
        <x:is>
          <x:t xml:space="preserve">label_4</x:t>
        </x:is>
      </x:c>
      <x:c r="D22" t="inlineStr">
        <x:is>
          <x:t xml:space="preserve">701e47789abf4401d61420ff938c2b72aa03ad2c</x:t>
        </x:is>
      </x:c>
      <x:c r="E22" t="n">
        <x:v>60</x:v>
      </x:c>
      <x:c r="F22" t="n">
        <x:v>1979.562</x:v>
      </x:c>
      <x:c r="G22" t="n">
        <x:v>1533.24</x:v>
      </x:c>
      <x:c r="H22" t="n">
        <x:v>338</x:v>
      </x:c>
      <x:c r="I22" t="n">
        <x:v>1969</x:v>
      </x:c>
      <x:c r="J22" t="n">
        <x:v>1524</x:v>
      </x:c>
      <x:c r="K22" t="n">
        <x:v>1990</x:v>
      </x:c>
      <x:c r="L22" t="n">
        <x:v>1544</x:v>
      </x:c>
      <x:c r="M22" t="n">
        <x:v>22</x:v>
      </x:c>
      <x:c r="N22" t="n">
        <x:v>21</x:v>
      </x:c>
      <x:c r="O22" t="n">
        <x:v>0.732</x:v>
      </x:c>
      <x:c r="P22" t="inlineStr">
        <x:is>
          <x:t xml:space="preserve">Five components recovered; coordinates, bbox and component areas match counterpart page at emitted precision.</x:t>
        </x:is>
      </x:c>
      <x:c r="Q22" t="inlineStr">
        <x:is>
          <x:t xml:space="preserve">https://github.com/scream314/cicada3301/blob/master/assets/2014/liber-primus-complete/68.jpg</x:t>
        </x:is>
      </x:c>
    </x:row>
    <x:row r="23">
      <x:c r="A23" t="n">
        <x:v>68</x:v>
      </x:c>
      <x:c r="B23" t="inlineStr">
        <x:is>
          <x:t xml:space="preserve">plant-side right five-dot group</x:t>
        </x:is>
      </x:c>
      <x:c r="C23" t="inlineStr">
        <x:is>
          <x:t xml:space="preserve">label_5</x:t>
        </x:is>
      </x:c>
      <x:c r="D23" t="inlineStr">
        <x:is>
          <x:t xml:space="preserve">701e47789abf4401d61420ff938c2b72aa03ad2c</x:t>
        </x:is>
      </x:c>
      <x:c r="E23" t="n">
        <x:v>60</x:v>
      </x:c>
      <x:c r="F23" t="n">
        <x:v>2019.523</x:v>
      </x:c>
      <x:c r="G23" t="n">
        <x:v>1539.869</x:v>
      </x:c>
      <x:c r="H23" t="n">
        <x:v>350</x:v>
      </x:c>
      <x:c r="I23" t="n">
        <x:v>2011</x:v>
      </x:c>
      <x:c r="J23" t="n">
        <x:v>1528</x:v>
      </x:c>
      <x:c r="K23" t="n">
        <x:v>2028</x:v>
      </x:c>
      <x:c r="L23" t="n">
        <x:v>1550</x:v>
      </x:c>
      <x:c r="M23" t="n">
        <x:v>18</x:v>
      </x:c>
      <x:c r="N23" t="n">
        <x:v>23</x:v>
      </x:c>
      <x:c r="O23" t="n">
        <x:v>0.845</x:v>
      </x:c>
      <x:c r="P23" t="inlineStr">
        <x:is>
          <x:t xml:space="preserve">Five components recovered; coordinates, bbox and component areas match counterpart page at emitted precision.</x:t>
        </x:is>
      </x:c>
      <x:c r="Q23" t="inlineStr">
        <x:is>
          <x:t xml:space="preserve">https://github.com/scream314/cicada3301/blob/master/assets/2014/liber-primus-complete/68.jpg</x:t>
        </x:is>
      </x:c>
    </x:row>
    <x:row r="24">
      <x:c r="A24" t="n">
        <x:v>68</x:v>
      </x:c>
      <x:c r="B24" t="inlineStr">
        <x:is>
          <x:t xml:space="preserve">plant-side left ROI — incomplete</x:t>
        </x:is>
      </x:c>
      <x:c r="C24" t="inlineStr">
        <x:is>
          <x:t xml:space="preserve">left_candidate_A</x:t>
        </x:is>
      </x:c>
      <x:c r="D24" t="inlineStr">
        <x:is>
          <x:t xml:space="preserve">701e47789abf4401d61420ff938c2b72aa03ad2c</x:t>
        </x:is>
      </x:c>
      <x:c r="E24" t="n">
        <x:v>60</x:v>
      </x:c>
      <x:c r="F24" t="n">
        <x:v>366.155</x:v>
      </x:c>
      <x:c r="G24" t="n">
        <x:v>1497.394</x:v>
      </x:c>
      <x:c r="H24" t="n">
        <x:v>431</x:v>
      </x:c>
      <x:c r="I24" t="n">
        <x:v>355</x:v>
      </x:c>
      <x:c r="J24" t="n">
        <x:v>1486</x:v>
      </x:c>
      <x:c r="K24" t="n">
        <x:v>378</x:v>
      </x:c>
      <x:c r="L24" t="n">
        <x:v>1509</x:v>
      </x:c>
      <x:c r="M24" t="n">
        <x:v>24</x:v>
      </x:c>
      <x:c r="N24" t="n">
        <x:v>24</x:v>
      </x:c>
      <x:c r="O24" t="n">
        <x:v>0.748</x:v>
      </x:c>
      <x:c r="P24" t="inlineStr">
        <x:is>
          <x:t xml:space="preserve">Only 3 components met this crop's filters; incomplete detection, not a complete cluster measurement.</x:t>
        </x:is>
      </x:c>
      <x:c r="Q24" t="inlineStr">
        <x:is>
          <x:t xml:space="preserve">https://github.com/scream314/cicada3301/blob/master/assets/2014/liber-primus-complete/68.jpg</x:t>
        </x:is>
      </x:c>
    </x:row>
    <x:row r="25">
      <x:c r="A25" t="n">
        <x:v>68</x:v>
      </x:c>
      <x:c r="B25" t="inlineStr">
        <x:is>
          <x:t xml:space="preserve">plant-side left ROI — incomplete</x:t>
        </x:is>
      </x:c>
      <x:c r="C25" t="inlineStr">
        <x:is>
          <x:t xml:space="preserve">left_candidate_B</x:t>
        </x:is>
      </x:c>
      <x:c r="D25" t="inlineStr">
        <x:is>
          <x:t xml:space="preserve">701e47789abf4401d61420ff938c2b72aa03ad2c</x:t>
        </x:is>
      </x:c>
      <x:c r="E25" t="n">
        <x:v>60</x:v>
      </x:c>
      <x:c r="F25" t="n">
        <x:v>423.979</x:v>
      </x:c>
      <x:c r="G25" t="n">
        <x:v>1498.808</x:v>
      </x:c>
      <x:c r="H25" t="n">
        <x:v>468</x:v>
      </x:c>
      <x:c r="I25" t="n">
        <x:v>413</x:v>
      </x:c>
      <x:c r="J25" t="n">
        <x:v>1486</x:v>
      </x:c>
      <x:c r="K25" t="n">
        <x:v>436</x:v>
      </x:c>
      <x:c r="L25" t="n">
        <x:v>1511</x:v>
      </x:c>
      <x:c r="M25" t="n">
        <x:v>24</x:v>
      </x:c>
      <x:c r="N25" t="n">
        <x:v>26</x:v>
      </x:c>
      <x:c r="O25" t="n">
        <x:v>0.75</x:v>
      </x:c>
      <x:c r="P25" t="inlineStr">
        <x:is>
          <x:t xml:space="preserve">Only 3 components met this crop's filters; incomplete detection, not a complete cluster measurement.</x:t>
        </x:is>
      </x:c>
      <x:c r="Q25" t="inlineStr">
        <x:is>
          <x:t xml:space="preserve">https://github.com/scream314/cicada3301/blob/master/assets/2014/liber-primus-complete/68.jpg</x:t>
        </x:is>
      </x:c>
    </x:row>
    <x:row r="26">
      <x:c r="A26" t="n">
        <x:v>68</x:v>
      </x:c>
      <x:c r="B26" t="inlineStr">
        <x:is>
          <x:t xml:space="preserve">plant-side left ROI — incomplete</x:t>
        </x:is>
      </x:c>
      <x:c r="C26" t="inlineStr">
        <x:is>
          <x:t xml:space="preserve">left_candidate_C</x:t>
        </x:is>
      </x:c>
      <x:c r="D26" t="inlineStr">
        <x:is>
          <x:t xml:space="preserve">701e47789abf4401d61420ff938c2b72aa03ad2c</x:t>
        </x:is>
      </x:c>
      <x:c r="E26" t="n">
        <x:v>60</x:v>
      </x:c>
      <x:c r="F26" t="n">
        <x:v>419.438</x:v>
      </x:c>
      <x:c r="G26" t="n">
        <x:v>1533.24</x:v>
      </x:c>
      <x:c r="H26" t="n">
        <x:v>338</x:v>
      </x:c>
      <x:c r="I26" t="n">
        <x:v>409</x:v>
      </x:c>
      <x:c r="J26" t="n">
        <x:v>1524</x:v>
      </x:c>
      <x:c r="K26" t="n">
        <x:v>430</x:v>
      </x:c>
      <x:c r="L26" t="n">
        <x:v>1544</x:v>
      </x:c>
      <x:c r="M26" t="n">
        <x:v>22</x:v>
      </x:c>
      <x:c r="N26" t="n">
        <x:v>21</x:v>
      </x:c>
      <x:c r="O26" t="n">
        <x:v>0.732</x:v>
      </x:c>
      <x:c r="P26" t="inlineStr">
        <x:is>
          <x:t xml:space="preserve">Only 3 components met this crop's filters; incomplete detection, not a complete cluster measurement.</x:t>
        </x:is>
      </x:c>
      <x:c r="Q26" t="inlineStr">
        <x:is>
          <x:t xml:space="preserve">https://github.com/scream314/cicada3301/blob/master/assets/2014/liber-primus-complete/68.jpg</x:t>
        </x:is>
      </x:c>
    </x:row>
    <x:row r="27">
      <x:c r="A27" t="n">
        <x:v>39</x:v>
      </x:c>
      <x:c r="B27" t="inlineStr">
        <x:is>
          <x:t xml:space="preserve">annotated six-dot group region</x:t>
        </x:is>
      </x:c>
      <x:c r="C27" t="inlineStr">
        <x:is>
          <x:t xml:space="preserve">extra_A</x:t>
        </x:is>
      </x:c>
      <x:c r="D27" t="inlineStr">
        <x:is>
          <x:t xml:space="preserve">0270e099f35a00dc24a9dc673ce13d4a0a843802</x:t>
        </x:is>
      </x:c>
      <x:c r="E27" t="n">
        <x:v>60</x:v>
      </x:c>
      <x:c r="F27" t="n">
        <x:v>1567.268</x:v>
      </x:c>
      <x:c r="G27" t="n">
        <x:v>2246.056</x:v>
      </x:c>
      <x:c r="H27" t="n">
        <x:v>142</x:v>
      </x:c>
      <x:c r="I27" t="n">
        <x:v>1560</x:v>
      </x:c>
      <x:c r="J27" t="n">
        <x:v>2240</x:v>
      </x:c>
      <x:c r="K27" t="n">
        <x:v>1574</x:v>
      </x:c>
      <x:c r="L27" t="n">
        <x:v>2254</x:v>
      </x:c>
      <x:c r="M27" t="n">
        <x:v>15</x:v>
      </x:c>
      <x:c r="N27" t="n">
        <x:v>15</x:v>
      </x:c>
      <x:c r="O27" t="n">
        <x:v>0.631</x:v>
      </x:c>
      <x:c r="P27" t="inlineStr">
        <x:is>
          <x:t xml:space="preserve">Additional crop candidate; not part of the annotated six-dot group.</x:t>
        </x:is>
      </x:c>
      <x:c r="Q27" t="inlineStr">
        <x:is>
          <x:t xml:space="preserve">https://github.com/scream314/cicada3301/blob/master/assets/2014/liber-primus-complete/39.jpg</x:t>
        </x:is>
      </x:c>
    </x:row>
    <x:row r="28">
      <x:c r="A28" t="n">
        <x:v>39</x:v>
      </x:c>
      <x:c r="B28" t="inlineStr">
        <x:is>
          <x:t xml:space="preserve">annotated six-dot group region</x:t>
        </x:is>
      </x:c>
      <x:c r="C28" t="inlineStr">
        <x:is>
          <x:t xml:space="preserve">extra_B</x:t>
        </x:is>
      </x:c>
      <x:c r="D28" t="inlineStr">
        <x:is>
          <x:t xml:space="preserve">0270e099f35a00dc24a9dc673ce13d4a0a843802</x:t>
        </x:is>
      </x:c>
      <x:c r="E28" t="n">
        <x:v>60</x:v>
      </x:c>
      <x:c r="F28" t="n">
        <x:v>1440.368</x:v>
      </x:c>
      <x:c r="G28" t="n">
        <x:v>2263.838</x:v>
      </x:c>
      <x:c r="H28" t="n">
        <x:v>68</x:v>
      </x:c>
      <x:c r="I28" t="n">
        <x:v>1435</x:v>
      </x:c>
      <x:c r="J28" t="n">
        <x:v>2260</x:v>
      </x:c>
      <x:c r="K28" t="n">
        <x:v>1447</x:v>
      </x:c>
      <x:c r="L28" t="n">
        <x:v>2268</x:v>
      </x:c>
      <x:c r="M28" t="n">
        <x:v>13</x:v>
      </x:c>
      <x:c r="N28" t="n">
        <x:v>9</x:v>
      </x:c>
      <x:c r="O28" t="n">
        <x:v>0.581</x:v>
      </x:c>
      <x:c r="P28" t="inlineStr">
        <x:is>
          <x:t xml:space="preserve">Additional crop candidate; not part of the annotated six-dot group.</x:t>
        </x:is>
      </x:c>
      <x:c r="Q28" t="inlineStr">
        <x:is>
          <x:t xml:space="preserve">https://github.com/scream314/cicada3301/blob/master/assets/2014/liber-primus-complete/39.jpg</x:t>
        </x:is>
      </x:c>
    </x:row>
    <x:row r="29">
      <x:c r="A29" t="n">
        <x:v>39</x:v>
      </x:c>
      <x:c r="B29" t="inlineStr">
        <x:is>
          <x:t xml:space="preserve">annotated six-dot group region</x:t>
        </x:is>
      </x:c>
      <x:c r="C29" t="inlineStr">
        <x:is>
          <x:t xml:space="preserve">label_4</x:t>
        </x:is>
      </x:c>
      <x:c r="D29" t="inlineStr">
        <x:is>
          <x:t xml:space="preserve">0270e099f35a00dc24a9dc673ce13d4a0a843802</x:t>
        </x:is>
      </x:c>
      <x:c r="E29" t="n">
        <x:v>60</x:v>
      </x:c>
      <x:c r="F29" t="n">
        <x:v>1683.321</x:v>
      </x:c>
      <x:c r="G29" t="n">
        <x:v>2286.855</x:v>
      </x:c>
      <x:c r="H29" t="n">
        <x:v>234</x:v>
      </x:c>
      <x:c r="I29" t="n">
        <x:v>1677</x:v>
      </x:c>
      <x:c r="J29" t="n">
        <x:v>2278</x:v>
      </x:c>
      <x:c r="K29" t="n">
        <x:v>1690</x:v>
      </x:c>
      <x:c r="L29" t="n">
        <x:v>2296</x:v>
      </x:c>
      <x:c r="M29" t="n">
        <x:v>14</x:v>
      </x:c>
      <x:c r="N29" t="n">
        <x:v>19</x:v>
      </x:c>
      <x:c r="O29" t="n">
        <x:v>0.88</x:v>
      </x:c>
      <x:c r="P29" t="inlineStr">
        <x:is>
          <x:t xml:space="preserve">Annotated six-dot control member.</x:t>
        </x:is>
      </x:c>
      <x:c r="Q29" t="inlineStr">
        <x:is>
          <x:t xml:space="preserve">https://github.com/scream314/cicada3301/blob/master/assets/2014/liber-primus-complete/39.jpg</x:t>
        </x:is>
      </x:c>
    </x:row>
    <x:row r="30">
      <x:c r="A30" t="n">
        <x:v>39</x:v>
      </x:c>
      <x:c r="B30" t="inlineStr">
        <x:is>
          <x:t xml:space="preserve">annotated six-dot group region</x:t>
        </x:is>
      </x:c>
      <x:c r="C30" t="inlineStr">
        <x:is>
          <x:t xml:space="preserve">label_5</x:t>
        </x:is>
      </x:c>
      <x:c r="D30" t="inlineStr">
        <x:is>
          <x:t xml:space="preserve">0270e099f35a00dc24a9dc673ce13d4a0a843802</x:t>
        </x:is>
      </x:c>
      <x:c r="E30" t="n">
        <x:v>60</x:v>
      </x:c>
      <x:c r="F30" t="n">
        <x:v>1737.328</x:v>
      </x:c>
      <x:c r="G30" t="n">
        <x:v>2311.839</x:v>
      </x:c>
      <x:c r="H30" t="n">
        <x:v>180</x:v>
      </x:c>
      <x:c r="I30" t="n">
        <x:v>1729</x:v>
      </x:c>
      <x:c r="J30" t="n">
        <x:v>2306</x:v>
      </x:c>
      <x:c r="K30" t="n">
        <x:v>1745</x:v>
      </x:c>
      <x:c r="L30" t="n">
        <x:v>2319</x:v>
      </x:c>
      <x:c r="M30" t="n">
        <x:v>17</x:v>
      </x:c>
      <x:c r="N30" t="n">
        <x:v>14</x:v>
      </x:c>
      <x:c r="O30" t="n">
        <x:v>0.756</x:v>
      </x:c>
      <x:c r="P30" t="inlineStr">
        <x:is>
          <x:t xml:space="preserve">Annotated six-dot control member.</x:t>
        </x:is>
      </x:c>
      <x:c r="Q30" t="inlineStr">
        <x:is>
          <x:t xml:space="preserve">https://github.com/scream314/cicada3301/blob/master/assets/2014/liber-primus-complete/39.jpg</x:t>
        </x:is>
      </x:c>
    </x:row>
    <x:row r="31">
      <x:c r="A31" t="n">
        <x:v>39</x:v>
      </x:c>
      <x:c r="B31" t="inlineStr">
        <x:is>
          <x:t xml:space="preserve">annotated six-dot group region</x:t>
        </x:is>
      </x:c>
      <x:c r="C31" t="inlineStr">
        <x:is>
          <x:t xml:space="preserve">label_1</x:t>
        </x:is>
      </x:c>
      <x:c r="D31" t="inlineStr">
        <x:is>
          <x:t xml:space="preserve">0270e099f35a00dc24a9dc673ce13d4a0a843802</x:t>
        </x:is>
      </x:c>
      <x:c r="E31" t="n">
        <x:v>60</x:v>
      </x:c>
      <x:c r="F31" t="n">
        <x:v>1096.993</x:v>
      </x:c>
      <x:c r="G31" t="n">
        <x:v>2342.148</x:v>
      </x:c>
      <x:c r="H31" t="n">
        <x:v>149</x:v>
      </x:c>
      <x:c r="I31" t="n">
        <x:v>1088</x:v>
      </x:c>
      <x:c r="J31" t="n">
        <x:v>2336</x:v>
      </x:c>
      <x:c r="K31" t="n">
        <x:v>1104</x:v>
      </x:c>
      <x:c r="L31" t="n">
        <x:v>2348</x:v>
      </x:c>
      <x:c r="M31" t="n">
        <x:v>17</x:v>
      </x:c>
      <x:c r="N31" t="n">
        <x:v>13</x:v>
      </x:c>
      <x:c r="O31" t="n">
        <x:v>0.674</x:v>
      </x:c>
      <x:c r="P31" t="inlineStr">
        <x:is>
          <x:t xml:space="preserve">Annotated six-dot control member.</x:t>
        </x:is>
      </x:c>
      <x:c r="Q31" t="inlineStr">
        <x:is>
          <x:t xml:space="preserve">https://github.com/scream314/cicada3301/blob/master/assets/2014/liber-primus-complete/39.jpg</x:t>
        </x:is>
      </x:c>
    </x:row>
    <x:row r="32">
      <x:c r="A32" t="n">
        <x:v>39</x:v>
      </x:c>
      <x:c r="B32" t="inlineStr">
        <x:is>
          <x:t xml:space="preserve">annotated six-dot group region</x:t>
        </x:is>
      </x:c>
      <x:c r="C32" t="inlineStr">
        <x:is>
          <x:t xml:space="preserve">label_2</x:t>
        </x:is>
      </x:c>
      <x:c r="D32" t="inlineStr">
        <x:is>
          <x:t xml:space="preserve">0270e099f35a00dc24a9dc673ce13d4a0a843802</x:t>
        </x:is>
      </x:c>
      <x:c r="E32" t="n">
        <x:v>60</x:v>
      </x:c>
      <x:c r="F32" t="n">
        <x:v>1152.397</x:v>
      </x:c>
      <x:c r="G32" t="n">
        <x:v>2345.295</x:v>
      </x:c>
      <x:c r="H32" t="n">
        <x:v>156</x:v>
      </x:c>
      <x:c r="I32" t="n">
        <x:v>1145</x:v>
      </x:c>
      <x:c r="J32" t="n">
        <x:v>2340</x:v>
      </x:c>
      <x:c r="K32" t="n">
        <x:v>1160</x:v>
      </x:c>
      <x:c r="L32" t="n">
        <x:v>2350</x:v>
      </x:c>
      <x:c r="M32" t="n">
        <x:v>16</x:v>
      </x:c>
      <x:c r="N32" t="n">
        <x:v>11</x:v>
      </x:c>
      <x:c r="O32" t="n">
        <x:v>0.886</x:v>
      </x:c>
      <x:c r="P32" t="inlineStr">
        <x:is>
          <x:t xml:space="preserve">Annotated six-dot control member.</x:t>
        </x:is>
      </x:c>
      <x:c r="Q32" t="inlineStr">
        <x:is>
          <x:t xml:space="preserve">https://github.com/scream314/cicada3301/blob/master/assets/2014/liber-primus-complete/39.jpg</x:t>
        </x:is>
      </x:c>
    </x:row>
    <x:row r="33">
      <x:c r="A33" t="n">
        <x:v>39</x:v>
      </x:c>
      <x:c r="B33" t="inlineStr">
        <x:is>
          <x:t xml:space="preserve">annotated six-dot group region</x:t>
        </x:is>
      </x:c>
      <x:c r="C33" t="inlineStr">
        <x:is>
          <x:t xml:space="preserve">label_3</x:t>
        </x:is>
      </x:c>
      <x:c r="D33" t="inlineStr">
        <x:is>
          <x:t xml:space="preserve">0270e099f35a00dc24a9dc673ce13d4a0a843802</x:t>
        </x:is>
      </x:c>
      <x:c r="E33" t="n">
        <x:v>60</x:v>
      </x:c>
      <x:c r="F33" t="n">
        <x:v>1295.873</x:v>
      </x:c>
      <x:c r="G33" t="n">
        <x:v>2350.492</x:v>
      </x:c>
      <x:c r="H33" t="n">
        <x:v>181</x:v>
      </x:c>
      <x:c r="I33" t="n">
        <x:v>1288</x:v>
      </x:c>
      <x:c r="J33" t="n">
        <x:v>2344</x:v>
      </x:c>
      <x:c r="K33" t="n">
        <x:v>1303</x:v>
      </x:c>
      <x:c r="L33" t="n">
        <x:v>2357</x:v>
      </x:c>
      <x:c r="M33" t="n">
        <x:v>16</x:v>
      </x:c>
      <x:c r="N33" t="n">
        <x:v>14</x:v>
      </x:c>
      <x:c r="O33" t="n">
        <x:v>0.8080000000000001</x:v>
      </x:c>
      <x:c r="P33" t="inlineStr">
        <x:is>
          <x:t xml:space="preserve">Annotated six-dot control member.</x:t>
        </x:is>
      </x:c>
      <x:c r="Q33" t="inlineStr">
        <x:is>
          <x:t xml:space="preserve">https://github.com/scream314/cicada3301/blob/master/assets/2014/liber-primus-complete/39.jpg</x:t>
        </x:is>
      </x:c>
    </x:row>
    <x:row r="34">
      <x:c r="A34" t="n">
        <x:v>39</x:v>
      </x:c>
      <x:c r="B34" t="inlineStr">
        <x:is>
          <x:t xml:space="preserve">annotated six-dot group region</x:t>
        </x:is>
      </x:c>
      <x:c r="C34" t="inlineStr">
        <x:is>
          <x:t xml:space="preserve">label_6</x:t>
        </x:is>
      </x:c>
      <x:c r="D34" t="inlineStr">
        <x:is>
          <x:t xml:space="preserve">0270e099f35a00dc24a9dc673ce13d4a0a843802</x:t>
        </x:is>
      </x:c>
      <x:c r="E34" t="n">
        <x:v>60</x:v>
      </x:c>
      <x:c r="F34" t="n">
        <x:v>1713.488</x:v>
      </x:c>
      <x:c r="G34" t="n">
        <x:v>2358.792</x:v>
      </x:c>
      <x:c r="H34" t="n">
        <x:v>207</x:v>
      </x:c>
      <x:c r="I34" t="n">
        <x:v>1706</x:v>
      </x:c>
      <x:c r="J34" t="n">
        <x:v>2351</x:v>
      </x:c>
      <x:c r="K34" t="n">
        <x:v>1721</x:v>
      </x:c>
      <x:c r="L34" t="n">
        <x:v>2366</x:v>
      </x:c>
      <x:c r="M34" t="n">
        <x:v>16</x:v>
      </x:c>
      <x:c r="N34" t="n">
        <x:v>16</x:v>
      </x:c>
      <x:c r="O34" t="n">
        <x:v>0.8090000000000001</x:v>
      </x:c>
      <x:c r="P34" t="inlineStr">
        <x:is>
          <x:t xml:space="preserve">Annotated six-dot control member.</x:t>
        </x:is>
      </x:c>
      <x:c r="Q34" t="inlineStr">
        <x:is>
          <x:t xml:space="preserve">https://github.com/scream314/cicada3301/blob/master/assets/2014/liber-primus-complete/39.jpg</x:t>
        </x:is>
      </x:c>
    </x:row>
    <x:row r="35">
      <x:c r="A35" t="n">
        <x:v>39</x:v>
      </x:c>
      <x:c r="B35" t="inlineStr">
        <x:is>
          <x:t xml:space="preserve">annotated six-dot group region</x:t>
        </x:is>
      </x:c>
      <x:c r="C35" t="inlineStr">
        <x:is>
          <x:t xml:space="preserve">extra_C</x:t>
        </x:is>
      </x:c>
      <x:c r="D35" t="inlineStr">
        <x:is>
          <x:t xml:space="preserve">0270e099f35a00dc24a9dc673ce13d4a0a843802</x:t>
        </x:is>
      </x:c>
      <x:c r="E35" t="n">
        <x:v>60</x:v>
      </x:c>
      <x:c r="F35" t="n">
        <x:v>1598.874</x:v>
      </x:c>
      <x:c r="G35" t="n">
        <x:v>2370.848</x:v>
      </x:c>
      <x:c r="H35" t="n">
        <x:v>508</x:v>
      </x:c>
      <x:c r="I35" t="n">
        <x:v>1586</x:v>
      </x:c>
      <x:c r="J35" t="n">
        <x:v>2358</x:v>
      </x:c>
      <x:c r="K35" t="n">
        <x:v>1612</x:v>
      </x:c>
      <x:c r="L35" t="n">
        <x:v>2384</x:v>
      </x:c>
      <x:c r="M35" t="n">
        <x:v>27</x:v>
      </x:c>
      <x:c r="N35" t="n">
        <x:v>27</x:v>
      </x:c>
      <x:c r="O35" t="n">
        <x:v>0.697</x:v>
      </x:c>
      <x:c r="P35" t="inlineStr">
        <x:is>
          <x:t xml:space="preserve">Additional crop candidate; not part of the annotated six-dot group.</x:t>
        </x:is>
      </x:c>
      <x:c r="Q35" t="inlineStr">
        <x:is>
          <x:t xml:space="preserve">https://github.com/scream314/cicada3301/blob/master/assets/2014/liber-primus-complete/39.jpg</x:t>
        </x:is>
      </x:c>
    </x:row>
  </x:sheetData>
  <x:pageMargins left="0.7" right="0.7" top="0.75" bottom="0.75" header="0.3" footer="0.3"/>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Exhaustive Similarity Fits — Pixel Centroids v1.1</x:t>
        </x:is>
      </x:c>
      <x:c r="B1" s="246" t="n"/>
      <x:c r="C1" s="246" t="n"/>
      <x:c r="D1" s="246" t="n"/>
      <x:c r="E1" s="246" t="n"/>
      <x:c r="F1" s="246" t="n"/>
      <x:c r="G1" s="246" t="n"/>
      <x:c r="H1" s="246" t="n"/>
      <x:c r="I1" s="246" t="n"/>
      <x:c r="J1" s="246" t="n"/>
      <x:c r="K1" s="246" t="n"/>
      <x:c r="L1" s="246" t="n"/>
      <x:c r="M1" s="246" t="n"/>
      <x:c r="N1" s="246" t="n"/>
    </x:row>
    <x:row r="2">
      <x:c r="A2" t="inlineStr">
        <x:is>
          <x:t xml:space="preserve">For each target page pair, all 120 point correspondences were tested separately for proper and reflected similarity models. Low residuals characterize geometry, not encryption.</x:t>
        </x:is>
      </x:c>
    </x:row>
    <x:row r="4">
      <x:c r="A4" s="248" t="inlineStr">
        <x:is>
          <x:t xml:space="preserve">Page pair</x:t>
        </x:is>
      </x:c>
      <x:c r="B4" s="248" t="inlineStr">
        <x:is>
          <x:t xml:space="preserve">Model class</x:t>
        </x:is>
      </x:c>
      <x:c r="C4" s="248" t="inlineStr">
        <x:is>
          <x:t xml:space="preserve">Best A-label → B-label mapping</x:t>
        </x:is>
      </x:c>
      <x:c r="D4" s="248" t="inlineStr">
        <x:is>
          <x:t xml:space="preserve">det(R)</x:t>
        </x:is>
      </x:c>
      <x:c r="E4" s="248" t="inlineStr">
        <x:is>
          <x:t xml:space="preserve">Scale</x:t>
        </x:is>
      </x:c>
      <x:c r="F4" s="248" t="inlineStr">
        <x:is>
          <x:t xml:space="preserve">Translation X px</x:t>
        </x:is>
      </x:c>
      <x:c r="G4" s="248" t="inlineStr">
        <x:is>
          <x:t xml:space="preserve">Translation Y px</x:t>
        </x:is>
      </x:c>
      <x:c r="H4" s="248" t="inlineStr">
        <x:is>
          <x:t xml:space="preserve">RMS residual px</x:t>
        </x:is>
      </x:c>
      <x:c r="I4" s="248" t="inlineStr">
        <x:is>
          <x:t xml:space="preserve">Maximum residual px</x:t>
        </x:is>
      </x:c>
      <x:c r="J4" s="248" t="inlineStr">
        <x:is>
          <x:t xml:space="preserve">Orthogonal matrix R</x:t>
        </x:is>
      </x:c>
      <x:c r="K4" s="248" t="inlineStr">
        <x:is>
          <x:t xml:space="preserve">Permutations tested</x:t>
        </x:is>
      </x:c>
      <x:c r="L4" s="248" t="inlineStr">
        <x:is>
          <x:t xml:space="preserve">Input centroids</x:t>
        </x:is>
      </x:c>
      <x:c r="M4" s="248" t="inlineStr">
        <x:is>
          <x:t xml:space="preserve">Selection / fitting note</x:t>
        </x:is>
      </x:c>
      <x:c r="N4" s="248" t="inlineStr">
        <x:is>
          <x:t xml:space="preserve">Interpretation limit</x:t>
        </x:is>
      </x:c>
    </x:row>
    <x:row r="5">
      <x:c r="A5" t="inlineStr">
        <x:is>
          <x:t xml:space="preserve">24→40</x:t>
        </x:is>
      </x:c>
      <x:c r="B5" t="inlineStr">
        <x:is>
          <x:t xml:space="preserve">proper</x:t>
        </x:is>
      </x:c>
      <x:c r="C5" t="inlineStr">
        <x:is>
          <x:t xml:space="preserve">1→1; 2→2; 3→3; 4→4; 5→5</x:t>
        </x:is>
      </x:c>
      <x:c r="D5" t="n">
        <x:v>1</x:v>
      </x:c>
      <x:c r="E5" t="n">
        <x:v>0.9499485917241787</x:v>
      </x:c>
      <x:c r="F5" t="n">
        <x:v>1918.544299342048</x:v>
      </x:c>
      <x:c r="G5" t="n">
        <x:v>-2398.507321933122</x:v>
      </x:c>
      <x:c r="H5" t="n">
        <x:v>95.49739744541387</x:v>
      </x:c>
      <x:c r="I5" t="n">
        <x:v>126.5659655499836</x:v>
      </x:c>
      <x:c r="J5" t="inlineStr">
        <x:is>
          <x:t xml:space="preserve">[[0.8207573592611028, 0.5712769531660987], [-0.5712769531660986, 0.8207573592611029]]</x:t>
        </x:is>
      </x:c>
      <x:c r="K5" t="n">
        <x:v>120</x:v>
      </x:c>
      <x:c r="L5" t="inlineStr">
        <x:is>
          <x:t xml:space="preserve">Threshold-60 centroids from Pixel Centroids v1.1</x:t>
        </x:is>
      </x:c>
      <x:c r="M5" t="inlineStr">
        <x:is>
          <x:t xml:space="preserve">Best fit after enumerating all 120 point correspondences for this model.</x:t>
        </x:is>
      </x:c>
      <x:c r="N5" t="inlineStr">
        <x:is>
          <x:t xml:space="preserve">Geometric template recurrence only; this is not a cipher interpretation.</x:t>
        </x:is>
      </x:c>
    </x:row>
    <x:row r="6">
      <x:c r="A6" t="inlineStr">
        <x:is>
          <x:t xml:space="preserve">24→40</x:t>
        </x:is>
      </x:c>
      <x:c r="B6" t="inlineStr">
        <x:is>
          <x:t xml:space="preserve">reflected</x:t>
        </x:is>
      </x:c>
      <x:c r="C6" t="inlineStr">
        <x:is>
          <x:t xml:space="preserve">1→1; 2→2; 3→5; 4→4; 5→3</x:t>
        </x:is>
      </x:c>
      <x:c r="D6" t="n">
        <x:v>-1</x:v>
      </x:c>
      <x:c r="E6" t="n">
        <x:v>1.000021232709259</x:v>
      </x:c>
      <x:c r="F6" t="n">
        <x:v>-0.2098359739147782</x:v>
      </x:c>
      <x:c r="G6" t="n">
        <x:v>3674.009146884953</x:v>
      </x:c>
      <x:c r="H6" t="n">
        <x:v>0.03113909436470258</x:v>
      </x:c>
      <x:c r="I6" t="n">
        <x:v>0.05269488709215266</x:v>
      </x:c>
      <x:c r="J6" t="inlineStr">
        <x:is>
          <x:t xml:space="preserve">[[0.999999998165764, 6.05679155194686e-05], [6.0567915519479704e-05, -0.999999998165764]]</x:t>
        </x:is>
      </x:c>
      <x:c r="K6" t="n">
        <x:v>120</x:v>
      </x:c>
      <x:c r="L6" t="inlineStr">
        <x:is>
          <x:t xml:space="preserve">Threshold-60 centroids from Pixel Centroids v1.1</x:t>
        </x:is>
      </x:c>
      <x:c r="M6" t="inlineStr">
        <x:is>
          <x:t xml:space="preserve">Best fit after enumerating all 120 point correspondences for this model.</x:t>
        </x:is>
      </x:c>
      <x:c r="N6" t="inlineStr">
        <x:is>
          <x:t xml:space="preserve">Geometric template recurrence only; this is not a cipher interpretation.</x:t>
        </x:is>
      </x:c>
    </x:row>
    <x:row r="7">
      <x:c r="A7" t="inlineStr">
        <x:is>
          <x:t xml:space="preserve">24→73</x:t>
        </x:is>
      </x:c>
      <x:c r="B7" t="inlineStr">
        <x:is>
          <x:t xml:space="preserve">proper</x:t>
        </x:is>
      </x:c>
      <x:c r="C7" t="inlineStr">
        <x:is>
          <x:t xml:space="preserve">1→4; 2→5; 3→1; 4→2; 5→3</x:t>
        </x:is>
      </x:c>
      <x:c r="D7" t="n">
        <x:v>1</x:v>
      </x:c>
      <x:c r="E7" t="n">
        <x:v>0.9502988793279247</x:v>
      </x:c>
      <x:c r="F7" t="n">
        <x:v>481.8366632885272</x:v>
      </x:c>
      <x:c r="G7" t="n">
        <x:v>5654.288924947536</x:v>
      </x:c>
      <x:c r="H7" t="n">
        <x:v>95.57246852185801</x:v>
      </x:c>
      <x:c r="I7" t="n">
        <x:v>126.6119174091544</x:v>
      </x:c>
      <x:c r="J7" t="inlineStr">
        <x:is>
          <x:t xml:space="preserve">[[-0.8207596341593848, -0.5712736847908828], [0.5712736847908828, -0.8207596341593848]]</x:t>
        </x:is>
      </x:c>
      <x:c r="K7" t="n">
        <x:v>120</x:v>
      </x:c>
      <x:c r="L7" t="inlineStr">
        <x:is>
          <x:t xml:space="preserve">Threshold-60 centroids from Pixel Centroids v1.1</x:t>
        </x:is>
      </x:c>
      <x:c r="M7" t="inlineStr">
        <x:is>
          <x:t xml:space="preserve">Best fit after enumerating all 120 point correspondences for this model.</x:t>
        </x:is>
      </x:c>
      <x:c r="N7" t="inlineStr">
        <x:is>
          <x:t xml:space="preserve">Geometric template recurrence only; this is not a cipher interpretation.</x:t>
        </x:is>
      </x:c>
    </x:row>
    <x:row r="8">
      <x:c r="A8" t="inlineStr">
        <x:is>
          <x:t xml:space="preserve">24→73</x:t>
        </x:is>
      </x:c>
      <x:c r="B8" t="inlineStr">
        <x:is>
          <x:t xml:space="preserve">reflected</x:t>
        </x:is>
      </x:c>
      <x:c r="C8" t="inlineStr">
        <x:is>
          <x:t xml:space="preserve">1→4; 2→5; 3→3; 4→2; 5→1</x:t>
        </x:is>
      </x:c>
      <x:c r="D8" t="n">
        <x:v>-0.9999999999999999</x:v>
      </x:c>
      <x:c r="E8" t="n">
        <x:v>1.000430520112872</x:v>
      </x:c>
      <x:c r="F8" t="n">
        <x:v>2401.412986468534</x:v>
      </x:c>
      <x:c r="G8" t="n">
        <x:v>-420.5617841319477</x:v>
      </x:c>
      <x:c r="H8" t="n">
        <x:v>0.2061864702057993</x:v>
      </x:c>
      <x:c r="I8" t="n">
        <x:v>0.2882864164577639</x:v>
      </x:c>
      <x:c r="J8" t="inlineStr">
        <x:is>
          <x:t xml:space="preserve">[[-0.9999999963026892, -8.59919843839521e-05], [-8.599198438393023e-05, 0.9999999963026892]]</x:t>
        </x:is>
      </x:c>
      <x:c r="K8" t="n">
        <x:v>120</x:v>
      </x:c>
      <x:c r="L8" t="inlineStr">
        <x:is>
          <x:t xml:space="preserve">Threshold-60 centroids from Pixel Centroids v1.1</x:t>
        </x:is>
      </x:c>
      <x:c r="M8" t="inlineStr">
        <x:is>
          <x:t xml:space="preserve">Best fit after enumerating all 120 point correspondences for this model.</x:t>
        </x:is>
      </x:c>
      <x:c r="N8" t="inlineStr">
        <x:is>
          <x:t xml:space="preserve">Geometric template recurrence only; this is not a cipher interpretation.</x:t>
        </x:is>
      </x:c>
    </x:row>
    <x:row r="9">
      <x:c r="A9" t="inlineStr">
        <x:is>
          <x:t xml:space="preserve">40→73</x:t>
        </x:is>
      </x:c>
      <x:c r="B9" t="inlineStr">
        <x:is>
          <x:t xml:space="preserve">proper</x:t>
        </x:is>
      </x:c>
      <x:c r="C9" t="inlineStr">
        <x:is>
          <x:t xml:space="preserve">1→4; 2→5; 3→1; 4→2; 5→3</x:t>
        </x:is>
      </x:c>
      <x:c r="D9" t="n">
        <x:v>1</x:v>
      </x:c>
      <x:c r="E9" t="n">
        <x:v>1.000409214116101</x:v>
      </x:c>
      <x:c r="F9" t="n">
        <x:v>2401.109550128917</x:v>
      </x:c>
      <x:c r="G9" t="n">
        <x:v>3254.950988419271</x:v>
      </x:c>
      <x:c r="H9" t="n">
        <x:v>0.2315488880252706</x:v>
      </x:c>
      <x:c r="I9" t="n">
        <x:v>0.3389644052838339</x:v>
      </x:c>
      <x:c r="J9" t="inlineStr">
        <x:is>
          <x:t xml:space="preserve">[[-0.9999999996772386, -2.5407150093206404e-05], [2.5407150093166346e-05, -0.9999999996772384]]</x:t>
        </x:is>
      </x:c>
      <x:c r="K9" t="n">
        <x:v>120</x:v>
      </x:c>
      <x:c r="L9" t="inlineStr">
        <x:is>
          <x:t xml:space="preserve">Threshold-60 centroids from Pixel Centroids v1.1</x:t>
        </x:is>
      </x:c>
      <x:c r="M9" t="inlineStr">
        <x:is>
          <x:t xml:space="preserve">Best fit after enumerating all 120 point correspondences for this model.</x:t>
        </x:is>
      </x:c>
      <x:c r="N9" t="inlineStr">
        <x:is>
          <x:t xml:space="preserve">Geometric template recurrence only; this is not a cipher interpretation.</x:t>
        </x:is>
      </x:c>
    </x:row>
    <x:row r="10">
      <x:c r="A10" t="inlineStr">
        <x:is>
          <x:t xml:space="preserve">40→73</x:t>
        </x:is>
      </x:c>
      <x:c r="B10" t="inlineStr">
        <x:is>
          <x:t xml:space="preserve">reflected</x:t>
        </x:is>
      </x:c>
      <x:c r="C10" t="inlineStr">
        <x:is>
          <x:t xml:space="preserve">1→4; 2→5; 3→3; 4→2; 5→1</x:t>
        </x:is>
      </x:c>
      <x:c r="D10" t="n">
        <x:v>-0.9999999999999994</x:v>
      </x:c>
      <x:c r="E10" t="n">
        <x:v>0.950277089882459</x:v>
      </x:c>
      <x:c r="F10" t="n">
        <x:v>2476.350145070147</x:v>
      </x:c>
      <x:c r="G10" t="n">
        <x:v>2788.75593931157</x:v>
      </x:c>
      <x:c r="H10" t="n">
        <x:v>95.57396146869979</x:v>
      </x:c>
      <x:c r="I10" t="n">
        <x:v>126.6210010317119</x:v>
      </x:c>
      <x:c r="J10" t="inlineStr">
        <x:is>
          <x:t xml:space="preserve">[[-0.820722684444314, -0.5713267674794511], [-0.5713267674794509, 0.8207226844443137]]</x:t>
        </x:is>
      </x:c>
      <x:c r="K10" t="n">
        <x:v>120</x:v>
      </x:c>
      <x:c r="L10" t="inlineStr">
        <x:is>
          <x:t xml:space="preserve">Threshold-60 centroids from Pixel Centroids v1.1</x:t>
        </x:is>
      </x:c>
      <x:c r="M10" t="inlineStr">
        <x:is>
          <x:t xml:space="preserve">Best fit after enumerating all 120 point correspondences for this model.</x:t>
        </x:is>
      </x:c>
      <x:c r="N10" t="inlineStr">
        <x:is>
          <x:t xml:space="preserve">Geometric template recurrence only; this is not a cipher interpretation.</x:t>
        </x:is>
      </x:c>
    </x:row>
  </x:sheetData>
  <x:pageMargins left="0.7" right="0.7" top="0.75" bottom="0.75" header="0.3" footer="0.3"/>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baseColWidth="8" defaultRowHeight="15"/>
  <x:sheetData>
    <x:row r="1">
      <x:c r="A1" s="246" t="inlineStr">
        <x:is>
          <x:t xml:space="preserve">Decoder, Source Integrity and Experiment Audit v1.1</x:t>
        </x:is>
      </x:c>
      <x:c r="B1" s="246" t="n"/>
      <x:c r="C1" s="246" t="n"/>
      <x:c r="D1" s="246" t="n"/>
      <x:c r="E1" s="246" t="n"/>
      <x:c r="F1" s="246" t="n"/>
      <x:c r="G1" s="246" t="n"/>
      <x:c r="H1" s="246" t="n"/>
      <x:c r="I1" s="246" t="n"/>
    </x:row>
    <x:row r="2">
      <x:c r="A2" t="inlineStr">
        <x:is>
          <x:t xml:space="preserve">Append-only record based on exact GitHub source blobs. Independent custom decoder reproduced target and contextual-control measurements; standard-library cross-check remains pending.</x:t>
        </x:is>
      </x:c>
    </x:row>
    <x:row r="4">
      <x:c r="A4" s="248" t="inlineStr">
        <x:is>
          <x:t xml:space="preserve">Page</x:t>
        </x:is>
      </x:c>
      <x:c r="B4" s="248" t="inlineStr">
        <x:is>
          <x:t xml:space="preserve">Original source URL</x:t>
        </x:is>
      </x:c>
      <x:c r="C4" s="248" t="inlineStr">
        <x:is>
          <x:t xml:space="preserve">Git blob SHA-1</x:t>
        </x:is>
      </x:c>
      <x:c r="D4" s="248" t="inlineStr">
        <x:is>
          <x:t xml:space="preserve">Byte length</x:t>
        </x:is>
      </x:c>
      <x:c r="E4" s="248" t="inlineStr">
        <x:is>
          <x:t xml:space="preserve">Width px</x:t>
        </x:is>
      </x:c>
      <x:c r="F4" s="248" t="inlineStr">
        <x:is>
          <x:t xml:space="preserve">Height px</x:t>
        </x:is>
      </x:c>
      <x:c r="G4" s="248" t="inlineStr">
        <x:is>
          <x:t xml:space="preserve">JPEG component model</x:t>
        </x:is>
      </x:c>
      <x:c r="H4" s="248" t="inlineStr">
        <x:is>
          <x:t xml:space="preserve">Region/result</x:t>
        </x:is>
      </x:c>
      <x:c r="I4" s="248" t="inlineStr">
        <x:is>
          <x:t xml:space="preserve">Hash check</x:t>
        </x:is>
      </x:c>
    </x:row>
    <x:row r="5">
      <x:c r="A5" t="n">
        <x:v>24</x:v>
      </x:c>
      <x:c r="B5" t="inlineStr">
        <x:is>
          <x:t xml:space="preserve">https://github.com/scream314/cicada3301/blob/master/assets/2014/liber-primus-complete/24.jpg</x:t>
        </x:is>
      </x:c>
      <x:c r="C5" t="inlineStr">
        <x:is>
          <x:t xml:space="preserve">2b4e09dbad1a9c602a2919864b1a84f49d7ff501</x:t>
        </x:is>
      </x:c>
      <x:c r="D5" t="n">
        <x:v>580968</x:v>
      </x:c>
      <x:c r="E5" t="n">
        <x:v>2400</x:v>
      </x:c>
      <x:c r="F5" t="n">
        <x:v>3600</x:v>
      </x:c>
      <x:c r="G5" t="inlineStr">
        <x:is>
          <x:t xml:space="preserve">3-component baseline JPEG (YCbCr)</x:t>
        </x:is>
      </x:c>
      <x:c r="H5" t="inlineStr">
        <x:is>
          <x:t xml:space="preserve">Five target dots recovered at T=40/60/80/100.</x:t>
        </x:is>
      </x:c>
      <x:c r="I5" t="inlineStr">
        <x:is>
          <x:t xml:space="preserve">PASS — computed blob SHA-1 matches GitHub blob id</x:t>
        </x:is>
      </x:c>
    </x:row>
    <x:row r="6">
      <x:c r="A6" t="n">
        <x:v>39</x:v>
      </x:c>
      <x:c r="B6" t="inlineStr">
        <x:is>
          <x:t xml:space="preserve">https://github.com/scream314/cicada3301/blob/master/assets/2014/liber-primus-complete/39.jpg</x:t>
        </x:is>
      </x:c>
      <x:c r="C6" t="inlineStr">
        <x:is>
          <x:t xml:space="preserve">0270e099f35a00dc24a9dc673ce13d4a0a843802</x:t>
        </x:is>
      </x:c>
      <x:c r="D6" t="n">
        <x:v>512143</x:v>
      </x:c>
      <x:c r="E6" t="n">
        <x:v>2400</x:v>
      </x:c>
      <x:c r="F6" t="n">
        <x:v>3600</x:v>
      </x:c>
      <x:c r="G6" t="inlineStr">
        <x:is>
          <x:t xml:space="preserve">3-component baseline JPEG (YCbCr)</x:t>
        </x:is>
      </x:c>
      <x:c r="H6" t="inlineStr">
        <x:is>
          <x:t xml:space="preserve">Six annotated control members re-detected; 3 extra candidates in broad crop.</x:t>
        </x:is>
      </x:c>
      <x:c r="I6" t="inlineStr">
        <x:is>
          <x:t xml:space="preserve">PASS — computed blob SHA-1 matches GitHub blob id</x:t>
        </x:is>
      </x:c>
    </x:row>
    <x:row r="7">
      <x:c r="A7" t="n">
        <x:v>40</x:v>
      </x:c>
      <x:c r="B7" t="inlineStr">
        <x:is>
          <x:t xml:space="preserve">https://github.com/scream314/cicada3301/blob/master/assets/2014/liber-primus-complete/40.jpg</x:t>
        </x:is>
      </x:c>
      <x:c r="C7" t="inlineStr">
        <x:is>
          <x:t xml:space="preserve">feee4eed2a4f6d66456ff5a977f43c7ef297f8eb</x:t>
        </x:is>
      </x:c>
      <x:c r="D7" t="n">
        <x:v>484095</x:v>
      </x:c>
      <x:c r="E7" t="n">
        <x:v>2400</x:v>
      </x:c>
      <x:c r="F7" t="n">
        <x:v>3600</x:v>
      </x:c>
      <x:c r="G7" t="inlineStr">
        <x:is>
          <x:t xml:space="preserve">3-component baseline JPEG (YCbCr)</x:t>
        </x:is>
      </x:c>
      <x:c r="H7" t="inlineStr">
        <x:is>
          <x:t xml:space="preserve">Five target dots recovered at T=40/60/80/100.</x:t>
        </x:is>
      </x:c>
      <x:c r="I7" t="inlineStr">
        <x:is>
          <x:t xml:space="preserve">PASS — computed blob SHA-1 matches GitHub blob id</x:t>
        </x:is>
      </x:c>
    </x:row>
    <x:row r="8">
      <x:c r="A8" t="n">
        <x:v>50</x:v>
      </x:c>
      <x:c r="B8" t="inlineStr">
        <x:is>
          <x:t xml:space="preserve">https://github.com/scream314/cicada3301/blob/master/assets/2014/liber-primus-complete/50.jpg</x:t>
        </x:is>
      </x:c>
      <x:c r="C8" t="inlineStr">
        <x:is>
          <x:t xml:space="preserve">68d3e28d8c4161fdfe91a542f5bac8e276bc441e</x:t>
        </x:is>
      </x:c>
      <x:c r="D8" t="n">
        <x:v>525652</x:v>
      </x:c>
      <x:c r="E8" t="n">
        <x:v>2400</x:v>
      </x:c>
      <x:c r="F8" t="n">
        <x:v>3600</x:v>
      </x:c>
      <x:c r="G8" t="inlineStr">
        <x:is>
          <x:t xml:space="preserve">3-component baseline JPEG (YCbCr)</x:t>
        </x:is>
      </x:c>
      <x:c r="H8" t="inlineStr">
        <x:is>
          <x:t xml:space="preserve">Three-dot horizontal row: 3 qualifying dots.</x:t>
        </x:is>
      </x:c>
      <x:c r="I8" t="inlineStr">
        <x:is>
          <x:t xml:space="preserve">PASS — computed blob SHA-1 matches GitHub blob id</x:t>
        </x:is>
      </x:c>
    </x:row>
    <x:row r="9">
      <x:c r="A9" t="n">
        <x:v>56</x:v>
      </x:c>
      <x:c r="B9" t="inlineStr">
        <x:is>
          <x:t xml:space="preserve">https://github.com/scream314/cicada3301/blob/master/assets/2014/liber-primus-complete/56.jpg</x:t>
        </x:is>
      </x:c>
      <x:c r="C9" t="inlineStr">
        <x:is>
          <x:t xml:space="preserve">819261c833837cbaa2bd200d210ca299d79031f3</x:t>
        </x:is>
      </x:c>
      <x:c r="D9" t="n">
        <x:v>541379</x:v>
      </x:c>
      <x:c r="E9" t="n">
        <x:v>2400</x:v>
      </x:c>
      <x:c r="F9" t="n">
        <x:v>3600</x:v>
      </x:c>
      <x:c r="G9" t="inlineStr">
        <x:is>
          <x:t xml:space="preserve">3-component baseline JPEG (YCbCr)</x:t>
        </x:is>
      </x:c>
      <x:c r="H9" t="inlineStr">
        <x:is>
          <x:t xml:space="preserve">Three-dot horizontal row: 3 qualifying dots.</x:t>
        </x:is>
      </x:c>
      <x:c r="I9" t="inlineStr">
        <x:is>
          <x:t xml:space="preserve">PASS — computed blob SHA-1 matches GitHub blob id</x:t>
        </x:is>
      </x:c>
    </x:row>
    <x:row r="10">
      <x:c r="A10" t="n">
        <x:v>57</x:v>
      </x:c>
      <x:c r="B10" t="inlineStr">
        <x:is>
          <x:t xml:space="preserve">https://github.com/scream314/cicada3301/blob/master/assets/2014/liber-primus-complete/57.jpg</x:t>
        </x:is>
      </x:c>
      <x:c r="C10" t="inlineStr">
        <x:is>
          <x:t xml:space="preserve">83f661b6107587c5d153d6dea3f6bf03090a70bc</x:t>
        </x:is>
      </x:c>
      <x:c r="D10" t="n">
        <x:v>746355</x:v>
      </x:c>
      <x:c r="E10" t="n">
        <x:v>2400</x:v>
      </x:c>
      <x:c r="F10" t="n">
        <x:v>3600</x:v>
      </x:c>
      <x:c r="G10" t="inlineStr">
        <x:is>
          <x:t xml:space="preserve">3-component baseline JPEG (YCbCr)</x:t>
        </x:is>
      </x:c>
      <x:c r="H10" t="inlineStr">
        <x:is>
          <x:t xml:space="preserve">Right plant-side group 5/5; left crop only 3 candidates.</x:t>
        </x:is>
      </x:c>
      <x:c r="I10" t="inlineStr">
        <x:is>
          <x:t xml:space="preserve">PASS — computed blob SHA-1 matches GitHub blob id</x:t>
        </x:is>
      </x:c>
    </x:row>
    <x:row r="11">
      <x:c r="A11" t="n">
        <x:v>68</x:v>
      </x:c>
      <x:c r="B11" t="inlineStr">
        <x:is>
          <x:t xml:space="preserve">https://github.com/scream314/cicada3301/blob/master/assets/2014/liber-primus-complete/68.jpg</x:t>
        </x:is>
      </x:c>
      <x:c r="C11" t="inlineStr">
        <x:is>
          <x:t xml:space="preserve">701e47789abf4401d61420ff938c2b72aa03ad2c</x:t>
        </x:is>
      </x:c>
      <x:c r="D11" t="n">
        <x:v>661727</x:v>
      </x:c>
      <x:c r="E11" t="n">
        <x:v>2400</x:v>
      </x:c>
      <x:c r="F11" t="n">
        <x:v>3600</x:v>
      </x:c>
      <x:c r="G11" t="inlineStr">
        <x:is>
          <x:t xml:space="preserve">1-component grayscale baseline JPEG</x:t>
        </x:is>
      </x:c>
      <x:c r="H11" t="inlineStr">
        <x:is>
          <x:t xml:space="preserve">Right plant-side group 5/5; left crop only 3 candidates.</x:t>
        </x:is>
      </x:c>
      <x:c r="I11" t="inlineStr">
        <x:is>
          <x:t xml:space="preserve">PASS — computed blob SHA-1 matches GitHub blob id</x:t>
        </x:is>
      </x:c>
    </x:row>
    <x:row r="12">
      <x:c r="A12" t="n">
        <x:v>73</x:v>
      </x:c>
      <x:c r="B12" t="inlineStr">
        <x:is>
          <x:t xml:space="preserve">https://github.com/scream314/cicada3301/blob/master/assets/2014/liber-primus-complete/73.jpg</x:t>
        </x:is>
      </x:c>
      <x:c r="C12" t="inlineStr">
        <x:is>
          <x:t xml:space="preserve">afa3428764199ddf590baf0c055c8caedc079cb1</x:t>
        </x:is>
      </x:c>
      <x:c r="D12" t="n">
        <x:v>389813</x:v>
      </x:c>
      <x:c r="E12" t="n">
        <x:v>2400</x:v>
      </x:c>
      <x:c r="F12" t="n">
        <x:v>3600</x:v>
      </x:c>
      <x:c r="G12" t="inlineStr">
        <x:is>
          <x:t xml:space="preserve">3-component baseline JPEG (YCbCr)</x:t>
        </x:is>
      </x:c>
      <x:c r="H12" t="inlineStr">
        <x:is>
          <x:t xml:space="preserve">Five target dots recovered at T=40/60/80/100.</x:t>
        </x:is>
      </x:c>
      <x:c r="I12" t="inlineStr">
        <x:is>
          <x:t xml:space="preserve">PASS — computed blob SHA-1 matches GitHub blob id</x:t>
        </x:is>
      </x:c>
    </x:row>
    <x:row r="15">
      <x:c r="A15" s="248" t="inlineStr">
        <x:is>
          <x:t xml:space="preserve">Method / question</x:t>
        </x:is>
      </x:c>
      <x:c r="B15" s="248" t="inlineStr">
        <x:is>
          <x:t xml:space="preserve">Procedure or result</x:t>
        </x:is>
      </x:c>
      <x:c r="C15" s="248" t="inlineStr">
        <x:is>
          <x:t xml:space="preserve">Status / limitation</x:t>
        </x:is>
      </x:c>
    </x:row>
    <x:row r="16">
      <x:c r="A16" t="inlineStr">
        <x:is>
          <x:t xml:space="preserve">Pixel decoder</x:t>
        </x:is>
      </x:c>
      <x:c r="B16" t="inlineStr">
        <x:is>
          <x:t xml:space="preserve">Separate JavaScript implementation of baseline sequential JPEG parsing: DQT/DHT/SOF0/SOS parsing, Huffman decode, coefficient dequantization, floating-point 8×8 IDCT. Decoded luma/Y plane only for dot measurement.</x:t>
        </x:is>
      </x:c>
      <x:c r="C16" t="inlineStr">
        <x:is>
          <x:t xml:space="preserve">Independent code path; not yet cross-checked through Pillow/libjpeg.</x:t>
        </x:is>
      </x:c>
    </x:row>
    <x:row r="17">
      <x:c r="A17" t="inlineStr">
        <x:is>
          <x:t xml:space="preserve">Source identity</x:t>
        </x:is>
      </x:c>
      <x:c r="B17" t="inlineStr">
        <x:is>
          <x:t xml:space="preserve">Computed Git object hash as SHA-1('blob ' + byte length + NUL + exact byte stream); compared against the GitHub blob SHA returned for the exact source path.</x:t>
        </x:is>
      </x:c>
      <x:c r="C17" t="inlineStr">
        <x:is>
          <x:t xml:space="preserve">8/8 source hashes matched; all SOF0 headers gave 2400×3600.</x:t>
        </x:is>
      </x:c>
    </x:row>
    <x:row r="18">
      <x:c r="A18" t="inlineStr">
        <x:is>
          <x:t xml:space="preserve">Target threshold detector</x:t>
        </x:is>
      </x:c>
      <x:c r="B18" t="inlineStr">
        <x:is>
          <x:t xml:space="preserve">For pages 24, 40 and 73: threshold Y&lt;40,60,80,100; 8-connected dark components; area 600–12000 px², width/height 25–120 px, aspect 0.65–1.55, fill ≥0.48. ROIs are documented on measurement sheets.</x:t>
        </x:is>
      </x:c>
      <x:c r="C18" t="inlineStr">
        <x:is>
          <x:t xml:space="preserve">Exactly five accepted dots at every threshold on each target page.</x:t>
        </x:is>
      </x:c>
    </x:row>
    <x:row r="19">
      <x:c r="A19" t="inlineStr">
        <x:is>
          <x:t xml:space="preserve">Intensity-weighted estimator</x:t>
        </x:is>
      </x:c>
      <x:c r="B19" t="inlineStr">
        <x:is>
          <x:t xml:space="preserve">Within each threshold-60 component bounding box, each luma pixel gets weight max(0,255−Y); weighted means of x and y recorded separately.</x:t>
        </x:is>
      </x:c>
      <x:c r="C19" t="inlineStr">
        <x:is>
          <x:t xml:space="preserve">Maximum distance from threshold centroid: p24 0.1004 px, p40 0.0755 px, p73 0.0696 px.</x:t>
        </x:is>
      </x:c>
    </x:row>
    <x:row r="20">
      <x:c r="A20" t="inlineStr">
        <x:is>
          <x:t xml:space="preserve">Threshold sensitivity</x:t>
        </x:is>
      </x:c>
      <x:c r="B20" t="inlineStr">
        <x:is>
          <x:t xml:space="preserve">Maximum Euclidean centroid movement over thresholds 40/60/80/100, by page, based on output rounded to 0.001 px.</x:t>
        </x:is>
      </x:c>
      <x:c r="C20" t="inlineStr">
        <x:is>
          <x:t xml:space="preserve">p24 0.1070 px; p40 0.1736 px; p73 0.1238 px.</x:t>
        </x:is>
      </x:c>
    </x:row>
    <x:row r="21">
      <x:c r="A21" t="inlineStr">
        <x:is>
          <x:t xml:space="preserve">Legacy-centroid comparison</x:t>
        </x:is>
      </x:c>
      <x:c r="B21" t="inlineStr">
        <x:is>
          <x:t xml:space="preserve">Compared independent threshold-60 centers to the v0.9 Measured Centroids sheet. New centers on Pixel Centroids v1.1 are written to four decimals; prior values remain untouched.</x:t>
        </x:is>
      </x:c>
      <x:c r="C21" t="inlineStr">
        <x:is>
          <x:t xml:space="preserve">Maximum difference &lt;0.001 px at emitted precision; corroborates prior custom extraction but is not a standard-library decoder cross-check.</x:t>
        </x:is>
      </x:c>
    </x:row>
    <x:row r="22">
      <x:c r="A22" t="inlineStr">
        <x:is>
          <x:t xml:space="preserve">Three-dot control p50/p56</x:t>
        </x:is>
      </x:c>
      <x:c r="B22" t="inlineStr">
        <x:is>
          <x:t xml:space="preserve">Gap percentages: p50 46.6214% / 53.3786%; p56 46.6101% / 53.3899%. Ordered one-dimensional scale/translation fit: scale 0.469437, RMS horizontal residual 0.0225 px, maximum 0.0318 px.</x:t>
        </x:is>
      </x:c>
      <x:c r="C22" t="inlineStr">
        <x:is>
          <x:t xml:space="preserve">Consistent with a reused scaled three-dot row; not evidence of cipher relevance.</x:t>
        </x:is>
      </x:c>
    </x:row>
    <x:row r="23">
      <x:c r="A23" t="inlineStr">
        <x:is>
          <x:t xml:space="preserve">Plant-side control p57/p68</x:t>
        </x:is>
      </x:c>
      <x:c r="B23" t="inlineStr">
        <x:is>
          <x:t xml:space="preserve">Right-side five-dot group recovered in both scans. All centers, bounding boxes and component areas match at emitted precision. Max-normalized sorted-distance signature difference from target groups is ~0.1913.</x:t>
        </x:is>
      </x:c>
      <x:c r="C23" t="inlineStr">
        <x:is>
          <x:t xml:space="preserve">Consistent with repeated decorative/illustration geometry, distinct from isolated target template.</x:t>
        </x:is>
      </x:c>
    </x:row>
    <x:row r="24">
      <x:c r="A24" t="inlineStr">
        <x:is>
          <x:t xml:space="preserve">Page-39 six-dot control</x:t>
        </x:is>
      </x:c>
      <x:c r="B24" t="inlineStr">
        <x:is>
          <x:t xml:space="preserve">All six annotated members re-detected; broad ROI also has three other dark components which remain labeled extras. Tested all 6 choose 5 subsets against the target signature.</x:t>
        </x:is>
      </x:c>
      <x:c r="C24" t="inlineStr">
        <x:is>
          <x:t xml:space="preserve">Subset RMS differences 0.1051–0.1960, far above target-to-target 0.00004–0.00035; each subset is dissimilar under this metric.</x:t>
        </x:is>
      </x:c>
    </x:row>
    <x:row r="25">
      <x:c r="A25" t="inlineStr">
        <x:is>
          <x:t xml:space="preserve">Transform search</x:t>
        </x:is>
      </x:c>
      <x:c r="B25" t="inlineStr">
        <x:is>
          <x:t xml:space="preserve">For each target page pair, enumerated all 120 point correspondences separately for proper and reflected similarity models; fit scale, orthogonal transform and translation by least squares.</x:t>
        </x:is>
      </x:c>
      <x:c r="C25" t="inlineStr">
        <x:is>
          <x:t xml:space="preserve">Best models: p24→p40 reflected (RMS 0.0311 px), p24→p73 reflected (0.2062 px), p40→p73 proper ~180° rotation (0.2315 px).</x:t>
        </x:is>
      </x:c>
    </x:row>
    <x:row r="26">
      <x:c r="A26" t="inlineStr">
        <x:is>
          <x:t xml:space="preserve">Background null model</x:t>
        </x:is>
      </x:c>
      <x:c r="B26" t="inlineStr">
        <x:is>
          <x:t xml:space="preserve">v1.0 exploratory random-rectangle null remains recorded in prior sheet; no formal significance is inferred or recomputed here.</x:t>
        </x:is>
      </x:c>
      <x:c r="C26" t="inlineStr">
        <x:is>
          <x:t xml:space="preserve">Does not model illustration placement, template reuse, ROI selection or the full set of previous hypotheses; not a formal p-value.</x:t>
        </x:is>
      </x:c>
    </x:row>
    <x:row r="27">
      <x:c r="A27" t="inlineStr">
        <x:is>
          <x:t xml:space="preserve">Unresolved decoder validation</x:t>
        </x:is>
      </x:c>
      <x:c r="B27" t="inlineStr">
        <x:is>
          <x:t xml:space="preserve">Raw JPEGs are retrieved through GitHub connector and decoded inside that runtime. The source bytes were not transferred into the local Pillow runtime for an independent library decode.</x:t>
        </x:is>
      </x:c>
      <x:c r="C27" t="inlineStr">
        <x:is>
          <x:t xml:space="preserve">Standard-library/libjpeg cross-check remains outstanding; no rune/text/key mapping has been established.</x:t>
        </x:is>
      </x:c>
    </x:row>
    <x:row r="28">
      <x:c r="A28" t="inlineStr">
        <x:is>
          <x:t xml:space="preserve">Left plant-side crops</x:t>
        </x:is>
      </x:c>
      <x:c r="B28" t="inlineStr">
        <x:is>
          <x:t xml:space="preserve">Selected left-side ROIs on pages 57 and 68 returned only three filtered components each; right-side groups return five on both pages.</x:t>
        </x:is>
      </x:c>
      <x:c r="C28" t="inlineStr">
        <x:is>
          <x:t xml:space="preserve">Incomplete detection only; no full left-side constellation classification assigned.</x:t>
        </x:is>
      </x:c>
    </x:row>
    <x:row r="29">
      <x:c r="A29" t="inlineStr">
        <x:is>
          <x:t xml:space="preserve">Version lineage</x:t>
        </x:is>
      </x:c>
      <x:c r="B29" t="inlineStr">
        <x:is>
          <x:t xml:space="preserve">Five append-only research sheets added on top of v1.0; source/master sheets were not edited. v0.9 and v1.0 files remain separate.</x:t>
        </x:is>
      </x:c>
      <x:c r="C29" t="inlineStr">
        <x:is>
          <x:t xml:space="preserve">Promote v1.1 only after reviewing this audit.</x:t>
        </x:is>
      </x:c>
    </x:row>
  </x:sheetData>
  <x:pageMargins left="0.7" right="0.7" top="0.75" bottom="0.75" header="0.3" footer="0.3"/>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Workbook audit — v1.2</x:t>
        </x:is>
      </x:c>
      <x:c r="B1" s="1" t="n"/>
      <x:c r="C1" s="1" t="n"/>
      <x:c r="D1" s="1" t="n"/>
      <x:c r="E1" s="1" t="n"/>
      <x:c r="F1" s="1" t="n"/>
      <x:c r="G1" s="1" t="n"/>
    </x:row>
    <x:row r="2" s="232" customFormat="1" ht="36" customHeight="1">
      <x:c r="A2" s="312" t="inlineStr">
        <x:is>
          <x:t xml:space="preserve">Append-only audit of v1.1 source and derivations. Status labels separate reproduced workbook math from source-pixel validation.</x:t>
        </x:is>
      </x:c>
      <x:c r="B2" s="1" t="n"/>
      <x:c r="C2" s="1" t="n"/>
      <x:c r="D2" s="1" t="n"/>
      <x:c r="E2" s="1" t="n"/>
      <x:c r="F2" s="1" t="n"/>
      <x:c r="G2" s="1" t="n"/>
    </x:row>
    <x:row r="4" s="232" customFormat="1" ht="32" customHeight="1">
      <x:c r="A4" s="274" t="inlineStr">
        <x:is>
          <x:t xml:space="preserve">Audit ID</x:t>
        </x:is>
      </x:c>
      <x:c r="B4" s="274" t="inlineStr">
        <x:is>
          <x:t xml:space="preserve">Area</x:t>
        </x:is>
      </x:c>
      <x:c r="C4" s="274" t="inlineStr">
        <x:is>
          <x:t xml:space="preserve">Status</x:t>
        </x:is>
      </x:c>
      <x:c r="D4" s="274" t="inlineStr">
        <x:is>
          <x:t xml:space="preserve">Finding</x:t>
        </x:is>
      </x:c>
      <x:c r="E4" s="274" t="inlineStr">
        <x:is>
          <x:t xml:space="preserve">Evidence / range</x:t>
        </x:is>
      </x:c>
      <x:c r="F4" s="274" t="inlineStr">
        <x:is>
          <x:t xml:space="preserve">Decision</x:t>
        </x:is>
      </x:c>
      <x:c r="G4" s="274" t="inlineStr">
        <x:is>
          <x:t xml:space="preserve">Next action</x:t>
        </x:is>
      </x:c>
    </x:row>
    <x:row r="5" s="232" customFormat="1" ht="24" customHeight="1">
      <x:c r="A5" s="234" t="inlineStr">
        <x:is>
          <x:t xml:space="preserve">AUD-01</x:t>
        </x:is>
      </x:c>
      <x:c r="B5" s="234" t="inlineStr">
        <x:is>
          <x:t xml:space="preserve">Artifact recovery</x:t>
        </x:is>
      </x:c>
      <x:c r="C5" s="234" t="inlineStr">
        <x:is>
          <x:t xml:space="preserve">Confirmed</x:t>
        </x:is>
      </x:c>
      <x:c r="D5" s="234" t="inlineStr">
        <x:is>
          <x:t xml:space="preserve">v1.1 workbook, CSV archive, prior handoff, art survey and measure_constellations_v0_2.py are available in Library and materialized locally.</x:t>
        </x:is>
      </x:c>
      <x:c r="E5" s="234" t="inlineStr">
        <x:is>
          <x:t xml:space="preserve">Input workbook SHA-256: e2998d9d646839556f11e80c6dd5eba2c33c63f09cc571fead936b77390e3841</x:t>
        </x:is>
      </x:c>
      <x:c r="F5" s="234" t="inlineStr">
        <x:is>
          <x:t xml:space="preserve">Retain the source; add only new v1.2 sheets.</x:t>
        </x:is>
      </x:c>
      <x:c r="G5" s="234" t="inlineStr">
        <x:is>
          <x:t xml:space="preserve">No source files overwritten.</x:t>
        </x:is>
      </x:c>
    </x:row>
    <x:row r="6" s="232" customFormat="1" ht="24" customHeight="1">
      <x:c r="A6" s="234" t="inlineStr">
        <x:is>
          <x:t xml:space="preserve">AUD-02</x:t>
        </x:is>
      </x:c>
      <x:c r="B6" s="234" t="inlineStr">
        <x:is>
          <x:t xml:space="preserve">Workbook scope</x:t>
        </x:is>
      </x:c>
      <x:c r="C6" s="234" t="inlineStr">
        <x:is>
          <x:t xml:space="preserve">Confirmed</x:t>
        </x:is>
      </x:c>
      <x:c r="D6" s="234" t="inlineStr">
        <x:is>
          <x:t xml:space="preserve">The imported workbook has 19 expected legacy/v1.1 sheets.</x:t>
        </x:is>
      </x:c>
      <x:c r="E6" s="234" t="inlineStr">
        <x:is>
          <x:t xml:space="preserve">Original sheets retained; 10 new v1.2 sheets appended.</x:t>
        </x:is>
      </x:c>
      <x:c r="F6" s="234" t="inlineStr">
        <x:is>
          <x:t xml:space="preserve">Retain prior audit trail.</x:t>
        </x:is>
      </x:c>
      <x:c r="G6" s="234" t="inlineStr">
        <x:is>
          <x:t xml:space="preserve">Verify after export.</x:t>
        </x:is>
      </x:c>
    </x:row>
    <x:row r="7" s="232" customFormat="1" ht="24" customHeight="1">
      <x:c r="A7" s="234" t="inlineStr">
        <x:is>
          <x:t xml:space="preserve">AUD-03</x:t>
        </x:is>
      </x:c>
      <x:c r="B7" s="234" t="inlineStr">
        <x:is>
          <x:t xml:space="preserve">Master dataset identifiers</x:t>
        </x:is>
      </x:c>
      <x:c r="C7" s="234" t="inlineStr">
        <x:is>
          <x:t xml:space="preserve">Reproduced from v1.1</x:t>
        </x:is>
      </x:c>
      <x:c r="D7" s="234" t="inlineStr">
        <x:is>
          <x:t xml:space="preserve">Master Dataset has 185 data rows in declared range; 185 nonblank feature IDs; 0 duplicate IDs.</x:t>
        </x:is>
      </x:c>
      <x:c r="E7" s="234" t="inlineStr">
        <x:is>
          <x:t xml:space="preserve">Count recorded from A1:AU186.</x:t>
        </x:is>
      </x:c>
      <x:c r="F7" s="234" t="inlineStr">
        <x:is>
          <x:t xml:space="preserve">No duplicate feature identifier found in audited range.</x:t>
        </x:is>
      </x:c>
      <x:c r="G7" s="234" t="inlineStr">
        <x:is>
          <x:t xml:space="preserve">Keep feature IDs stable.</x:t>
        </x:is>
      </x:c>
    </x:row>
    <x:row r="8" s="232" customFormat="1" ht="24" customHeight="1">
      <x:c r="A8" s="234" t="inlineStr">
        <x:is>
          <x:t xml:space="preserve">AUD-04</x:t>
        </x:is>
      </x:c>
      <x:c r="B8" s="234" t="inlineStr">
        <x:is>
          <x:t xml:space="preserve">Primary coordinate provenance</x:t>
        </x:is>
      </x:c>
      <x:c r="C8" s="234" t="inlineStr">
        <x:is>
          <x:t xml:space="preserve">Reproduced from v1.1</x:t>
        </x:is>
      </x:c>
      <x:c r="D8" s="234" t="inlineStr">
        <x:is>
          <x:t xml:space="preserve">15 target centroids (5 each on pages 24, 40, 73). Required per-row fields page/group/label/source Git hash/threshold/x/y/ROI/source URL are populated.</x:t>
        </x:is>
      </x:c>
      <x:c r="E8" s="234" t="inlineStr">
        <x:is>
          <x:t xml:space="preserve">Pixel Centroids v1.1 A5:W19.</x:t>
        </x:is>
      </x:c>
      <x:c r="F8" s="234" t="inlineStr">
        <x:is>
          <x:t xml:space="preserve">Coordinate convention and 2400×3600 dimensions are sheet-level/context metadata, not duplicated per row.</x:t>
        </x:is>
      </x:c>
      <x:c r="G8" s="234" t="inlineStr">
        <x:is>
          <x:t xml:space="preserve">Consider normalizing this metadata into explicit columns in future versions.</x:t>
        </x:is>
      </x:c>
    </x:row>
    <x:row r="9" s="232" customFormat="1" ht="24" customHeight="1">
      <x:c r="A9" s="234" t="inlineStr">
        <x:is>
          <x:t xml:space="preserve">AUD-05</x:t>
        </x:is>
      </x:c>
      <x:c r="B9" s="234" t="inlineStr">
        <x:is>
          <x:t xml:space="preserve">Geometry consistency</x:t>
        </x:is>
      </x:c>
      <x:c r="C9" s="234" t="inlineStr">
        <x:is>
          <x:t xml:space="preserve">Reproduced from v1.1</x:t>
        </x:is>
      </x:c>
      <x:c r="D9" s="234" t="inlineStr">
        <x:is>
          <x:t xml:space="preserve">All 15 target centroids have normalized coordinates consistent with x/2400 and y/3600 within 2e-5; bounding-box widths/heights and ROI containment checks pass.</x:t>
        </x:is>
      </x:c>
      <x:c r="E9" s="234" t="inlineStr">
        <x:is>
          <x:t xml:space="preserve">Automated checks over stored coordinates.</x:t>
        </x:is>
      </x:c>
      <x:c r="F9" s="234" t="inlineStr">
        <x:is>
          <x:t xml:space="preserve">No arithmetic inconsistency found in the primary target block.</x:t>
        </x:is>
      </x:c>
      <x:c r="G9" s="234" t="inlineStr">
        <x:is>
          <x:t xml:space="preserve">Retain.</x:t>
        </x:is>
      </x:c>
    </x:row>
    <x:row r="10" s="232" customFormat="1" ht="24" customHeight="1">
      <x:c r="A10" s="234" t="inlineStr">
        <x:is>
          <x:t xml:space="preserve">AUD-06</x:t>
        </x:is>
      </x:c>
      <x:c r="B10" s="234" t="inlineStr">
        <x:is>
          <x:t xml:space="preserve">ROI coordinate convention</x:t>
        </x:is>
      </x:c>
      <x:c r="C10" s="234" t="inlineStr">
        <x:is>
          <x:t xml:space="preserve">Confirmed by script review</x:t>
        </x:is>
      </x:c>
      <x:c r="D10" s="234" t="inlineStr">
        <x:is>
          <x:t xml:space="preserve">Hand-off regions [x,y,width,height] correspond to ROI slices; script PAGE_CONFIG uses [x0,y0,x1,y1] and conversion was reconciled.</x:t>
        </x:is>
      </x:c>
      <x:c r="E10" s="234" t="inlineStr">
        <x:is>
          <x:t xml:space="preserve">Python script PAGE_CONFIG and v1.1 ROI fields.</x:t>
        </x:is>
      </x:c>
      <x:c r="F10" s="234" t="inlineStr">
        <x:is>
          <x:t xml:space="preserve">No ROI coordinate conversion problem found in target records.</x:t>
        </x:is>
      </x:c>
      <x:c r="G10" s="234" t="inlineStr">
        <x:is>
          <x:t xml:space="preserve">Document convention explicitly in future raw rows.</x:t>
        </x:is>
      </x:c>
    </x:row>
    <x:row r="11" s="232" customFormat="1" ht="24" customHeight="1">
      <x:c r="A11" s="234" t="inlineStr">
        <x:is>
          <x:t xml:space="preserve">AUD-07</x:t>
        </x:is>
      </x:c>
      <x:c r="B11" s="234" t="inlineStr">
        <x:is>
          <x:t xml:space="preserve">Source image provenance</x:t>
        </x:is>
      </x:c>
      <x:c r="C11" s="234" t="inlineStr">
        <x:is>
          <x:t xml:space="preserve">Independently verified via current GitHub blob IDs</x:t>
        </x:is>
      </x:c>
      <x:c r="D11" s="234" t="inlineStr">
        <x:is>
          <x:t xml:space="preserve">Current GitHub blob IDs match v1.1 recorded IDs for pages 24,39,40,50,56,57,68,73 (8/8).</x:t>
        </x:is>
      </x:c>
      <x:c r="E11" s="234" t="inlineStr">
        <x:is>
          <x:t xml:space="preserve">Source records table on Decoder Crosscheck v1.2.</x:t>
        </x:is>
      </x:c>
      <x:c r="F11" s="234" t="inlineStr">
        <x:is>
          <x:t xml:space="preserve">Verifies repository object identity, not a fresh local pixel decode.</x:t>
        </x:is>
      </x:c>
      <x:c r="G11" s="234" t="inlineStr">
        <x:is>
          <x:t xml:space="preserve">Acquire source bytes in local runtime for independent pixel verification.</x:t>
        </x:is>
      </x:c>
    </x:row>
    <x:row r="12" s="232" customFormat="1" ht="24" customHeight="1">
      <x:c r="A12" s="234" t="inlineStr">
        <x:is>
          <x:t xml:space="preserve">AUD-08</x:t>
        </x:is>
      </x:c>
      <x:c r="B12" s="234" t="inlineStr">
        <x:is>
          <x:t xml:space="preserve">Decoder implementation handoff</x:t>
        </x:is>
      </x:c>
      <x:c r="C12" s="234" t="inlineStr">
        <x:is>
          <x:t xml:space="preserve">Unresolved provenance gap</x:t>
        </x:is>
      </x:c>
      <x:c r="D12" s="234" t="inlineStr">
        <x:is>
          <x:t xml:space="preserve">Pixel Centroids v1.1 and Pixel Thresholds v1.1 describe a “new JS baseline-JPEG Y decoder”; the available Python script uses Pillow Image.open for JPEG decoding. The separate JS decoder source was not found in the recovered artifacts.</x:t>
        </x:is>
      </x:c>
      <x:c r="E12" s="234" t="inlineStr">
        <x:is>
          <x:t xml:space="preserve">Sheet methods versus measure_constellations_v0_2.py line 236.</x:t>
        </x:is>
      </x:c>
      <x:c r="F12" s="234" t="inlineStr">
        <x:is>
          <x:t xml:space="preserve">The available Python script cannot, by itself, regenerate the claimed JS-decoder centroids; do not conflate the methods.</x:t>
        </x:is>
      </x:c>
      <x:c r="G12" s="234" t="inlineStr">
        <x:is>
          <x:t xml:space="preserve">Recover source of the JS decoder and preserve it, or rerun the same measurements with standard Pillow/libjpeg.</x:t>
        </x:is>
      </x:c>
    </x:row>
    <x:row r="13" s="232" customFormat="1" ht="24" customHeight="1">
      <x:c r="A13" s="234" t="inlineStr">
        <x:is>
          <x:t xml:space="preserve">AUD-09</x:t>
        </x:is>
      </x:c>
      <x:c r="B13" s="234" t="inlineStr">
        <x:is>
          <x:t xml:space="preserve">Threshold sensitivity</x:t>
        </x:is>
      </x:c>
      <x:c r="C13" s="234" t="inlineStr">
        <x:is>
          <x:t xml:space="preserve">Reproduced from v1.1 stored rows</x:t>
        </x:is>
      </x:c>
      <x:c r="D13" s="234" t="inlineStr">
        <x:is>
          <x:t xml:space="preserve">60 rows: 15 target points × 4 thresholds (40,60,80,100), all complete. Max per-point displacement from T=60 is 0.173612 px; median of per-point max displacements is 0.050990 px.</x:t>
        </x:is>
      </x:c>
      <x:c r="E13" s="234" t="inlineStr">
        <x:is>
          <x:t xml:space="preserve">Pixel Thresholds v1.1 A5:R64.</x:t>
        </x:is>
      </x:c>
      <x:c r="F13" s="234" t="inlineStr">
        <x:is>
          <x:t xml:space="preserve">Low threshold sensitivity is internal stability, not independent decoder confirmation.</x:t>
        </x:is>
      </x:c>
      <x:c r="G13" s="234" t="inlineStr">
        <x:is>
          <x:t xml:space="preserve">Retain as sensitivity check.</x:t>
        </x:is>
      </x:c>
    </x:row>
    <x:row r="14" s="232" customFormat="1" ht="24" customHeight="1">
      <x:c r="A14" s="234" t="inlineStr">
        <x:is>
          <x:t xml:space="preserve">AUD-10</x:t>
        </x:is>
      </x:c>
      <x:c r="B14" s="234" t="inlineStr">
        <x:is>
          <x:t xml:space="preserve">Legacy centroid join keys</x:t>
        </x:is>
      </x:c>
      <x:c r="C14" s="234" t="inlineStr">
        <x:is>
          <x:t xml:space="preserve">Partly resolved</x:t>
        </x:is>
      </x:c>
      <x:c r="D14" s="234" t="inlineStr">
        <x:is>
          <x:t xml:space="preserve">The v0.9 target block in Measured Centroids A5:U19 joins to the v1.1 target points; max Euclidean coordinate delta is 0.000510 px. Page+label is not a guaranteed unique key across the entire legacy sheet because controls/threshold variants also repeat page labels.</x:t>
        </x:is>
      </x:c>
      <x:c r="E14" s="234" t="inlineStr">
        <x:is>
          <x:t xml:space="preserve">Target-block comparison only.</x:t>
        </x:is>
      </x:c>
      <x:c r="F14" s="234" t="inlineStr">
        <x:is>
          <x:t xml:space="preserve">No discrepancy above numerical rounding in target block.</x:t>
        </x:is>
      </x:c>
      <x:c r="G14" s="234" t="inlineStr">
        <x:is>
          <x:t xml:space="preserve">Use page + group class + label + threshold + source hash for future joins.</x:t>
        </x:is>
      </x:c>
    </x:row>
    <x:row r="15" s="232" customFormat="1" ht="24" customHeight="1">
      <x:c r="A15" s="234" t="inlineStr">
        <x:is>
          <x:t xml:space="preserve">AUD-11</x:t>
        </x:is>
      </x:c>
      <x:c r="B15" s="234" t="inlineStr">
        <x:is>
          <x:t xml:space="preserve">Historical null distribution</x:t>
        </x:is>
      </x:c>
      <x:c r="C15" s="234" t="inlineStr">
        <x:is>
          <x:t xml:space="preserve">Rejected for inferential claims</x:t>
        </x:is>
      </x:c>
      <x:c r="D15" s="234" t="inlineStr">
        <x:is>
          <x:t xml:space="preserve">Historical random-point rectangle null uses synthetic points, not actual corpus dot clusters, and was selected after examining target motifs. v0.2 defaults also do not reproduce the historical 250,000 comparison count.</x:t>
        </x:is>
      </x:c>
      <x:c r="E15" s="234" t="inlineStr">
        <x:is>
          <x:t xml:space="preserve">Geometry Refit v1.0 and script defaults.</x:t>
        </x:is>
      </x:c>
      <x:c r="F15" s="234" t="inlineStr">
        <x:is>
          <x:t xml:space="preserve">Historical numeric p-value is not evidence of corpus-specific rarity.</x:t>
        </x:is>
      </x:c>
      <x:c r="G15" s="234" t="inlineStr">
        <x:is>
          <x:t xml:space="preserve">Replace with a preregistered manuscript-empirical null after corpus detector is available.</x:t>
        </x:is>
      </x:c>
    </x:row>
    <x:row r="16" s="232" customFormat="1" ht="24" customHeight="1">
      <x:c r="A16" s="234" t="inlineStr">
        <x:is>
          <x:t xml:space="preserve">AUD-12</x:t>
        </x:is>
      </x:c>
      <x:c r="B16" s="234" t="inlineStr">
        <x:is>
          <x:t xml:space="preserve">Corpus coverage</x:t>
        </x:is>
      </x:c>
      <x:c r="C16" s="234" t="inlineStr">
        <x:is>
          <x:t xml:space="preserve">Not completed in this turn</x:t>
        </x:is>
      </x:c>
      <x:c r="D16" s="234" t="inlineStr">
        <x:is>
          <x:t xml:space="preserve">Only 8/75 page-image source IDs were verified here; no corpus-wide candidate detection or full-page measurements were executed.</x:t>
        </x:is>
      </x:c>
      <x:c r="E16" s="234" t="inlineStr">
        <x:is>
          <x:t xml:space="preserve">Coverage Audit v1.2.</x:t>
        </x:is>
      </x:c>
      <x:c r="F16" s="234" t="inlineStr">
        <x:is>
          <x:t xml:space="preserve">Cannot estimate frequency or p-value for target motif over the whole manuscript.</x:t>
        </x:is>
      </x:c>
      <x:c r="G16" s="234" t="inlineStr">
        <x:is>
          <x:t xml:space="preserve">Retrieve source image bytes locally and run a preregistered full-corpus detector.</x:t>
        </x:is>
      </x:c>
    </x:row>
    <x:row r="17" s="232" customFormat="1" ht="24" customHeight="1">
      <x:c r="A17" s="234" t="inlineStr">
        <x:is>
          <x:t xml:space="preserve">AUD-13</x:t>
        </x:is>
      </x:c>
      <x:c r="B17" s="234" t="inlineStr">
        <x:is>
          <x:t xml:space="preserve">Page 57/68 plant group</x:t>
        </x:is>
      </x:c>
      <x:c r="C17" s="234" t="inlineStr">
        <x:is>
          <x:t xml:space="preserve">Reproduced from recorded data; pixel equality unresolved</x:t>
        </x:is>
      </x:c>
      <x:c r="D17" s="234" t="inlineStr">
        <x:is>
          <x:t xml:space="preserve">Recorded centroids, boxes and areas for the right-side five-dot plant group match between pages 57 and 68.</x:t>
        </x:is>
      </x:c>
      <x:c r="E17" s="234" t="inlineStr">
        <x:is>
          <x:t xml:space="preserve">Auxiliary Controls v1.1 records.</x:t>
        </x:is>
      </x:c>
      <x:c r="F17" s="234" t="inlineStr">
        <x:is>
          <x:t xml:space="preserve">Data-row equality is not pixel-level proof of exact copied artwork.</x:t>
        </x:is>
      </x:c>
      <x:c r="G17" s="234" t="inlineStr">
        <x:is>
          <x:t xml:space="preserve">Use a direct decoded crop difference or feature matching after source bytes are locally available.</x:t>
        </x:is>
      </x:c>
    </x:row>
    <x:row r="18" s="232" customFormat="1" ht="24" customHeight="1">
      <x:c r="A18" s="234" t="inlineStr">
        <x:is>
          <x:t xml:space="preserve">AUD-14</x:t>
        </x:is>
      </x:c>
      <x:c r="B18" s="234" t="inlineStr">
        <x:is>
          <x:t xml:space="preserve">Cipher relevance</x:t>
        </x:is>
      </x:c>
      <x:c r="C18" s="234" t="inlineStr">
        <x:is>
          <x:t xml:space="preserve">Deferred</x:t>
        </x:is>
      </x:c>
      <x:c r="D18" s="234" t="inlineStr">
        <x:is>
          <x:t xml:space="preserve">No predeclared mapping from motif points to rune positions or text values currently survives an appropriate null or has a held-out prediction.</x:t>
        </x:is>
      </x:c>
      <x:c r="E18" s="234" t="inlineStr">
        <x:is>
          <x:t xml:space="preserve">No accepted mapping in current workbook.</x:t>
        </x:is>
      </x:c>
      <x:c r="F18" s="234" t="inlineStr">
        <x:is>
          <x:t xml:space="preserve">No cipher relationship established.</x:t>
        </x:is>
      </x:c>
      <x:c r="G18" s="234" t="inlineStr">
        <x:is>
          <x:t xml:space="preserve">Do not test arbitrary dot-to-rune mappings until motif status survives empirical controls.</x:t>
        </x:is>
      </x:c>
    </x:row>
    <x:row r="19" s="232" customFormat="1" ht="24" customHeight="1">
      <x:c r="A19" s="234" t="inlineStr">
        <x:is>
          <x:t xml:space="preserve">AUD-15</x:t>
        </x:is>
      </x:c>
      <x:c r="B19" s="234" t="inlineStr">
        <x:is>
          <x:t xml:space="preserve">Transform refit reconciliation</x:t>
        </x:is>
      </x:c>
      <x:c r="C19" s="234" t="inlineStr">
        <x:is>
          <x:t xml:space="preserve">Minor discrepancy; unresolved cause</x:t>
        </x:is>
      </x:c>
      <x:c r="D19" s="234" t="inlineStr">
        <x:is>
          <x:t xml:space="preserve">The best mappings/model classes agree, but refitting from the stored numeric centroid cells gives small RMS deltas versus Pixel Transform Fits v1.1: 24→40 -0.000001381 px; 24→73 0.000242609 px; 40→73 0.000256023 px.</x:t>
        </x:is>
      </x:c>
      <x:c r="E19" s="234" t="inlineStr">
        <x:is>
          <x:t xml:space="preserve">Geometry Refit v1.2 reconciliation block.</x:t>
        </x:is>
      </x:c>
      <x:c r="F19" s="234" t="inlineStr">
        <x:is>
          <x:t xml:space="preserve">Do not silently replace historic values; v1.2 documents the refit from stored numeric cells.</x:t>
        </x:is>
      </x:c>
      <x:c r="G19" s="234" t="inlineStr">
        <x:is>
          <x:t xml:space="preserve">Resolve whether v1.1 fits used higher-precision unrounded centroid values or different calculation inputs.</x:t>
        </x:is>
      </x:c>
    </x:row>
  </x:sheetData>
  <x:mergeCells>
    <x:mergeCell ref="A2:G2"/>
    <x:mergeCell ref="A1:G1"/>
  </x:mergeCells>
  <x:pageMargins left="0.7" right="0.7" top="0.75" bottom="0.75" header="0.3" footer="0.3"/>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9" style="232" customWidth="1"/>
    <x:col min="3" max="3" width="34" style="232" customWidth="1"/>
    <x:col min="4" max="4" width="34" style="232" customWidth="1"/>
    <x:col min="5" max="5" width="15" style="232" customWidth="1"/>
    <x:col min="6" max="6" width="17" style="232" customWidth="1"/>
    <x:col min="7" max="7" width="17" style="232" customWidth="1"/>
    <x:col min="8" max="8" width="17" style="232" customWidth="1"/>
    <x:col min="9" max="9" width="18" style="232" customWidth="1"/>
    <x:col min="10" max="10" width="18" style="232" customWidth="1"/>
    <x:col min="11" max="11" width="17" style="232" customWidth="1"/>
    <x:col min="12" max="12" width="16" style="232" customWidth="1"/>
    <x:col min="13" max="13" width="16" style="232" customWidth="1"/>
    <x:col min="14" max="14" width="16" style="232" customWidth="1"/>
    <x:col min="15" max="15" width="16" style="232" customWidth="1"/>
  </x:cols>
  <x:sheetData>
    <x:row r="1" s="232" customFormat="1" ht="28" customHeight="1">
      <x:c r="A1" s="311" t="inlineStr">
        <x:is>
          <x:t xml:space="preserve">Five-dot similarity-transform refit — v1.2</x:t>
        </x:is>
      </x:c>
      <x:c r="B1" s="1" t="n"/>
      <x:c r="C1" s="1" t="n"/>
      <x:c r="D1" s="1" t="n"/>
      <x:c r="E1" s="1" t="n"/>
      <x:c r="F1" s="1" t="n"/>
      <x:c r="G1" s="1" t="n"/>
      <x:c r="H1" s="1" t="n"/>
      <x:c r="I1" s="1" t="n"/>
      <x:c r="J1" s="1" t="n"/>
      <x:c r="K1" s="1" t="n"/>
      <x:c r="L1" s="1" t="n"/>
      <x:c r="M1" s="1" t="n"/>
      <x:c r="N1" s="1" t="n"/>
      <x:c r="O1" s="1" t="n"/>
    </x:row>
    <x:row r="2" s="232" customFormat="1" ht="36" customHeight="1">
      <x:c r="A2" s="312" t="inlineStr">
        <x:is>
          <x:t xml:space="preserve">All 120 point permutations tested for each page pair under each fixed determinant model. RMS/max residuals are in source pixels. “Normalized RMS” divides the fitted RMS by page A RMS pairwise distance; all fits were selected in-sample.</x:t>
        </x:is>
      </x:c>
      <x:c r="B2" s="1" t="n"/>
      <x:c r="C2" s="1" t="n"/>
      <x:c r="D2" s="1" t="n"/>
      <x:c r="E2" s="1" t="n"/>
      <x:c r="F2" s="1" t="n"/>
      <x:c r="G2" s="1" t="n"/>
      <x:c r="H2" s="1" t="n"/>
      <x:c r="I2" s="1" t="n"/>
      <x:c r="J2" s="1" t="n"/>
      <x:c r="K2" s="1" t="n"/>
      <x:c r="L2" s="1" t="n"/>
      <x:c r="M2" s="1" t="n"/>
      <x:c r="N2" s="1" t="n"/>
      <x:c r="O2" s="1" t="n"/>
    </x:row>
    <x:row r="4" s="232" customFormat="1" ht="32" customHeight="1">
      <x:c r="A4" s="274" t="inlineStr">
        <x:is>
          <x:t xml:space="preserve">Page pair</x:t>
        </x:is>
      </x:c>
      <x:c r="B4" s="274" t="inlineStr">
        <x:is>
          <x:t xml:space="preserve">Model class</x:t>
        </x:is>
      </x:c>
      <x:c r="C4" s="274" t="inlineStr">
        <x:is>
          <x:t xml:space="preserve">Source label → target label mapping</x:t>
        </x:is>
      </x:c>
      <x:c r="D4" s="274" t="inlineStr">
        <x:is>
          <x:t xml:space="preserve">Requested det(R) sign</x:t>
        </x:is>
      </x:c>
      <x:c r="E4" s="274" t="inlineStr">
        <x:is>
          <x:t xml:space="preserve">Fitted det(R)</x:t>
        </x:is>
      </x:c>
      <x:c r="F4" s="274" t="inlineStr">
        <x:is>
          <x:t xml:space="preserve">Scale</x:t>
        </x:is>
      </x:c>
      <x:c r="G4" s="274" t="inlineStr">
        <x:is>
          <x:t xml:space="preserve">Translation X px</x:t>
        </x:is>
      </x:c>
      <x:c r="H4" s="274" t="inlineStr">
        <x:is>
          <x:t xml:space="preserve">Translation Y px</x:t>
        </x:is>
      </x:c>
      <x:c r="I4" s="274" t="inlineStr">
        <x:is>
          <x:t xml:space="preserve">RMS residual px</x:t>
        </x:is>
      </x:c>
      <x:c r="J4" s="274" t="inlineStr">
        <x:is>
          <x:t xml:space="preserve">Maximum residual px</x:t>
        </x:is>
      </x:c>
      <x:c r="K4" s="274" t="inlineStr">
        <x:is>
          <x:t xml:space="preserve">Normalized RMS residual</x:t>
        </x:is>
      </x:c>
      <x:c r="L4" s="274" t="inlineStr">
        <x:is>
          <x:t xml:space="preserve">Permutations tested</x:t>
        </x:is>
      </x:c>
      <x:c r="M4" s="274" t="inlineStr">
        <x:is>
          <x:t xml:space="preserve">Rotation/reflection matrix R (JSON)</x:t>
        </x:is>
      </x:c>
      <x:c r="N4" s="274" t="inlineStr">
        <x:is>
          <x:t xml:space="preserve">Per-point errors px (JSON)</x:t>
        </x:is>
      </x:c>
      <x:c r="O4" s="274" t="inlineStr">
        <x:is>
          <x:t xml:space="preserve">Provenance / limitation</x:t>
        </x:is>
      </x:c>
    </x:row>
    <x:row r="5" s="232" customFormat="1" ht="24" customHeight="1">
      <x:c r="A5" s="234" t="inlineStr">
        <x:is>
          <x:t xml:space="preserve">24→40</x:t>
        </x:is>
      </x:c>
      <x:c r="B5" s="234" t="inlineStr">
        <x:is>
          <x:t xml:space="preserve">proper (rotation)</x:t>
        </x:is>
      </x:c>
      <x:c r="C5" s="234" t="inlineStr">
        <x:is>
          <x:t xml:space="preserve">1→1; 2→2; 3→3; 4→4; 5→5</x:t>
        </x:is>
      </x:c>
      <x:c r="D5" s="234" t="n">
        <x:v>1</x:v>
      </x:c>
      <x:c r="E5" s="234" t="n">
        <x:v>0.9999999999999999</x:v>
      </x:c>
      <x:c r="F5" s="234" t="n">
        <x:v>0.949948735849789</x:v>
      </x:c>
      <x:c r="G5" s="234" t="n">
        <x:v>1918.545143214787</x:v>
      </x:c>
      <x:c r="H5" s="234" t="n">
        <x:v>-2398.507812169917</x:v>
      </x:c>
      <x:c r="I5" s="234" t="n">
        <x:v>95.49692085780028</x:v>
      </x:c>
      <x:c r="J5" s="234" t="n">
        <x:v>126.5655136199419</x:v>
      </x:c>
      <x:c r="K5" s="234" t="n">
        <x:v>0.1976251145223013</x:v>
      </x:c>
      <x:c r="L5" s="234" t="n">
        <x:v>120</x:v>
      </x:c>
      <x:c r="M5" s="234" t="inlineStr">
        <x:is>
          <x:t xml:space="preserve">[[0.8207572145898883,0.5712771610161291],[-0.571277161016129,0.8207572145898878]]</x:t>
        </x:is>
      </x:c>
      <x:c r="N5" s="234" t="inlineStr">
        <x:is>
          <x:t xml:space="preserve">[126.56551361994194,103.38662461839247,85.44038538880503,21.634388354552435,105.46364237915176]</x:t>
        </x:is>
      </x:c>
      <x:c r="O5" s="234" t="inlineStr">
        <x:is>
          <x:t xml:space="preserve">Refit from v1.1 threshold-60 centroid coordinates; coordinates use source pixels (2400×3600, top-left origin; y increases downward).</x:t>
        </x:is>
      </x:c>
    </x:row>
    <x:row r="6" s="232" customFormat="1" ht="24" customHeight="1">
      <x:c r="A6" s="234" t="inlineStr">
        <x:is>
          <x:t xml:space="preserve">24→40</x:t>
        </x:is>
      </x:c>
      <x:c r="B6" s="234" t="inlineStr">
        <x:is>
          <x:t xml:space="preserve">reflected</x:t>
        </x:is>
      </x:c>
      <x:c r="C6" s="234" t="inlineStr">
        <x:is>
          <x:t xml:space="preserve">1→1; 2→2; 3→5; 4→4; 5→3</x:t>
        </x:is>
      </x:c>
      <x:c r="D6" s="234" t="n">
        <x:v>-1</x:v>
      </x:c>
      <x:c r="E6" s="234" t="n">
        <x:v>-0.9999999999999998</x:v>
      </x:c>
      <x:c r="F6" s="234" t="n">
        <x:v>1.000020902325035</x:v>
      </x:c>
      <x:c r="G6" s="234" t="n">
        <x:v>-0.2098733615855508</x:v>
      </x:c>
      <x:c r="H6" s="234" t="n">
        <x:v>3674.008006049361</x:v>
      </x:c>
      <x:c r="I6" s="234" t="n">
        <x:v>0.03113771330423836</x:v>
      </x:c>
      <x:c r="J6" s="234" t="n">
        <x:v>0.05269254735321977</x:v>
      </x:c>
      <x:c r="K6" s="234" t="n">
        <x:v>6.443761853720607e-05</x:v>
      </x:c>
      <x:c r="L6" s="234" t="n">
        <x:v>120</x:v>
      </x:c>
      <x:c r="M6" s="234" t="inlineStr">
        <x:is>
          <x:t xml:space="preserve">[[0.999999998158984,6.0679748038186054e-05],[6.0679748038159464e-05,-0.9999999981589839]]</x:t>
        </x:is>
      </x:c>
      <x:c r="N6" s="234" t="inlineStr">
        <x:is>
          <x:t xml:space="preserve">[0.009780780687045975,0.0036530134527260703,0.03416306608910894,0.05269254735321977,0.028198548540141036]</x:t>
        </x:is>
      </x:c>
      <x:c r="O6" s="234" t="inlineStr">
        <x:is>
          <x:t xml:space="preserve">Refit from v1.1 threshold-60 centroid coordinates; coordinates use source pixels (2400×3600, top-left origin; y increases downward).</x:t>
        </x:is>
      </x:c>
    </x:row>
    <x:row r="7" s="232" customFormat="1" ht="24" customHeight="1">
      <x:c r="A7" s="234" t="inlineStr">
        <x:is>
          <x:t xml:space="preserve">24→73</x:t>
        </x:is>
      </x:c>
      <x:c r="B7" s="234" t="inlineStr">
        <x:is>
          <x:t xml:space="preserve">proper (rotation)</x:t>
        </x:is>
      </x:c>
      <x:c r="C7" s="234" t="inlineStr">
        <x:is>
          <x:t xml:space="preserve">1→4; 2→5; 3→1; 4→2; 5→3</x:t>
        </x:is>
      </x:c>
      <x:c r="D7" s="234" t="n">
        <x:v>1</x:v>
      </x:c>
      <x:c r="E7" s="234" t="n">
        <x:v>1</x:v>
      </x:c>
      <x:c r="F7" s="234" t="n">
        <x:v>0.9502994356802461</x:v>
      </x:c>
      <x:c r="G7" s="234" t="n">
        <x:v>481.8360521777818</x:v>
      </x:c>
      <x:c r="H7" s="234" t="n">
        <x:v>5654.290747095664</x:v>
      </x:c>
      <x:c r="I7" s="234" t="n">
        <x:v>95.57240549772261</x:v>
      </x:c>
      <x:c r="J7" s="234" t="n">
        <x:v>126.6118663740416</x:v>
      </x:c>
      <x:c r="K7" s="234" t="n">
        <x:v>0.1977813254291591</x:v>
      </x:c>
      <x:c r="L7" s="234" t="n">
        <x:v>120</x:v>
      </x:c>
      <x:c r="M7" s="234" t="inlineStr">
        <x:is>
          <x:t xml:space="preserve">[[-0.820759567987969,-0.571273779860587],[0.5712737798605872,-0.820759567987969]]</x:t>
        </x:is>
      </x:c>
      <x:c r="N7" s="234" t="inlineStr">
        <x:is>
          <x:t xml:space="preserve">[126.61186637404164,103.39050897365358,85.64521266590891,21.42304429748528,105.62297160653785]</x:t>
        </x:is>
      </x:c>
      <x:c r="O7" s="234" t="inlineStr">
        <x:is>
          <x:t xml:space="preserve">Refit from v1.1 threshold-60 centroid coordinates; coordinates use source pixels (2400×3600, top-left origin; y increases downward).</x:t>
        </x:is>
      </x:c>
    </x:row>
    <x:row r="8" s="232" customFormat="1" ht="24" customHeight="1">
      <x:c r="A8" s="234" t="inlineStr">
        <x:is>
          <x:t xml:space="preserve">24→73</x:t>
        </x:is>
      </x:c>
      <x:c r="B8" s="234" t="inlineStr">
        <x:is>
          <x:t xml:space="preserve">reflected</x:t>
        </x:is>
      </x:c>
      <x:c r="C8" s="234" t="inlineStr">
        <x:is>
          <x:t xml:space="preserve">1→4; 2→5; 3→3; 4→2; 5→1</x:t>
        </x:is>
      </x:c>
      <x:c r="D8" s="234" t="n">
        <x:v>-1</x:v>
      </x:c>
      <x:c r="E8" s="234" t="n">
        <x:v>-1</x:v>
      </x:c>
      <x:c r="F8" s="234" t="n">
        <x:v>1.00043100358888</x:v>
      </x:c>
      <x:c r="G8" s="234" t="n">
        <x:v>2401.414016325218</x:v>
      </x:c>
      <x:c r="H8" s="234" t="n">
        <x:v>-420.5632457460238</x:v>
      </x:c>
      <x:c r="I8" s="234" t="n">
        <x:v>0.2064290796317995</x:v>
      </x:c>
      <x:c r="J8" s="234" t="n">
        <x:v>0.2882447170462366</x:v>
      </x:c>
      <x:c r="K8" s="234" t="n">
        <x:v>0.0004271925224030446</x:v>
      </x:c>
      <x:c r="L8" s="234" t="n">
        <x:v>120</x:v>
      </x:c>
      <x:c r="M8" s="234" t="inlineStr">
        <x:is>
          <x:t xml:space="preserve">[[-0.9999999962964523,-8.606448416958547e-05],[-8.606448416953166e-05,0.9999999962964522]]</x:t>
        </x:is>
      </x:c>
      <x:c r="N8" s="234" t="inlineStr">
        <x:is>
          <x:t xml:space="preserve">[0.06759624638717365,0.16401403568365922,0.13099626415066085,0.2882447170462366,0.2852190912873614]</x:t>
        </x:is>
      </x:c>
      <x:c r="O8" s="234" t="inlineStr">
        <x:is>
          <x:t xml:space="preserve">Refit from v1.1 threshold-60 centroid coordinates; coordinates use source pixels (2400×3600, top-left origin; y increases downward).</x:t>
        </x:is>
      </x:c>
    </x:row>
    <x:row r="9" s="232" customFormat="1" ht="24" customHeight="1">
      <x:c r="A9" s="234" t="inlineStr">
        <x:is>
          <x:t xml:space="preserve">40→73</x:t>
        </x:is>
      </x:c>
      <x:c r="B9" s="234" t="inlineStr">
        <x:is>
          <x:t xml:space="preserve">proper (rotation)</x:t>
        </x:is>
      </x:c>
      <x:c r="C9" s="234" t="inlineStr">
        <x:is>
          <x:t xml:space="preserve">1→4; 2→5; 3→1; 4→2; 5→3</x:t>
        </x:is>
      </x:c>
      <x:c r="D9" s="234" t="n">
        <x:v>1</x:v>
      </x:c>
      <x:c r="E9" s="234" t="n">
        <x:v>1</x:v>
      </x:c>
      <x:c r="F9" s="234" t="n">
        <x:v>1.00041002799585</x:v>
      </x:c>
      <x:c r="G9" s="234" t="n">
        <x:v>2401.110686585217</x:v>
      </x:c>
      <x:c r="H9" s="234" t="n">
        <x:v>3254.951376451749</x:v>
      </x:c>
      <x:c r="I9" s="234" t="n">
        <x:v>0.2318049113203646</x:v>
      </x:c>
      <x:c r="J9" s="234" t="n">
        <x:v>0.3390072980331685</x:v>
      </x:c>
      <x:c r="K9" s="234" t="n">
        <x:v>0.0004796962454068447</x:v>
      </x:c>
      <x:c r="L9" s="234" t="n">
        <x:v>120</x:v>
      </x:c>
      <x:c r="M9" s="234" t="inlineStr">
        <x:is>
          <x:t xml:space="preserve">[[-0.9999999996782278,-2.5368176101372032e-05],[2.536817610144983e-05,-0.9999999996782281]]</x:t>
        </x:is>
      </x:c>
      <x:c r="N9" s="234" t="inlineStr">
        <x:is>
          <x:t xml:space="preserve">[0.07500187744005311,0.16761442978575747,0.30582077168706956,0.33900729803316854,0.16277411758092517]</x:t>
        </x:is>
      </x:c>
      <x:c r="O9" s="234" t="inlineStr">
        <x:is>
          <x:t xml:space="preserve">Refit from v1.1 threshold-60 centroid coordinates; coordinates use source pixels (2400×3600, top-left origin; y increases downward).</x:t>
        </x:is>
      </x:c>
    </x:row>
    <x:row r="10" s="232" customFormat="1" ht="24" customHeight="1">
      <x:c r="A10" s="234" t="inlineStr">
        <x:is>
          <x:t xml:space="preserve">40→73</x:t>
        </x:is>
      </x:c>
      <x:c r="B10" s="234" t="inlineStr">
        <x:is>
          <x:t xml:space="preserve">reflected</x:t>
        </x:is>
      </x:c>
      <x:c r="C10" s="234" t="inlineStr">
        <x:is>
          <x:t xml:space="preserve">1→4; 2→5; 3→3; 4→2; 5→1</x:t>
        </x:is>
      </x:c>
      <x:c r="D10" s="234" t="n">
        <x:v>-1</x:v>
      </x:c>
      <x:c r="E10" s="234" t="n">
        <x:v>-1</x:v>
      </x:c>
      <x:c r="F10" s="234" t="n">
        <x:v>0.9502779390278133</x:v>
      </x:c>
      <x:c r="G10" s="234" t="n">
        <x:v>2476.351337218092</x:v>
      </x:c>
      <x:c r="H10" s="234" t="n">
        <x:v>2788.756444675199</x:v>
      </x:c>
      <x:c r="I10" s="234" t="n">
        <x:v>95.57391808426674</x:v>
      </x:c>
      <x:c r="J10" s="234" t="n">
        <x:v>126.6209764198273</x:v>
      </x:c>
      <x:c r="K10" s="234" t="n">
        <x:v>0.1977803205406734</x:v>
      </x:c>
      <x:c r="L10" s="234" t="n">
        <x:v>120</x:v>
      </x:c>
      <x:c r="M10" s="234" t="inlineStr">
        <x:is>
          <x:t xml:space="preserve">[[-0.8207225597865263,-0.5713269465528927],[-0.5713269465528927,0.8207225597865263]]</x:t>
        </x:is>
      </x:c>
      <x:c r="N10" s="234" t="inlineStr">
        <x:is>
          <x:t xml:space="preserve">[126.62097641982729,103.39005434990453,105.62898221186363,21.4419114231707,85.62859705326643]</x:t>
        </x:is>
      </x:c>
      <x:c r="O10" s="234" t="inlineStr">
        <x:is>
          <x:t xml:space="preserve">Refit from v1.1 threshold-60 centroid coordinates; coordinates use source pixels (2400×3600, top-left origin; y increases downward).</x:t>
        </x:is>
      </x:c>
    </x:row>
    <x:row r="13">
      <x:c r="A13" s="313" t="inlineStr">
        <x:is>
          <x:t xml:space="preserve">Reconciliation with the stored v1.1 fit rows</x:t>
        </x:is>
      </x:c>
      <x:c r="B13" s="1" t="n"/>
      <x:c r="C13" s="1" t="n"/>
      <x:c r="D13" s="1" t="n"/>
      <x:c r="E13" s="1" t="n"/>
      <x:c r="F13" s="1" t="n"/>
      <x:c r="G13" s="1" t="n"/>
      <x:c r="H13" s="1" t="n"/>
      <x:c r="I13" s="1" t="n"/>
      <x:c r="J13" s="1" t="n"/>
      <x:c r="K13" s="1" t="n"/>
    </x:row>
    <x:row r="14" s="232" customFormat="1" ht="32" customHeight="1">
      <x:c r="A14" s="274" t="inlineStr">
        <x:is>
          <x:t xml:space="preserve">Pair</x:t>
        </x:is>
      </x:c>
      <x:c r="B14" s="274" t="inlineStr">
        <x:is>
          <x:t xml:space="preserve">Model</x:t>
        </x:is>
      </x:c>
      <x:c r="C14" s="274" t="inlineStr">
        <x:is>
          <x:t xml:space="preserve">v1.1 stored mapping</x:t>
        </x:is>
      </x:c>
      <x:c r="D14" s="274" t="inlineStr">
        <x:is>
          <x:t xml:space="preserve">v1.2 refit mapping</x:t>
        </x:is>
      </x:c>
      <x:c r="E14" s="274" t="inlineStr">
        <x:is>
          <x:t xml:space="preserve">Mapping equal?</x:t>
        </x:is>
      </x:c>
      <x:c r="F14" s="274" t="inlineStr">
        <x:is>
          <x:t xml:space="preserve">v1.1 RMS px</x:t>
        </x:is>
      </x:c>
      <x:c r="G14" s="274" t="inlineStr">
        <x:is>
          <x:t xml:space="preserve">v1.2 RMS px</x:t>
        </x:is>
      </x:c>
      <x:c r="H14" s="274" t="inlineStr">
        <x:is>
          <x:t xml:space="preserve">Delta RMS px</x:t>
        </x:is>
      </x:c>
      <x:c r="I14" s="274" t="inlineStr">
        <x:is>
          <x:t xml:space="preserve">v1.1 scale</x:t>
        </x:is>
      </x:c>
      <x:c r="J14" s="274" t="inlineStr">
        <x:is>
          <x:t xml:space="preserve">v1.2 scale</x:t>
        </x:is>
      </x:c>
      <x:c r="K14" s="274" t="inlineStr">
        <x:is>
          <x:t xml:space="preserve">Delta scale</x:t>
        </x:is>
      </x:c>
    </x:row>
    <x:row r="15">
      <x:c r="A15" s="233" t="inlineStr">
        <x:is>
          <x:t xml:space="preserve">24→40</x:t>
        </x:is>
      </x:c>
      <x:c r="B15" s="233" t="inlineStr">
        <x:is>
          <x:t xml:space="preserve">reflected</x:t>
        </x:is>
      </x:c>
      <x:c r="C15" s="233" t="inlineStr">
        <x:is>
          <x:t xml:space="preserve">1→1; 2→2; 3→5; 4→4; 5→3</x:t>
        </x:is>
      </x:c>
      <x:c r="D15" s="233" t="inlineStr">
        <x:is>
          <x:t xml:space="preserve">1→1; 2→2; 3→5; 4→4; 5→3</x:t>
        </x:is>
      </x:c>
      <x:c r="E15" s="233" t="b">
        <x:v>1</x:v>
      </x:c>
      <x:c r="F15" s="233" t="n">
        <x:v>0.03113909436470258</x:v>
      </x:c>
      <x:c r="G15" s="233" t="n">
        <x:v>0.03113771330423836</x:v>
      </x:c>
      <x:c r="H15" s="233" t="n">
        <x:v>-1.381060464222122e-06</x:v>
      </x:c>
      <x:c r="I15" s="233" t="n">
        <x:v>1.000021232709259</x:v>
      </x:c>
      <x:c r="J15" s="233" t="n">
        <x:v>1.000020902325035</x:v>
      </x:c>
      <x:c r="K15" s="233" t="n">
        <x:v>-3.303842244228861e-07</x:v>
      </x:c>
    </x:row>
    <x:row r="16">
      <x:c r="A16" s="233" t="inlineStr">
        <x:is>
          <x:t xml:space="preserve">24→73</x:t>
        </x:is>
      </x:c>
      <x:c r="B16" s="233" t="inlineStr">
        <x:is>
          <x:t xml:space="preserve">reflected</x:t>
        </x:is>
      </x:c>
      <x:c r="C16" s="233" t="inlineStr">
        <x:is>
          <x:t xml:space="preserve">1→4; 2→5; 3→3; 4→2; 5→1</x:t>
        </x:is>
      </x:c>
      <x:c r="D16" s="233" t="inlineStr">
        <x:is>
          <x:t xml:space="preserve">1→4; 2→5; 3→3; 4→2; 5→1</x:t>
        </x:is>
      </x:c>
      <x:c r="E16" s="233" t="b">
        <x:v>1</x:v>
      </x:c>
      <x:c r="F16" s="233" t="n">
        <x:v>0.2061864702057993</x:v>
      </x:c>
      <x:c r="G16" s="233" t="n">
        <x:v>0.2064290796317995</x:v>
      </x:c>
      <x:c r="H16" s="233" t="n">
        <x:v>0.0002426094260001288</x:v>
      </x:c>
      <x:c r="I16" s="233" t="n">
        <x:v>1.000430520112872</x:v>
      </x:c>
      <x:c r="J16" s="233" t="n">
        <x:v>1.00043100358888</x:v>
      </x:c>
      <x:c r="K16" s="233" t="n">
        <x:v>4.834760078953337e-07</x:v>
      </x:c>
    </x:row>
    <x:row r="17">
      <x:c r="A17" t="inlineStr">
        <x:is>
          <x:t xml:space="preserve">40→73</x:t>
        </x:is>
      </x:c>
      <x:c r="B17" t="inlineStr">
        <x:is>
          <x:t xml:space="preserve">proper</x:t>
        </x:is>
      </x:c>
      <x:c r="C17" t="inlineStr">
        <x:is>
          <x:t xml:space="preserve">1→4; 2→5; 3→1; 4→2; 5→3</x:t>
        </x:is>
      </x:c>
      <x:c r="D17" t="inlineStr">
        <x:is>
          <x:t xml:space="preserve">1→4; 2→5; 3→1; 4→2; 5→3</x:t>
        </x:is>
      </x:c>
      <x:c r="E17" t="b">
        <x:v>1</x:v>
      </x:c>
      <x:c r="F17" t="n">
        <x:v>0.2315488880252706</x:v>
      </x:c>
      <x:c r="G17" t="n">
        <x:v>0.2318049113203646</x:v>
      </x:c>
      <x:c r="H17" t="n">
        <x:v>0.0002560232950940544</x:v>
      </x:c>
      <x:c r="I17" t="n">
        <x:v>1.000409214116101</x:v>
      </x:c>
      <x:c r="J17" t="n">
        <x:v>1.00041002799585</x:v>
      </x:c>
      <x:c r="K17" t="n">
        <x:v>8.138797493728589e-07</x:v>
      </x:c>
    </x:row>
  </x:sheetData>
  <x:mergeCells>
    <x:mergeCell ref="A1:O1"/>
    <x:mergeCell ref="A2:O2"/>
    <x:mergeCell ref="A13:K13"/>
  </x:mergeCells>
  <x:pageMargins left="0.7" right="0.7" top="0.75" bottom="0.75" header="0.3" footer="0.3"/>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19" style="232" customWidth="1"/>
    <x:col min="3" max="3" width="20" style="232" customWidth="1"/>
    <x:col min="4" max="4" width="19" style="232" customWidth="1"/>
    <x:col min="5" max="5" width="20" style="232" customWidth="1"/>
    <x:col min="6" max="6" width="19" style="232" customWidth="1"/>
    <x:col min="7" max="7" width="20" style="232" customWidth="1"/>
    <x:col min="8" max="8" width="26" style="232" customWidth="1"/>
    <x:col min="9" max="9" width="37" style="232" customWidth="1"/>
  </x:cols>
  <x:sheetData>
    <x:row r="1" s="232" customFormat="1" ht="28" customHeight="1">
      <x:c r="A1" s="311" t="inlineStr">
        <x:is>
          <x:t xml:space="preserve">Five-dot pairwise-distance signatures — v1.2</x:t>
        </x:is>
      </x:c>
      <x:c r="B1" s="1" t="n"/>
      <x:c r="C1" s="1" t="n"/>
      <x:c r="D1" s="1" t="n"/>
      <x:c r="E1" s="1" t="n"/>
      <x:c r="F1" s="1" t="n"/>
      <x:c r="G1" s="1" t="n"/>
      <x:c r="H1" s="1" t="n"/>
      <x:c r="I1" s="1" t="n"/>
    </x:row>
    <x:row r="2" s="232" customFormat="1" ht="42" customHeight="1">
      <x:c r="A2" s="312" t="inlineStr">
        <x:is>
          <x:t xml:space="preserve">Ten Euclidean pair distances per group, sorted ascending and normalized by that group’s RMS pairwise distance. This signature is invariant to rotation, reflection and uniform scale; point-label ordering is not retained in the sorted vector. Inputs are v1.1 recorded source-pixel centroids, not fresh detections.</x:t>
        </x:is>
      </x:c>
      <x:c r="B2" s="1" t="n"/>
      <x:c r="C2" s="1" t="n"/>
      <x:c r="D2" s="1" t="n"/>
      <x:c r="E2" s="1" t="n"/>
      <x:c r="F2" s="1" t="n"/>
      <x:c r="G2" s="1" t="n"/>
      <x:c r="H2" s="1" t="n"/>
      <x:c r="I2" s="1" t="n"/>
    </x:row>
    <x:row r="3">
      <x:c r="A3" s="233" t="n"/>
      <x:c r="B3" s="233" t="n"/>
      <x:c r="C3" s="233" t="n"/>
      <x:c r="D3" s="233" t="n"/>
      <x:c r="E3" s="233" t="n"/>
      <x:c r="F3" s="233" t="n"/>
      <x:c r="G3" s="233" t="n"/>
      <x:c r="H3" s="233" t="n"/>
      <x:c r="I3" s="233" t="n"/>
    </x:row>
    <x:row r="4" s="232" customFormat="1" ht="32" customHeight="1">
      <x:c r="A4" s="274" t="inlineStr">
        <x:is>
          <x:t xml:space="preserve">Sorted distance rank</x:t>
        </x:is>
      </x:c>
      <x:c r="B4" s="274" t="inlineStr">
        <x:is>
          <x:t xml:space="preserve">Page 24 distance px</x:t>
        </x:is>
      </x:c>
      <x:c r="C4" s="274" t="inlineStr">
        <x:is>
          <x:t xml:space="preserve">Page 24 distance / RMS</x:t>
        </x:is>
      </x:c>
      <x:c r="D4" s="274" t="inlineStr">
        <x:is>
          <x:t xml:space="preserve">Page 40 distance px</x:t>
        </x:is>
      </x:c>
      <x:c r="E4" s="274" t="inlineStr">
        <x:is>
          <x:t xml:space="preserve">Page 40 distance / RMS</x:t>
        </x:is>
      </x:c>
      <x:c r="F4" s="274" t="inlineStr">
        <x:is>
          <x:t xml:space="preserve">Page 73 distance px</x:t>
        </x:is>
      </x:c>
      <x:c r="G4" s="274" t="inlineStr">
        <x:is>
          <x:t xml:space="preserve">Page 73 distance / RMS</x:t>
        </x:is>
      </x:c>
      <x:c r="H4" s="274" t="inlineStr">
        <x:is>
          <x:t xml:space="preserve">Pairwise norm method</x:t>
        </x:is>
      </x:c>
      <x:c r="I4" s="274" t="inlineStr">
        <x:is>
          <x:t xml:space="preserve">Source coordinate space</x:t>
        </x:is>
      </x:c>
    </x:row>
    <x:row r="5" s="232" customFormat="1" ht="22" customHeight="1">
      <x:c r="A5" s="233" t="n">
        <x:v>1</x:v>
      </x:c>
      <x:c r="B5" s="233" t="n">
        <x:v>197.248409357769</x:v>
      </x:c>
      <x:c r="C5" s="233" t="n">
        <x:v>0.4081936793199426</x:v>
      </x:c>
      <x:c r="D5" s="233" t="n">
        <x:v>197.3377793946715</x:v>
      </x:c>
      <x:c r="E5" s="233" t="n">
        <x:v>0.4083700872140745</x:v>
      </x:c>
      <x:c r="F5" s="233" t="n">
        <x:v>196.9706619293847</x:v>
      </x:c>
      <x:c r="G5" s="233" t="n">
        <x:v>0.4074431953947534</x:v>
      </x:c>
      <x:c r="H5" s="233" t="inlineStr">
        <x:is>
          <x:t xml:space="preserve">sorted d / within-group RMS pair distance</x:t>
        </x:is>
      </x:c>
      <x:c r="I5" s="233" t="inlineStr">
        <x:is>
          <x:t xml:space="preserve">source pixels; x right, y down</x:t>
        </x:is>
      </x:c>
    </x:row>
    <x:row r="6" s="232" customFormat="1" ht="22" customHeight="1">
      <x:c r="A6" s="233" t="n">
        <x:v>2</x:v>
      </x:c>
      <x:c r="B6" s="233" t="n">
        <x:v>204.8111503217782</x:v>
      </x:c>
      <x:c r="C6" s="233" t="n">
        <x:v>0.4238443153372058</x:v>
      </x:c>
      <x:c r="D6" s="233" t="n">
        <x:v>204.8111503217782</x:v>
      </x:c>
      <x:c r="E6" s="233" t="n">
        <x:v>0.4238354539910156</x:v>
      </x:c>
      <x:c r="F6" s="233" t="n">
        <x:v>205.0750468191096</x:v>
      </x:c>
      <x:c r="G6" s="233" t="n">
        <x:v>0.4242075015296553</x:v>
      </x:c>
      <x:c r="H6" s="233" t="inlineStr">
        <x:is>
          <x:t xml:space="preserve">sorted d / within-group RMS pair distance</x:t>
        </x:is>
      </x:c>
      <x:c r="I6" s="233" t="inlineStr">
        <x:is>
          <x:t xml:space="preserve">source pixels; x right, y down</x:t>
        </x:is>
      </x:c>
    </x:row>
    <x:row r="7" s="232" customFormat="1" ht="22" customHeight="1">
      <x:c r="A7" s="233" t="n">
        <x:v>3</x:v>
      </x:c>
      <x:c r="B7" s="233" t="n">
        <x:v>240.4441252104115</x:v>
      </x:c>
      <x:c r="C7" s="233" t="n">
        <x:v>0.4975846064364579</x:v>
      </x:c>
      <x:c r="D7" s="233" t="n">
        <x:v>240.4180796472056</x:v>
      </x:c>
      <x:c r="E7" s="233" t="n">
        <x:v>0.4975203048019132</x:v>
      </x:c>
      <x:c r="F7" s="233" t="n">
        <x:v>240.9875302520859</x:v>
      </x:c>
      <x:c r="G7" s="233" t="n">
        <x:v>0.4984941839277617</x:v>
      </x:c>
      <x:c r="H7" s="233" t="inlineStr">
        <x:is>
          <x:t xml:space="preserve">sorted d / within-group RMS pair distance</x:t>
        </x:is>
      </x:c>
      <x:c r="I7" s="233" t="inlineStr">
        <x:is>
          <x:t xml:space="preserve">source pixels; x right, y down</x:t>
        </x:is>
      </x:c>
    </x:row>
    <x:row r="8" s="232" customFormat="1" ht="22" customHeight="1">
      <x:c r="A8" s="233" t="n">
        <x:v>4</x:v>
      </x:c>
      <x:c r="B8" s="233" t="n">
        <x:v>318.1441080476739</x:v>
      </x:c>
      <x:c r="C8" s="233" t="n">
        <x:v>0.6583800317618451</x:v>
      </x:c>
      <x:c r="D8" s="233" t="n">
        <x:v>318.1441080476739</x:v>
      </x:c>
      <x:c r="E8" s="233" t="n">
        <x:v>0.6583662669591217</x:v>
      </x:c>
      <x:c r="F8" s="233" t="n">
        <x:v>318.504702296999</x:v>
      </x:c>
      <x:c r="G8" s="233" t="n">
        <x:v>0.6588421462413944</x:v>
      </x:c>
      <x:c r="H8" s="233" t="inlineStr">
        <x:is>
          <x:t xml:space="preserve">sorted d / within-group RMS pair distance</x:t>
        </x:is>
      </x:c>
      <x:c r="I8" s="233" t="inlineStr">
        <x:is>
          <x:t xml:space="preserve">source pixels; x right, y down</x:t>
        </x:is>
      </x:c>
    </x:row>
    <x:row r="9" s="232" customFormat="1" ht="22" customHeight="1">
      <x:c r="A9" s="233" t="n">
        <x:v>5</x:v>
      </x:c>
      <x:c r="B9" s="233" t="n">
        <x:v>427.302564040388</x:v>
      </x:c>
      <x:c r="C9" s="233" t="n">
        <x:v>0.8842768687788226</x:v>
      </x:c>
      <x:c r="D9" s="233" t="n">
        <x:v>427.3025640403881</x:v>
      </x:c>
      <x:c r="E9" s="233" t="n">
        <x:v>0.8842583811332921</x:v>
      </x:c>
      <x:c r="F9" s="233" t="n">
        <x:v>427.2404459153768</x:v>
      </x:c>
      <x:c r="G9" s="233" t="n">
        <x:v>0.8837672107130753</x:v>
      </x:c>
      <x:c r="H9" s="233" t="inlineStr">
        <x:is>
          <x:t xml:space="preserve">sorted d / within-group RMS pair distance</x:t>
        </x:is>
      </x:c>
      <x:c r="I9" s="233" t="inlineStr">
        <x:is>
          <x:t xml:space="preserve">source pixels; x right, y down</x:t>
        </x:is>
      </x:c>
    </x:row>
    <x:row r="10" s="232" customFormat="1" ht="22" customHeight="1">
      <x:c r="A10" s="233" t="n">
        <x:v>6</x:v>
      </x:c>
      <x:c r="B10" s="233" t="n">
        <x:v>488.3355258042363</x:v>
      </x:c>
      <x:c r="C10" s="233" t="n">
        <x:v>1.010580899839428</x:v>
      </x:c>
      <x:c r="D10" s="233" t="n">
        <x:v>488.3355258042363</x:v>
      </x:c>
      <x:c r="E10" s="233" t="n">
        <x:v>1.010559771545659</x:v>
      </x:c>
      <x:c r="F10" s="233" t="n">
        <x:v>488.4893643099408</x:v>
      </x:c>
      <x:c r="G10" s="233" t="n">
        <x:v>1.010463515536889</x:v>
      </x:c>
      <x:c r="H10" s="233" t="inlineStr">
        <x:is>
          <x:t xml:space="preserve">sorted d / within-group RMS pair distance</x:t>
        </x:is>
      </x:c>
      <x:c r="I10" s="233" t="inlineStr">
        <x:is>
          <x:t xml:space="preserve">source pixels; x right, y down</x:t>
        </x:is>
      </x:c>
    </x:row>
    <x:row r="11" s="232" customFormat="1" ht="22" customHeight="1">
      <x:c r="A11" s="233" t="n">
        <x:v>7</x:v>
      </x:c>
      <x:c r="B11" s="233" t="n">
        <x:v>554.1694177229558</x:v>
      </x:c>
      <x:c r="C11" s="233" t="n">
        <x:v>1.14682016612173</x:v>
      </x:c>
      <x:c r="D11" s="233" t="n">
        <x:v>554.1694177229558</x:v>
      </x:c>
      <x:c r="E11" s="233" t="n">
        <x:v>1.146796189462985</x:v>
      </x:c>
      <x:c r="F11" s="233" t="n">
        <x:v>554.3009470179625</x:v>
      </x:c>
      <x:c r="G11" s="233" t="n">
        <x:v>1.146597908800773</x:v>
      </x:c>
      <x:c r="H11" s="233" t="inlineStr">
        <x:is>
          <x:t xml:space="preserve">sorted d / within-group RMS pair distance</x:t>
        </x:is>
      </x:c>
      <x:c r="I11" s="233" t="inlineStr">
        <x:is>
          <x:t xml:space="preserve">source pixels; x right, y down</x:t>
        </x:is>
      </x:c>
    </x:row>
    <x:row r="12" s="232" customFormat="1" ht="22" customHeight="1">
      <x:c r="A12" s="233" t="n">
        <x:v>8</x:v>
      </x:c>
      <x:c r="B12" s="233" t="n">
        <x:v>582.2171515814439</x:v>
      </x:c>
      <x:c r="C12" s="233" t="n">
        <x:v>1.204863258674718</x:v>
      </x:c>
      <x:c r="D12" s="233" t="n">
        <x:v>582.2540371426892</x:v>
      </x:c>
      <x:c r="E12" s="233" t="n">
        <x:v>1.204914399351589</x:v>
      </x:c>
      <x:c r="F12" s="233" t="n">
        <x:v>582.2708098724939</x:v>
      </x:c>
      <x:c r="G12" s="233" t="n">
        <x:v>1.204454902246268</x:v>
      </x:c>
      <x:c r="H12" s="233" t="inlineStr">
        <x:is>
          <x:t xml:space="preserve">sorted d / within-group RMS pair distance</x:t>
        </x:is>
      </x:c>
      <x:c r="I12" s="233" t="inlineStr">
        <x:is>
          <x:t xml:space="preserve">source pixels; x right, y down</x:t>
        </x:is>
      </x:c>
    </x:row>
    <x:row r="13" s="232" customFormat="1" ht="22" customHeight="1">
      <x:c r="A13" s="233" t="n">
        <x:v>9</x:v>
      </x:c>
      <x:c r="B13" s="233" t="n">
        <x:v>682.6692256726167</x:v>
      </x:c>
      <x:c r="C13" s="233" t="n">
        <x:v>1.412742763772387</x:v>
      </x:c>
      <x:c r="D13" s="233" t="n">
        <x:v>682.6692256726167</x:v>
      </x:c>
      <x:c r="E13" s="233" t="n">
        <x:v>1.412713227449132</x:v>
      </x:c>
      <x:c r="F13" s="233" t="n">
        <x:v>683.1131512809939</x:v>
      </x:c>
      <x:c r="G13" s="233" t="n">
        <x:v>1.413052088304861</x:v>
      </x:c>
      <x:c r="H13" s="233" t="inlineStr">
        <x:is>
          <x:t xml:space="preserve">sorted d / within-group RMS pair distance</x:t>
        </x:is>
      </x:c>
      <x:c r="I13" s="233" t="inlineStr">
        <x:is>
          <x:t xml:space="preserve">source pixels; x right, y down</x:t>
        </x:is>
      </x:c>
    </x:row>
    <x:row r="14" s="232" customFormat="1" ht="22" customHeight="1">
      <x:c r="A14" s="233" t="n">
        <x:v>10</x:v>
      </x:c>
      <x:c r="B14" s="233" t="n">
        <x:v>749.653443337173</x:v>
      </x:c>
      <x:c r="C14" s="233" t="n">
        <x:v>1.551362559764096</x:v>
      </x:c>
      <x:c r="D14" s="233" t="n">
        <x:v>749.6747520759453</x:v>
      </x:c>
      <x:c r="E14" s="233" t="n">
        <x:v>1.55137422153292</x:v>
      </x:c>
      <x:c r="F14" s="233" t="n">
        <x:v>750.061977714382</x:v>
      </x:c>
      <x:c r="G14" s="233" t="n">
        <x:v>1.551538924378588</x:v>
      </x:c>
      <x:c r="H14" s="233" t="inlineStr">
        <x:is>
          <x:t xml:space="preserve">sorted d / within-group RMS pair distance</x:t>
        </x:is>
      </x:c>
      <x:c r="I14" s="233" t="inlineStr">
        <x:is>
          <x:t xml:space="preserve">source pixels; x right, y down</x:t>
        </x:is>
      </x:c>
    </x:row>
    <x:row r="15">
      <x:c r="A15" s="233" t="n"/>
      <x:c r="B15" s="233" t="n"/>
      <x:c r="C15" s="233" t="n"/>
      <x:c r="D15" s="233" t="n"/>
      <x:c r="E15" s="233" t="n"/>
      <x:c r="F15" s="233" t="n"/>
      <x:c r="G15" s="233" t="n"/>
      <x:c r="H15" s="233" t="n"/>
      <x:c r="I15" s="233" t="n"/>
    </x:row>
    <x:row r="16">
      <x:c r="A16" s="233" t="n"/>
      <x:c r="B16" s="233" t="n"/>
      <x:c r="C16" s="233" t="n"/>
      <x:c r="D16" s="233" t="n"/>
      <x:c r="E16" s="233" t="n"/>
      <x:c r="F16" s="233" t="n"/>
      <x:c r="G16" s="233" t="n"/>
      <x:c r="H16" s="233" t="n"/>
      <x:c r="I16" s="233" t="n"/>
    </x:row>
    <x:row r="17">
      <x:c r="A17" s="314" t="inlineStr">
        <x:is>
          <x:t xml:space="preserve">Signature comparison and multiplicity notes</x:t>
        </x:is>
      </x:c>
      <x:c r="B17" s="1" t="n"/>
      <x:c r="C17" s="1" t="n"/>
      <x:c r="D17" s="1" t="n"/>
      <x:c r="E17" s="1" t="n"/>
      <x:c r="F17" s="1" t="n"/>
      <x:c r="G17" s="1" t="n"/>
      <x:c r="H17" s="1" t="n"/>
      <x:c r="I17" s="1" t="n"/>
    </x:row>
    <x:row r="18" s="232" customFormat="1" ht="32" customHeight="1">
      <x:c r="A18" s="274" t="inlineStr">
        <x:is>
          <x:t xml:space="preserve">Page pair</x:t>
        </x:is>
      </x:c>
      <x:c r="B18" s="274" t="inlineStr">
        <x:is>
          <x:t xml:space="preserve">RMS diff of normalized sorted distances</x:t>
        </x:is>
      </x:c>
      <x:c r="C18" s="274" t="inlineStr">
        <x:is>
          <x:t xml:space="preserve">Page A RMS pair distance px</x:t>
        </x:is>
      </x:c>
      <x:c r="D18" s="274" t="inlineStr">
        <x:is>
          <x:t xml:space="preserve">Page B RMS pair distance px</x:t>
        </x:is>
      </x:c>
      <x:c r="E18" s="274" t="inlineStr">
        <x:is>
          <x:t xml:space="preserve">Same-label translation-only RMS px</x:t>
        </x:is>
      </x:c>
      <x:c r="F18" s="274" t="inlineStr">
        <x:is>
          <x:t xml:space="preserve">Permutations/model</x:t>
        </x:is>
      </x:c>
      <x:c r="G18" s="274" t="inlineStr">
        <x:is>
          <x:t xml:space="preserve">Models/pair</x:t>
        </x:is>
      </x:c>
      <x:c r="H18" s="274" t="inlineStr">
        <x:is>
          <x:t xml:space="preserve">Fits/pair searched</x:t>
        </x:is>
      </x:c>
      <x:c r="I18" s="274" t="inlineStr">
        <x:is>
          <x:t xml:space="preserve">Interpretation</x:t>
        </x:is>
      </x:c>
    </x:row>
    <x:row r="19" s="232" customFormat="1" ht="44" customHeight="1">
      <x:c r="A19" s="233" t="inlineStr">
        <x:is>
          <x:t xml:space="preserve">24-40</x:t>
        </x:is>
      </x:c>
      <x:c r="B19" s="233" t="n">
        <x:v>6.364689830712701e-05</x:v>
      </x:c>
      <x:c r="C19" s="233" t="n">
        <x:v>483.2225959166935</x:v>
      </x:c>
      <x:c r="D19" s="233" t="n">
        <x:v>483.2326989004551</x:v>
      </x:c>
      <x:c r="E19" s="233" t="n">
        <x:v>202.8815138474533</x:v>
      </x:c>
      <x:c r="F19" s="233" t="n">
        <x:v>120</x:v>
      </x:c>
      <x:c r="G19" s="233" t="n">
        <x:v>2</x:v>
      </x:c>
      <x:c r="H19" s="233" t="n">
        <x:v>240</x:v>
      </x:c>
      <x:c r="I19" s="233" t="inlineStr">
        <x:is>
          <x:t xml:space="preserve">Best fit selected after searching 120 permutations per determinant class; residual is in-sample, not a p-value.</x:t>
        </x:is>
      </x:c>
    </x:row>
    <x:row r="20" s="232" customFormat="1" ht="44" customHeight="1">
      <x:c r="A20" s="233" t="inlineStr">
        <x:is>
          <x:t xml:space="preserve">24-73</x:t>
        </x:is>
      </x:c>
      <x:c r="B20" s="233" t="n">
        <x:v>0.0004850238333033624</x:v>
      </x:c>
      <x:c r="C20" s="233" t="n">
        <x:v>483.2225959166935</x:v>
      </x:c>
      <x:c r="D20" s="233" t="n">
        <x:v>483.4309767734584</x:v>
      </x:c>
      <x:c r="E20" s="233" t="n">
        <x:v>363.4522621325436</x:v>
      </x:c>
      <x:c r="F20" s="233" t="n">
        <x:v>120</x:v>
      </x:c>
      <x:c r="G20" s="233" t="n">
        <x:v>2</x:v>
      </x:c>
      <x:c r="H20" s="233" t="n">
        <x:v>240</x:v>
      </x:c>
      <x:c r="I20" s="233" t="inlineStr">
        <x:is>
          <x:t xml:space="preserve">Best fit selected after searching 120 permutations per determinant class; residual is in-sample, not a p-value.</x:t>
        </x:is>
      </x:c>
    </x:row>
    <x:row r="21" s="232" customFormat="1" ht="44" customHeight="1">
      <x:c r="A21" s="233" t="inlineStr">
        <x:is>
          <x:t xml:space="preserve">40-73</x:t>
        </x:is>
      </x:c>
      <x:c r="B21" s="233" t="n">
        <x:v>0.0005306005632708786</x:v>
      </x:c>
      <x:c r="C21" s="233" t="n">
        <x:v>483.2326989004551</x:v>
      </x:c>
      <x:c r="D21" s="233" t="n">
        <x:v>483.4309767734584</x:v>
      </x:c>
      <x:c r="E21" s="233" t="n">
        <x:v>253.2789462909683</x:v>
      </x:c>
      <x:c r="F21" s="233" t="n">
        <x:v>120</x:v>
      </x:c>
      <x:c r="G21" s="233" t="n">
        <x:v>2</x:v>
      </x:c>
      <x:c r="H21" s="233" t="n">
        <x:v>240</x:v>
      </x:c>
      <x:c r="I21" s="233" t="inlineStr">
        <x:is>
          <x:t xml:space="preserve">Best fit selected after searching 120 permutations per determinant class; residual is in-sample, not a p-value.</x:t>
        </x:is>
      </x:c>
    </x:row>
  </x:sheetData>
  <x:mergeCells>
    <x:mergeCell ref="A1:I1"/>
    <x:mergeCell ref="A17:I17"/>
    <x:mergeCell ref="A2:I2"/>
  </x:mergeCells>
  <x:pageMargins left="0.7" right="0.7" top="0.75" bottom="0.75" header="0.3" footer="0.3"/>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 min="12" max="12" width="16" style="232" customWidth="1"/>
    <x:col min="13" max="13" width="16" style="232" customWidth="1"/>
    <x:col min="14" max="14" width="16" style="232" customWidth="1"/>
    <x:col min="15" max="15" width="16" style="232" customWidth="1"/>
    <x:col min="16" max="16" width="16" style="232" customWidth="1"/>
    <x:col min="17" max="17" width="16" style="232" customWidth="1"/>
    <x:col min="18" max="18" width="16" style="232" customWidth="1"/>
    <x:col min="19" max="19" width="16" style="232" customWidth="1"/>
    <x:col min="20" max="20" width="16" style="232" customWidth="1"/>
  </x:cols>
  <x:sheetData>
    <x:row r="1" s="232" customFormat="1" ht="28" customHeight="1">
      <x:c r="A1" s="311" t="inlineStr">
        <x:is>
          <x:t xml:space="preserve">Threshold sensitivity — v1.2</x:t>
        </x:is>
      </x:c>
      <x:c r="B1" s="1" t="n"/>
      <x:c r="C1" s="1" t="n"/>
      <x:c r="D1" s="1" t="n"/>
      <x:c r="E1" s="1" t="n"/>
      <x:c r="F1" s="1" t="n"/>
      <x:c r="G1" s="1" t="n"/>
      <x:c r="H1" s="1" t="n"/>
      <x:c r="I1" s="1" t="n"/>
      <x:c r="J1" s="1" t="n"/>
      <x:c r="K1" s="1" t="n"/>
      <x:c r="L1" s="1" t="n"/>
      <x:c r="M1" s="1" t="n"/>
      <x:c r="N1" s="1" t="n"/>
      <x:c r="O1" s="1" t="n"/>
      <x:c r="P1" s="1" t="n"/>
      <x:c r="Q1" s="1" t="n"/>
      <x:c r="R1" s="1" t="n"/>
      <x:c r="S1" s="1" t="n"/>
      <x:c r="T1" s="1" t="n"/>
    </x:row>
    <x:row r="2" s="232" customFormat="1" ht="36" customHeight="1">
      <x:c r="A2" s="312" t="inlineStr">
        <x:is>
          <x:t xml:space="preserve">Machine-readable threshold rows copied from Pixel Thresholds v1.1 with displacement-to-T60 and source URL appended. This is a recalculation over recorded results, not fresh source-image extraction.</x:t>
        </x:is>
      </x:c>
      <x:c r="B2" s="1" t="n"/>
      <x:c r="C2" s="1" t="n"/>
      <x:c r="D2" s="1" t="n"/>
      <x:c r="E2" s="1" t="n"/>
      <x:c r="F2" s="1" t="n"/>
      <x:c r="G2" s="1" t="n"/>
      <x:c r="H2" s="1" t="n"/>
      <x:c r="I2" s="1" t="n"/>
      <x:c r="J2" s="1" t="n"/>
      <x:c r="K2" s="1" t="n"/>
      <x:c r="L2" s="1" t="n"/>
      <x:c r="M2" s="1" t="n"/>
      <x:c r="N2" s="1" t="n"/>
      <x:c r="O2" s="1" t="n"/>
      <x:c r="P2" s="1" t="n"/>
      <x:c r="Q2" s="1" t="n"/>
      <x:c r="R2" s="1" t="n"/>
      <x:c r="S2" s="1" t="n"/>
      <x:c r="T2" s="1" t="n"/>
    </x:row>
    <x:row r="4" s="232" customFormat="1" ht="32" customHeight="1">
      <x:c r="A4" s="274" t="inlineStr">
        <x:is>
          <x:t xml:space="preserve">Page</x:t>
        </x:is>
      </x:c>
      <x:c r="B4" s="274" t="inlineStr">
        <x:is>
          <x:t xml:space="preserve">Group class</x:t>
        </x:is>
      </x:c>
      <x:c r="C4" s="274" t="inlineStr">
        <x:is>
          <x:t xml:space="preserve">Dot label</x:t>
        </x:is>
      </x:c>
      <x:c r="D4" s="274" t="inlineStr">
        <x:is>
          <x:t xml:space="preserve">Threshold</x:t>
        </x:is>
      </x:c>
      <x:c r="E4" s="274" t="inlineStr">
        <x:is>
          <x:t xml:space="preserve">Centroid X px</x:t>
        </x:is>
      </x:c>
      <x:c r="F4" s="274" t="inlineStr">
        <x:is>
          <x:t xml:space="preserve">Centroid Y px</x:t>
        </x:is>
      </x:c>
      <x:c r="G4" s="274" t="inlineStr">
        <x:is>
          <x:t xml:space="preserve">Area px²</x:t>
        </x:is>
      </x:c>
      <x:c r="H4" s="274" t="inlineStr">
        <x:is>
          <x:t xml:space="preserve">BBox X0</x:t>
        </x:is>
      </x:c>
      <x:c r="I4" s="274" t="inlineStr">
        <x:is>
          <x:t xml:space="preserve">BBox Y0</x:t>
        </x:is>
      </x:c>
      <x:c r="J4" s="274" t="inlineStr">
        <x:is>
          <x:t xml:space="preserve">BBox X1</x:t>
        </x:is>
      </x:c>
      <x:c r="K4" s="274" t="inlineStr">
        <x:is>
          <x:t xml:space="preserve">BBox Y1</x:t>
        </x:is>
      </x:c>
      <x:c r="L4" s="274" t="inlineStr">
        <x:is>
          <x:t xml:space="preserve">BBox width</x:t>
        </x:is>
      </x:c>
      <x:c r="M4" s="274" t="inlineStr">
        <x:is>
          <x:t xml:space="preserve">BBox height</x:t>
        </x:is>
      </x:c>
      <x:c r="N4" s="274" t="inlineStr">
        <x:is>
          <x:t xml:space="preserve">Detection method (as recorded)</x:t>
        </x:is>
      </x:c>
      <x:c r="O4" s="274" t="inlineStr">
        <x:is>
          <x:t xml:space="preserve">Source Git blob SHA-1</x:t>
        </x:is>
      </x:c>
      <x:c r="P4" s="274" t="inlineStr">
        <x:is>
          <x:t xml:space="preserve">ROI [x,y,w,h]</x:t>
        </x:is>
      </x:c>
      <x:c r="Q4" s="274" t="inlineStr">
        <x:is>
          <x:t xml:space="preserve">X normalized</x:t>
        </x:is>
      </x:c>
      <x:c r="R4" s="274" t="inlineStr">
        <x:is>
          <x:t xml:space="preserve">Y normalized</x:t>
        </x:is>
      </x:c>
      <x:c r="S4" s="274" t="inlineStr">
        <x:is>
          <x:t xml:space="preserve">Displacement from same-point T60 px</x:t>
        </x:is>
      </x:c>
      <x:c r="T4" s="274" t="inlineStr">
        <x:is>
          <x:t xml:space="preserve">Source URL</x:t>
        </x:is>
      </x:c>
    </x:row>
    <x:row r="5" s="232" customFormat="1" ht="24" customHeight="1">
      <x:c r="A5" s="234" t="n">
        <x:v>24</x:v>
      </x:c>
      <x:c r="B5" s="234" t="inlineStr">
        <x:is>
          <x:t xml:space="preserve">isolated five-dot target</x:t>
        </x:is>
      </x:c>
      <x:c r="C5" s="234" t="n">
        <x:v>1</x:v>
      </x:c>
      <x:c r="D5" s="234" t="n">
        <x:v>40</x:v>
      </x:c>
      <x:c r="E5" s="234" t="n">
        <x:v>796.938</x:v>
      </x:c>
      <x:c r="F5" s="234" t="n">
        <x:v>3105.88</x:v>
      </x:c>
      <x:c r="G5" s="234" t="n">
        <x:v>3443</x:v>
      </x:c>
      <x:c r="H5" s="234" t="n">
        <x:v>763</x:v>
      </x:c>
      <x:c r="I5" s="234" t="n">
        <x:v>3071</x:v>
      </x:c>
      <x:c r="J5" s="234" t="n">
        <x:v>831</x:v>
      </x:c>
      <x:c r="K5" s="234" t="n">
        <x:v>3140</x:v>
      </x:c>
      <x:c r="L5" s="234" t="n">
        <x:v>69</x:v>
      </x:c>
      <x:c r="M5" s="234" t="n">
        <x:v>70</x:v>
      </x:c>
      <x:c r="N5" s="234" t="inlineStr">
        <x:is>
          <x:t xml:space="preserve">8-connected dark component centroid; new JS baseline-JPEG Y decoder</x:t>
        </x:is>
      </x:c>
      <x:c r="O5" s="234" t="inlineStr">
        <x:is>
          <x:t xml:space="preserve">2b4e09dbad1a9c602a2919864b1a84f49d7ff501</x:t>
        </x:is>
      </x:c>
      <x:c r="P5" s="234" t="inlineStr">
        <x:is>
          <x:t xml:space="preserve">[650, 2700, 1050, 600]</x:t>
        </x:is>
      </x:c>
      <x:c r="Q5" s="234" t="n">
        <x:v>0.3320575</x:v>
      </x:c>
      <x:c r="R5" s="234" t="n">
        <x:v>0.8627444399999999</x:v>
      </x:c>
      <x:c r="S5" s="234" t="n">
        <x:v>0.1070420478129694</x:v>
      </x:c>
      <x:c r="T5" s="234" t="inlineStr">
        <x:is>
          <x:t xml:space="preserve">https://github.com/scream314/cicada3301/blob/master/assets/2014/liber-primus-complete/24.jpg</x:t>
        </x:is>
      </x:c>
    </x:row>
    <x:row r="6" s="232" customFormat="1" ht="24" customHeight="1">
      <x:c r="A6" s="234" t="n">
        <x:v>24</x:v>
      </x:c>
      <x:c r="B6" s="234" t="inlineStr">
        <x:is>
          <x:t xml:space="preserve">isolated five-dot target</x:t>
        </x:is>
      </x:c>
      <x:c r="C6" s="234" t="n">
        <x:v>2</x:v>
      </x:c>
      <x:c r="D6" s="234" t="n">
        <x:v>40</x:v>
      </x:c>
      <x:c r="E6" s="234" t="n">
        <x:v>992.504</x:v>
      </x:c>
      <x:c r="F6" s="234" t="n">
        <x:v>3166.728</x:v>
      </x:c>
      <x:c r="G6" s="234" t="n">
        <x:v>3403</x:v>
      </x:c>
      <x:c r="H6" s="234" t="n">
        <x:v>958</x:v>
      </x:c>
      <x:c r="I6" s="234" t="n">
        <x:v>3132</x:v>
      </x:c>
      <x:c r="J6" s="234" t="n">
        <x:v>1027</x:v>
      </x:c>
      <x:c r="K6" s="234" t="n">
        <x:v>3201</x:v>
      </x:c>
      <x:c r="L6" s="234" t="n">
        <x:v>70</x:v>
      </x:c>
      <x:c r="M6" s="234" t="n">
        <x:v>70</x:v>
      </x:c>
      <x:c r="N6" s="234" t="inlineStr">
        <x:is>
          <x:t xml:space="preserve">8-connected dark component centroid; new JS baseline-JPEG Y decoder</x:t>
        </x:is>
      </x:c>
      <x:c r="O6" s="234" t="inlineStr">
        <x:is>
          <x:t xml:space="preserve">2b4e09dbad1a9c602a2919864b1a84f49d7ff501</x:t>
        </x:is>
      </x:c>
      <x:c r="P6" s="234" t="inlineStr">
        <x:is>
          <x:t xml:space="preserve">[650, 2700, 1050, 600]</x:t>
        </x:is>
      </x:c>
      <x:c r="Q6" s="234" t="n">
        <x:v>0.41354333</x:v>
      </x:c>
      <x:c r="R6" s="234" t="n">
        <x:v>0.87964667</x:v>
      </x:c>
      <x:c r="S6" s="234" t="n">
        <x:v>0.09108786966430246</x:v>
      </x:c>
      <x:c r="T6" s="234" t="inlineStr">
        <x:is>
          <x:t xml:space="preserve">https://github.com/scream314/cicada3301/blob/master/assets/2014/liber-primus-complete/24.jpg</x:t>
        </x:is>
      </x:c>
    </x:row>
    <x:row r="7" s="232" customFormat="1" ht="24" customHeight="1">
      <x:c r="A7" s="234" t="n">
        <x:v>24</x:v>
      </x:c>
      <x:c r="B7" s="234" t="inlineStr">
        <x:is>
          <x:t xml:space="preserve">isolated five-dot target</x:t>
        </x:is>
      </x:c>
      <x:c r="C7" s="234" t="n">
        <x:v>3</x:v>
      </x:c>
      <x:c r="D7" s="234" t="n">
        <x:v>40</x:v>
      </x:c>
      <x:c r="E7" s="234" t="n">
        <x:v>1479.265</x:v>
      </x:c>
      <x:c r="F7" s="234" t="n">
        <x:v>3127.5</x:v>
      </x:c>
      <x:c r="G7" s="234" t="n">
        <x:v>3370</x:v>
      </x:c>
      <x:c r="H7" s="234" t="n">
        <x:v>1445</x:v>
      </x:c>
      <x:c r="I7" s="234" t="n">
        <x:v>3093</x:v>
      </x:c>
      <x:c r="J7" s="234" t="n">
        <x:v>1514</x:v>
      </x:c>
      <x:c r="K7" s="234" t="n">
        <x:v>3162</x:v>
      </x:c>
      <x:c r="L7" s="234" t="n">
        <x:v>70</x:v>
      </x:c>
      <x:c r="M7" s="234" t="n">
        <x:v>70</x:v>
      </x:c>
      <x:c r="N7" s="234" t="inlineStr">
        <x:is>
          <x:t xml:space="preserve">8-connected dark component centroid; new JS baseline-JPEG Y decoder</x:t>
        </x:is>
      </x:c>
      <x:c r="O7" s="234" t="inlineStr">
        <x:is>
          <x:t xml:space="preserve">2b4e09dbad1a9c602a2919864b1a84f49d7ff501</x:t>
        </x:is>
      </x:c>
      <x:c r="P7" s="234" t="inlineStr">
        <x:is>
          <x:t xml:space="preserve">[650, 2700, 1050, 600]</x:t>
        </x:is>
      </x:c>
      <x:c r="Q7" s="234" t="n">
        <x:v>0.61636042</x:v>
      </x:c>
      <x:c r="R7" s="234" t="n">
        <x:v>0.86875</x:v>
      </x:c>
      <x:c r="S7" s="234" t="n">
        <x:v>0</x:v>
      </x:c>
      <x:c r="T7" s="234" t="inlineStr">
        <x:is>
          <x:t xml:space="preserve">https://github.com/scream314/cicada3301/blob/master/assets/2014/liber-primus-complete/24.jpg</x:t>
        </x:is>
      </x:c>
    </x:row>
    <x:row r="8" s="232" customFormat="1" ht="24" customHeight="1">
      <x:c r="A8" s="234" t="n">
        <x:v>24</x:v>
      </x:c>
      <x:c r="B8" s="234" t="inlineStr">
        <x:is>
          <x:t xml:space="preserve">isolated five-dot target</x:t>
        </x:is>
      </x:c>
      <x:c r="C8" s="234" t="n">
        <x:v>4</x:v>
      </x:c>
      <x:c r="D8" s="234" t="n">
        <x:v>40</x:v>
      </x:c>
      <x:c r="E8" s="234" t="n">
        <x:v>1527.153</x:v>
      </x:c>
      <x:c r="F8" s="234" t="n">
        <x:v>2936.153</x:v>
      </x:c>
      <x:c r="G8" s="234" t="n">
        <x:v>3415</x:v>
      </x:c>
      <x:c r="H8" s="234" t="n">
        <x:v>1493</x:v>
      </x:c>
      <x:c r="I8" s="234" t="n">
        <x:v>2902</x:v>
      </x:c>
      <x:c r="J8" s="234" t="n">
        <x:v>1562</x:v>
      </x:c>
      <x:c r="K8" s="234" t="n">
        <x:v>2971</x:v>
      </x:c>
      <x:c r="L8" s="234" t="n">
        <x:v>70</x:v>
      </x:c>
      <x:c r="M8" s="234" t="n">
        <x:v>70</x:v>
      </x:c>
      <x:c r="N8" s="234" t="inlineStr">
        <x:is>
          <x:t xml:space="preserve">8-connected dark component centroid; new JS baseline-JPEG Y decoder</x:t>
        </x:is>
      </x:c>
      <x:c r="O8" s="234" t="inlineStr">
        <x:is>
          <x:t xml:space="preserve">2b4e09dbad1a9c602a2919864b1a84f49d7ff501</x:t>
        </x:is>
      </x:c>
      <x:c r="P8" s="234" t="inlineStr">
        <x:is>
          <x:t xml:space="preserve">[650, 2700, 1050, 600]</x:t>
        </x:is>
      </x:c>
      <x:c r="Q8" s="234" t="n">
        <x:v>0.63631375</x:v>
      </x:c>
      <x:c r="R8" s="234" t="n">
        <x:v>0.81559806</x:v>
      </x:c>
      <x:c r="S8" s="234" t="n">
        <x:v>0</x:v>
      </x:c>
      <x:c r="T8" s="234" t="inlineStr">
        <x:is>
          <x:t xml:space="preserve">https://github.com/scream314/cicada3301/blob/master/assets/2014/liber-primus-complete/24.jpg</x:t>
        </x:is>
      </x:c>
    </x:row>
    <x:row r="9" s="232" customFormat="1" ht="24" customHeight="1">
      <x:c r="A9" s="234" t="n">
        <x:v>24</x:v>
      </x:c>
      <x:c r="B9" s="234" t="inlineStr">
        <x:is>
          <x:t xml:space="preserve">isolated five-dot target</x:t>
        </x:is>
      </x:c>
      <x:c r="C9" s="234" t="n">
        <x:v>5</x:v>
      </x:c>
      <x:c r="D9" s="234" t="n">
        <x:v>40</x:v>
      </x:c>
      <x:c r="E9" s="234" t="n">
        <x:v>1296.931</x:v>
      </x:c>
      <x:c r="F9" s="234" t="n">
        <x:v>2866.789</x:v>
      </x:c>
      <x:c r="G9" s="234" t="n">
        <x:v>3415</x:v>
      </x:c>
      <x:c r="H9" s="234" t="n">
        <x:v>1263</x:v>
      </x:c>
      <x:c r="I9" s="234" t="n">
        <x:v>2832</x:v>
      </x:c>
      <x:c r="J9" s="234" t="n">
        <x:v>1331</x:v>
      </x:c>
      <x:c r="K9" s="234" t="n">
        <x:v>2901</x:v>
      </x:c>
      <x:c r="L9" s="234" t="n">
        <x:v>69</x:v>
      </x:c>
      <x:c r="M9" s="234" t="n">
        <x:v>70</x:v>
      </x:c>
      <x:c r="N9" s="234" t="inlineStr">
        <x:is>
          <x:t xml:space="preserve">8-connected dark component centroid; new JS baseline-JPEG Y decoder</x:t>
        </x:is>
      </x:c>
      <x:c r="O9" s="234" t="inlineStr">
        <x:is>
          <x:t xml:space="preserve">2b4e09dbad1a9c602a2919864b1a84f49d7ff501</x:t>
        </x:is>
      </x:c>
      <x:c r="P9" s="234" t="inlineStr">
        <x:is>
          <x:t xml:space="preserve">[650, 2700, 1050, 600]</x:t>
        </x:is>
      </x:c>
      <x:c r="Q9" s="234" t="n">
        <x:v>0.54038792</x:v>
      </x:c>
      <x:c r="R9" s="234" t="n">
        <x:v>0.7963302799999999</x:v>
      </x:c>
      <x:c r="S9" s="234" t="n">
        <x:v>0</x:v>
      </x:c>
      <x:c r="T9" s="234" t="inlineStr">
        <x:is>
          <x:t xml:space="preserve">https://github.com/scream314/cicada3301/blob/master/assets/2014/liber-primus-complete/24.jpg</x:t>
        </x:is>
      </x:c>
    </x:row>
    <x:row r="10" s="232" customFormat="1" ht="24" customHeight="1">
      <x:c r="A10" s="234" t="n">
        <x:v>24</x:v>
      </x:c>
      <x:c r="B10" s="234" t="inlineStr">
        <x:is>
          <x:t xml:space="preserve">isolated five-dot target</x:t>
        </x:is>
      </x:c>
      <x:c r="C10" s="234" t="n">
        <x:v>1</x:v>
      </x:c>
      <x:c r="D10" s="234" t="n">
        <x:v>60</x:v>
      </x:c>
      <x:c r="E10" s="234" t="n">
        <x:v>796.941</x:v>
      </x:c>
      <x:c r="F10" s="234" t="n">
        <x:v>3105.773</x:v>
      </x:c>
      <x:c r="G10" s="234" t="n">
        <x:v>3542</x:v>
      </x:c>
      <x:c r="H10" s="234" t="n">
        <x:v>763</x:v>
      </x:c>
      <x:c r="I10" s="234" t="n">
        <x:v>3071</x:v>
      </x:c>
      <x:c r="J10" s="234" t="n">
        <x:v>831</x:v>
      </x:c>
      <x:c r="K10" s="234" t="n">
        <x:v>3140</x:v>
      </x:c>
      <x:c r="L10" s="234" t="n">
        <x:v>69</x:v>
      </x:c>
      <x:c r="M10" s="234" t="n">
        <x:v>70</x:v>
      </x:c>
      <x:c r="N10" s="234" t="inlineStr">
        <x:is>
          <x:t xml:space="preserve">8-connected dark component centroid; new JS baseline-JPEG Y decoder</x:t>
        </x:is>
      </x:c>
      <x:c r="O10" s="234" t="inlineStr">
        <x:is>
          <x:t xml:space="preserve">2b4e09dbad1a9c602a2919864b1a84f49d7ff501</x:t>
        </x:is>
      </x:c>
      <x:c r="P10" s="234" t="inlineStr">
        <x:is>
          <x:t xml:space="preserve">[650, 2700, 1050, 600]</x:t>
        </x:is>
      </x:c>
      <x:c r="Q10" s="234" t="n">
        <x:v>0.33205875</x:v>
      </x:c>
      <x:c r="R10" s="234" t="n">
        <x:v>0.86271472</x:v>
      </x:c>
      <x:c r="S10" s="234" t="n">
        <x:v>0</x:v>
      </x:c>
      <x:c r="T10" s="234" t="inlineStr">
        <x:is>
          <x:t xml:space="preserve">https://github.com/scream314/cicada3301/blob/master/assets/2014/liber-primus-complete/24.jpg</x:t>
        </x:is>
      </x:c>
    </x:row>
    <x:row r="11" s="232" customFormat="1" ht="24" customHeight="1">
      <x:c r="A11" s="234" t="n">
        <x:v>24</x:v>
      </x:c>
      <x:c r="B11" s="234" t="inlineStr">
        <x:is>
          <x:t xml:space="preserve">isolated five-dot target</x:t>
        </x:is>
      </x:c>
      <x:c r="C11" s="234" t="n">
        <x:v>2</x:v>
      </x:c>
      <x:c r="D11" s="234" t="n">
        <x:v>60</x:v>
      </x:c>
      <x:c r="E11" s="234" t="n">
        <x:v>992.5</x:v>
      </x:c>
      <x:c r="F11" s="234" t="n">
        <x:v>3166.637</x:v>
      </x:c>
      <x:c r="G11" s="234" t="n">
        <x:v>3560</x:v>
      </x:c>
      <x:c r="H11" s="234" t="n">
        <x:v>958</x:v>
      </x:c>
      <x:c r="I11" s="234" t="n">
        <x:v>3132</x:v>
      </x:c>
      <x:c r="J11" s="234" t="n">
        <x:v>1027</x:v>
      </x:c>
      <x:c r="K11" s="234" t="n">
        <x:v>3201</x:v>
      </x:c>
      <x:c r="L11" s="234" t="n">
        <x:v>70</x:v>
      </x:c>
      <x:c r="M11" s="234" t="n">
        <x:v>70</x:v>
      </x:c>
      <x:c r="N11" s="234" t="inlineStr">
        <x:is>
          <x:t xml:space="preserve">8-connected dark component centroid; new JS baseline-JPEG Y decoder</x:t>
        </x:is>
      </x:c>
      <x:c r="O11" s="234" t="inlineStr">
        <x:is>
          <x:t xml:space="preserve">2b4e09dbad1a9c602a2919864b1a84f49d7ff501</x:t>
        </x:is>
      </x:c>
      <x:c r="P11" s="234" t="inlineStr">
        <x:is>
          <x:t xml:space="preserve">[650, 2700, 1050, 600]</x:t>
        </x:is>
      </x:c>
      <x:c r="Q11" s="234" t="n">
        <x:v>0.41354167</x:v>
      </x:c>
      <x:c r="R11" s="234" t="n">
        <x:v>0.8796213899999999</x:v>
      </x:c>
      <x:c r="S11" s="234" t="n">
        <x:v>0</x:v>
      </x:c>
      <x:c r="T11" s="234" t="inlineStr">
        <x:is>
          <x:t xml:space="preserve">https://github.com/scream314/cicada3301/blob/master/assets/2014/liber-primus-complete/24.jpg</x:t>
        </x:is>
      </x:c>
    </x:row>
    <x:row r="12" s="232" customFormat="1" ht="24" customHeight="1">
      <x:c r="A12" s="234" t="n">
        <x:v>24</x:v>
      </x:c>
      <x:c r="B12" s="234" t="inlineStr">
        <x:is>
          <x:t xml:space="preserve">isolated five-dot target</x:t>
        </x:is>
      </x:c>
      <x:c r="C12" s="234" t="n">
        <x:v>3</x:v>
      </x:c>
      <x:c r="D12" s="234" t="n">
        <x:v>60</x:v>
      </x:c>
      <x:c r="E12" s="234" t="n">
        <x:v>1479.265</x:v>
      </x:c>
      <x:c r="F12" s="234" t="n">
        <x:v>3127.5</x:v>
      </x:c>
      <x:c r="G12" s="234" t="n">
        <x:v>3370</x:v>
      </x:c>
      <x:c r="H12" s="234" t="n">
        <x:v>1445</x:v>
      </x:c>
      <x:c r="I12" s="234" t="n">
        <x:v>3093</x:v>
      </x:c>
      <x:c r="J12" s="234" t="n">
        <x:v>1514</x:v>
      </x:c>
      <x:c r="K12" s="234" t="n">
        <x:v>3162</x:v>
      </x:c>
      <x:c r="L12" s="234" t="n">
        <x:v>70</x:v>
      </x:c>
      <x:c r="M12" s="234" t="n">
        <x:v>70</x:v>
      </x:c>
      <x:c r="N12" s="234" t="inlineStr">
        <x:is>
          <x:t xml:space="preserve">8-connected dark component centroid; new JS baseline-JPEG Y decoder</x:t>
        </x:is>
      </x:c>
      <x:c r="O12" s="234" t="inlineStr">
        <x:is>
          <x:t xml:space="preserve">2b4e09dbad1a9c602a2919864b1a84f49d7ff501</x:t>
        </x:is>
      </x:c>
      <x:c r="P12" s="234" t="inlineStr">
        <x:is>
          <x:t xml:space="preserve">[650, 2700, 1050, 600]</x:t>
        </x:is>
      </x:c>
      <x:c r="Q12" s="234" t="n">
        <x:v>0.61636042</x:v>
      </x:c>
      <x:c r="R12" s="234" t="n">
        <x:v>0.86875</x:v>
      </x:c>
      <x:c r="S12" s="234" t="n">
        <x:v>0</x:v>
      </x:c>
      <x:c r="T12" s="234" t="inlineStr">
        <x:is>
          <x:t xml:space="preserve">https://github.com/scream314/cicada3301/blob/master/assets/2014/liber-primus-complete/24.jpg</x:t>
        </x:is>
      </x:c>
    </x:row>
    <x:row r="13" s="232" customFormat="1" ht="24" customHeight="1">
      <x:c r="A13" s="234" t="n">
        <x:v>24</x:v>
      </x:c>
      <x:c r="B13" s="234" t="inlineStr">
        <x:is>
          <x:t xml:space="preserve">isolated five-dot target</x:t>
        </x:is>
      </x:c>
      <x:c r="C13" s="234" t="n">
        <x:v>4</x:v>
      </x:c>
      <x:c r="D13" s="234" t="n">
        <x:v>60</x:v>
      </x:c>
      <x:c r="E13" s="234" t="n">
        <x:v>1527.153</x:v>
      </x:c>
      <x:c r="F13" s="234" t="n">
        <x:v>2936.153</x:v>
      </x:c>
      <x:c r="G13" s="234" t="n">
        <x:v>3415</x:v>
      </x:c>
      <x:c r="H13" s="234" t="n">
        <x:v>1493</x:v>
      </x:c>
      <x:c r="I13" s="234" t="n">
        <x:v>2902</x:v>
      </x:c>
      <x:c r="J13" s="234" t="n">
        <x:v>1562</x:v>
      </x:c>
      <x:c r="K13" s="234" t="n">
        <x:v>2971</x:v>
      </x:c>
      <x:c r="L13" s="234" t="n">
        <x:v>70</x:v>
      </x:c>
      <x:c r="M13" s="234" t="n">
        <x:v>70</x:v>
      </x:c>
      <x:c r="N13" s="234" t="inlineStr">
        <x:is>
          <x:t xml:space="preserve">8-connected dark component centroid; new JS baseline-JPEG Y decoder</x:t>
        </x:is>
      </x:c>
      <x:c r="O13" s="234" t="inlineStr">
        <x:is>
          <x:t xml:space="preserve">2b4e09dbad1a9c602a2919864b1a84f49d7ff501</x:t>
        </x:is>
      </x:c>
      <x:c r="P13" s="234" t="inlineStr">
        <x:is>
          <x:t xml:space="preserve">[650, 2700, 1050, 600]</x:t>
        </x:is>
      </x:c>
      <x:c r="Q13" s="234" t="n">
        <x:v>0.63631375</x:v>
      </x:c>
      <x:c r="R13" s="234" t="n">
        <x:v>0.81559806</x:v>
      </x:c>
      <x:c r="S13" s="234" t="n">
        <x:v>0</x:v>
      </x:c>
      <x:c r="T13" s="234" t="inlineStr">
        <x:is>
          <x:t xml:space="preserve">https://github.com/scream314/cicada3301/blob/master/assets/2014/liber-primus-complete/24.jpg</x:t>
        </x:is>
      </x:c>
    </x:row>
    <x:row r="14" s="232" customFormat="1" ht="24" customHeight="1">
      <x:c r="A14" s="234" t="n">
        <x:v>24</x:v>
      </x:c>
      <x:c r="B14" s="234" t="inlineStr">
        <x:is>
          <x:t xml:space="preserve">isolated five-dot target</x:t>
        </x:is>
      </x:c>
      <x:c r="C14" s="234" t="n">
        <x:v>5</x:v>
      </x:c>
      <x:c r="D14" s="234" t="n">
        <x:v>60</x:v>
      </x:c>
      <x:c r="E14" s="234" t="n">
        <x:v>1296.931</x:v>
      </x:c>
      <x:c r="F14" s="234" t="n">
        <x:v>2866.789</x:v>
      </x:c>
      <x:c r="G14" s="234" t="n">
        <x:v>3415</x:v>
      </x:c>
      <x:c r="H14" s="234" t="n">
        <x:v>1263</x:v>
      </x:c>
      <x:c r="I14" s="234" t="n">
        <x:v>2832</x:v>
      </x:c>
      <x:c r="J14" s="234" t="n">
        <x:v>1331</x:v>
      </x:c>
      <x:c r="K14" s="234" t="n">
        <x:v>2901</x:v>
      </x:c>
      <x:c r="L14" s="234" t="n">
        <x:v>69</x:v>
      </x:c>
      <x:c r="M14" s="234" t="n">
        <x:v>70</x:v>
      </x:c>
      <x:c r="N14" s="234" t="inlineStr">
        <x:is>
          <x:t xml:space="preserve">8-connected dark component centroid; new JS baseline-JPEG Y decoder</x:t>
        </x:is>
      </x:c>
      <x:c r="O14" s="234" t="inlineStr">
        <x:is>
          <x:t xml:space="preserve">2b4e09dbad1a9c602a2919864b1a84f49d7ff501</x:t>
        </x:is>
      </x:c>
      <x:c r="P14" s="234" t="inlineStr">
        <x:is>
          <x:t xml:space="preserve">[650, 2700, 1050, 600]</x:t>
        </x:is>
      </x:c>
      <x:c r="Q14" s="234" t="n">
        <x:v>0.54038792</x:v>
      </x:c>
      <x:c r="R14" s="234" t="n">
        <x:v>0.7963302799999999</x:v>
      </x:c>
      <x:c r="S14" s="234" t="n">
        <x:v>0</x:v>
      </x:c>
      <x:c r="T14" s="234" t="inlineStr">
        <x:is>
          <x:t xml:space="preserve">https://github.com/scream314/cicada3301/blob/master/assets/2014/liber-primus-complete/24.jpg</x:t>
        </x:is>
      </x:c>
    </x:row>
    <x:row r="15" s="232" customFormat="1" ht="24" customHeight="1">
      <x:c r="A15" s="234" t="n">
        <x:v>24</x:v>
      </x:c>
      <x:c r="B15" s="234" t="inlineStr">
        <x:is>
          <x:t xml:space="preserve">isolated five-dot target</x:t>
        </x:is>
      </x:c>
      <x:c r="C15" s="234" t="n">
        <x:v>1</x:v>
      </x:c>
      <x:c r="D15" s="234" t="n">
        <x:v>80</x:v>
      </x:c>
      <x:c r="E15" s="234" t="n">
        <x:v>796.941</x:v>
      </x:c>
      <x:c r="F15" s="234" t="n">
        <x:v>3105.773</x:v>
      </x:c>
      <x:c r="G15" s="234" t="n">
        <x:v>3542</x:v>
      </x:c>
      <x:c r="H15" s="234" t="n">
        <x:v>763</x:v>
      </x:c>
      <x:c r="I15" s="234" t="n">
        <x:v>3071</x:v>
      </x:c>
      <x:c r="J15" s="234" t="n">
        <x:v>831</x:v>
      </x:c>
      <x:c r="K15" s="234" t="n">
        <x:v>3140</x:v>
      </x:c>
      <x:c r="L15" s="234" t="n">
        <x:v>69</x:v>
      </x:c>
      <x:c r="M15" s="234" t="n">
        <x:v>70</x:v>
      </x:c>
      <x:c r="N15" s="234" t="inlineStr">
        <x:is>
          <x:t xml:space="preserve">8-connected dark component centroid; new JS baseline-JPEG Y decoder</x:t>
        </x:is>
      </x:c>
      <x:c r="O15" s="234" t="inlineStr">
        <x:is>
          <x:t xml:space="preserve">2b4e09dbad1a9c602a2919864b1a84f49d7ff501</x:t>
        </x:is>
      </x:c>
      <x:c r="P15" s="234" t="inlineStr">
        <x:is>
          <x:t xml:space="preserve">[650, 2700, 1050, 600]</x:t>
        </x:is>
      </x:c>
      <x:c r="Q15" s="234" t="n">
        <x:v>0.33205875</x:v>
      </x:c>
      <x:c r="R15" s="234" t="n">
        <x:v>0.86271472</x:v>
      </x:c>
      <x:c r="S15" s="234" t="n">
        <x:v>0</x:v>
      </x:c>
      <x:c r="T15" s="234" t="inlineStr">
        <x:is>
          <x:t xml:space="preserve">https://github.com/scream314/cicada3301/blob/master/assets/2014/liber-primus-complete/24.jpg</x:t>
        </x:is>
      </x:c>
    </x:row>
    <x:row r="16" s="232" customFormat="1" ht="24" customHeight="1">
      <x:c r="A16" s="234" t="n">
        <x:v>24</x:v>
      </x:c>
      <x:c r="B16" s="234" t="inlineStr">
        <x:is>
          <x:t xml:space="preserve">isolated five-dot target</x:t>
        </x:is>
      </x:c>
      <x:c r="C16" s="234" t="n">
        <x:v>2</x:v>
      </x:c>
      <x:c r="D16" s="234" t="n">
        <x:v>80</x:v>
      </x:c>
      <x:c r="E16" s="234" t="n">
        <x:v>992.5</x:v>
      </x:c>
      <x:c r="F16" s="234" t="n">
        <x:v>3166.637</x:v>
      </x:c>
      <x:c r="G16" s="234" t="n">
        <x:v>3560</x:v>
      </x:c>
      <x:c r="H16" s="234" t="n">
        <x:v>958</x:v>
      </x:c>
      <x:c r="I16" s="234" t="n">
        <x:v>3132</x:v>
      </x:c>
      <x:c r="J16" s="234" t="n">
        <x:v>1027</x:v>
      </x:c>
      <x:c r="K16" s="234" t="n">
        <x:v>3201</x:v>
      </x:c>
      <x:c r="L16" s="234" t="n">
        <x:v>70</x:v>
      </x:c>
      <x:c r="M16" s="234" t="n">
        <x:v>70</x:v>
      </x:c>
      <x:c r="N16" s="234" t="inlineStr">
        <x:is>
          <x:t xml:space="preserve">8-connected dark component centroid; new JS baseline-JPEG Y decoder</x:t>
        </x:is>
      </x:c>
      <x:c r="O16" s="234" t="inlineStr">
        <x:is>
          <x:t xml:space="preserve">2b4e09dbad1a9c602a2919864b1a84f49d7ff501</x:t>
        </x:is>
      </x:c>
      <x:c r="P16" s="234" t="inlineStr">
        <x:is>
          <x:t xml:space="preserve">[650, 2700, 1050, 600]</x:t>
        </x:is>
      </x:c>
      <x:c r="Q16" s="234" t="n">
        <x:v>0.41354167</x:v>
      </x:c>
      <x:c r="R16" s="234" t="n">
        <x:v>0.8796213899999999</x:v>
      </x:c>
      <x:c r="S16" s="234" t="n">
        <x:v>0</x:v>
      </x:c>
      <x:c r="T16" s="234" t="inlineStr">
        <x:is>
          <x:t xml:space="preserve">https://github.com/scream314/cicada3301/blob/master/assets/2014/liber-primus-complete/24.jpg</x:t>
        </x:is>
      </x:c>
    </x:row>
    <x:row r="17" s="232" customFormat="1" ht="24" customHeight="1">
      <x:c r="A17" s="234" t="n">
        <x:v>24</x:v>
      </x:c>
      <x:c r="B17" s="234" t="inlineStr">
        <x:is>
          <x:t xml:space="preserve">isolated five-dot target</x:t>
        </x:is>
      </x:c>
      <x:c r="C17" s="234" t="n">
        <x:v>3</x:v>
      </x:c>
      <x:c r="D17" s="234" t="n">
        <x:v>80</x:v>
      </x:c>
      <x:c r="E17" s="234" t="n">
        <x:v>1479.265</x:v>
      </x:c>
      <x:c r="F17" s="234" t="n">
        <x:v>3127.5</x:v>
      </x:c>
      <x:c r="G17" s="234" t="n">
        <x:v>3370</x:v>
      </x:c>
      <x:c r="H17" s="234" t="n">
        <x:v>1445</x:v>
      </x:c>
      <x:c r="I17" s="234" t="n">
        <x:v>3093</x:v>
      </x:c>
      <x:c r="J17" s="234" t="n">
        <x:v>1514</x:v>
      </x:c>
      <x:c r="K17" s="234" t="n">
        <x:v>3162</x:v>
      </x:c>
      <x:c r="L17" s="234" t="n">
        <x:v>70</x:v>
      </x:c>
      <x:c r="M17" s="234" t="n">
        <x:v>70</x:v>
      </x:c>
      <x:c r="N17" s="234" t="inlineStr">
        <x:is>
          <x:t xml:space="preserve">8-connected dark component centroid; new JS baseline-JPEG Y decoder</x:t>
        </x:is>
      </x:c>
      <x:c r="O17" s="234" t="inlineStr">
        <x:is>
          <x:t xml:space="preserve">2b4e09dbad1a9c602a2919864b1a84f49d7ff501</x:t>
        </x:is>
      </x:c>
      <x:c r="P17" s="234" t="inlineStr">
        <x:is>
          <x:t xml:space="preserve">[650, 2700, 1050, 600]</x:t>
        </x:is>
      </x:c>
      <x:c r="Q17" s="234" t="n">
        <x:v>0.61636042</x:v>
      </x:c>
      <x:c r="R17" s="234" t="n">
        <x:v>0.86875</x:v>
      </x:c>
      <x:c r="S17" s="234" t="n">
        <x:v>0</x:v>
      </x:c>
      <x:c r="T17" s="234" t="inlineStr">
        <x:is>
          <x:t xml:space="preserve">https://github.com/scream314/cicada3301/blob/master/assets/2014/liber-primus-complete/24.jpg</x:t>
        </x:is>
      </x:c>
    </x:row>
    <x:row r="18" s="232" customFormat="1" ht="24" customHeight="1">
      <x:c r="A18" s="234" t="n">
        <x:v>24</x:v>
      </x:c>
      <x:c r="B18" s="234" t="inlineStr">
        <x:is>
          <x:t xml:space="preserve">isolated five-dot target</x:t>
        </x:is>
      </x:c>
      <x:c r="C18" s="234" t="n">
        <x:v>4</x:v>
      </x:c>
      <x:c r="D18" s="234" t="n">
        <x:v>80</x:v>
      </x:c>
      <x:c r="E18" s="234" t="n">
        <x:v>1527.153</x:v>
      </x:c>
      <x:c r="F18" s="234" t="n">
        <x:v>2936.153</x:v>
      </x:c>
      <x:c r="G18" s="234" t="n">
        <x:v>3415</x:v>
      </x:c>
      <x:c r="H18" s="234" t="n">
        <x:v>1493</x:v>
      </x:c>
      <x:c r="I18" s="234" t="n">
        <x:v>2902</x:v>
      </x:c>
      <x:c r="J18" s="234" t="n">
        <x:v>1562</x:v>
      </x:c>
      <x:c r="K18" s="234" t="n">
        <x:v>2971</x:v>
      </x:c>
      <x:c r="L18" s="234" t="n">
        <x:v>70</x:v>
      </x:c>
      <x:c r="M18" s="234" t="n">
        <x:v>70</x:v>
      </x:c>
      <x:c r="N18" s="234" t="inlineStr">
        <x:is>
          <x:t xml:space="preserve">8-connected dark component centroid; new JS baseline-JPEG Y decoder</x:t>
        </x:is>
      </x:c>
      <x:c r="O18" s="234" t="inlineStr">
        <x:is>
          <x:t xml:space="preserve">2b4e09dbad1a9c602a2919864b1a84f49d7ff501</x:t>
        </x:is>
      </x:c>
      <x:c r="P18" s="234" t="inlineStr">
        <x:is>
          <x:t xml:space="preserve">[650, 2700, 1050, 600]</x:t>
        </x:is>
      </x:c>
      <x:c r="Q18" s="234" t="n">
        <x:v>0.63631375</x:v>
      </x:c>
      <x:c r="R18" s="234" t="n">
        <x:v>0.81559806</x:v>
      </x:c>
      <x:c r="S18" s="234" t="n">
        <x:v>0</x:v>
      </x:c>
      <x:c r="T18" s="234" t="inlineStr">
        <x:is>
          <x:t xml:space="preserve">https://github.com/scream314/cicada3301/blob/master/assets/2014/liber-primus-complete/24.jpg</x:t>
        </x:is>
      </x:c>
    </x:row>
    <x:row r="19" s="232" customFormat="1" ht="24" customHeight="1">
      <x:c r="A19" s="234" t="n">
        <x:v>24</x:v>
      </x:c>
      <x:c r="B19" s="234" t="inlineStr">
        <x:is>
          <x:t xml:space="preserve">isolated five-dot target</x:t>
        </x:is>
      </x:c>
      <x:c r="C19" s="234" t="n">
        <x:v>5</x:v>
      </x:c>
      <x:c r="D19" s="234" t="n">
        <x:v>80</x:v>
      </x:c>
      <x:c r="E19" s="234" t="n">
        <x:v>1296.931</x:v>
      </x:c>
      <x:c r="F19" s="234" t="n">
        <x:v>2866.789</x:v>
      </x:c>
      <x:c r="G19" s="234" t="n">
        <x:v>3415</x:v>
      </x:c>
      <x:c r="H19" s="234" t="n">
        <x:v>1263</x:v>
      </x:c>
      <x:c r="I19" s="234" t="n">
        <x:v>2832</x:v>
      </x:c>
      <x:c r="J19" s="234" t="n">
        <x:v>1331</x:v>
      </x:c>
      <x:c r="K19" s="234" t="n">
        <x:v>2901</x:v>
      </x:c>
      <x:c r="L19" s="234" t="n">
        <x:v>69</x:v>
      </x:c>
      <x:c r="M19" s="234" t="n">
        <x:v>70</x:v>
      </x:c>
      <x:c r="N19" s="234" t="inlineStr">
        <x:is>
          <x:t xml:space="preserve">8-connected dark component centroid; new JS baseline-JPEG Y decoder</x:t>
        </x:is>
      </x:c>
      <x:c r="O19" s="234" t="inlineStr">
        <x:is>
          <x:t xml:space="preserve">2b4e09dbad1a9c602a2919864b1a84f49d7ff501</x:t>
        </x:is>
      </x:c>
      <x:c r="P19" s="234" t="inlineStr">
        <x:is>
          <x:t xml:space="preserve">[650, 2700, 1050, 600]</x:t>
        </x:is>
      </x:c>
      <x:c r="Q19" s="234" t="n">
        <x:v>0.54038792</x:v>
      </x:c>
      <x:c r="R19" s="234" t="n">
        <x:v>0.7963302799999999</x:v>
      </x:c>
      <x:c r="S19" s="234" t="n">
        <x:v>0</x:v>
      </x:c>
      <x:c r="T19" s="234" t="inlineStr">
        <x:is>
          <x:t xml:space="preserve">https://github.com/scream314/cicada3301/blob/master/assets/2014/liber-primus-complete/24.jpg</x:t>
        </x:is>
      </x:c>
    </x:row>
    <x:row r="20" s="232" customFormat="1" ht="24" customHeight="1">
      <x:c r="A20" s="234" t="n">
        <x:v>24</x:v>
      </x:c>
      <x:c r="B20" s="234" t="inlineStr">
        <x:is>
          <x:t xml:space="preserve">isolated five-dot target</x:t>
        </x:is>
      </x:c>
      <x:c r="C20" s="234" t="n">
        <x:v>1</x:v>
      </x:c>
      <x:c r="D20" s="234" t="n">
        <x:v>100</x:v>
      </x:c>
      <x:c r="E20" s="234" t="n">
        <x:v>796.9349999999999</x:v>
      </x:c>
      <x:c r="F20" s="234" t="n">
        <x:v>3105.782</x:v>
      </x:c>
      <x:c r="G20" s="234" t="n">
        <x:v>3547</x:v>
      </x:c>
      <x:c r="H20" s="234" t="n">
        <x:v>763</x:v>
      </x:c>
      <x:c r="I20" s="234" t="n">
        <x:v>3071</x:v>
      </x:c>
      <x:c r="J20" s="234" t="n">
        <x:v>831</x:v>
      </x:c>
      <x:c r="K20" s="234" t="n">
        <x:v>3140</x:v>
      </x:c>
      <x:c r="L20" s="234" t="n">
        <x:v>69</x:v>
      </x:c>
      <x:c r="M20" s="234" t="n">
        <x:v>70</x:v>
      </x:c>
      <x:c r="N20" s="234" t="inlineStr">
        <x:is>
          <x:t xml:space="preserve">8-connected dark component centroid; new JS baseline-JPEG Y decoder</x:t>
        </x:is>
      </x:c>
      <x:c r="O20" s="234" t="inlineStr">
        <x:is>
          <x:t xml:space="preserve">2b4e09dbad1a9c602a2919864b1a84f49d7ff501</x:t>
        </x:is>
      </x:c>
      <x:c r="P20" s="234" t="inlineStr">
        <x:is>
          <x:t xml:space="preserve">[650, 2700, 1050, 600]</x:t>
        </x:is>
      </x:c>
      <x:c r="Q20" s="234" t="n">
        <x:v>0.33205625</x:v>
      </x:c>
      <x:c r="R20" s="234" t="n">
        <x:v>0.86271722</x:v>
      </x:c>
      <x:c r="S20" s="234" t="n">
        <x:v>0.0108166538264515</x:v>
      </x:c>
      <x:c r="T20" s="234" t="inlineStr">
        <x:is>
          <x:t xml:space="preserve">https://github.com/scream314/cicada3301/blob/master/assets/2014/liber-primus-complete/24.jpg</x:t>
        </x:is>
      </x:c>
    </x:row>
    <x:row r="21" s="232" customFormat="1" ht="24" customHeight="1">
      <x:c r="A21" s="234" t="n">
        <x:v>24</x:v>
      </x:c>
      <x:c r="B21" s="234" t="inlineStr">
        <x:is>
          <x:t xml:space="preserve">isolated five-dot target</x:t>
        </x:is>
      </x:c>
      <x:c r="C21" s="234" t="n">
        <x:v>2</x:v>
      </x:c>
      <x:c r="D21" s="234" t="n">
        <x:v>100</x:v>
      </x:c>
      <x:c r="E21" s="234" t="n">
        <x:v>992.521</x:v>
      </x:c>
      <x:c r="F21" s="234" t="n">
        <x:v>3166.63</x:v>
      </x:c>
      <x:c r="G21" s="234" t="n">
        <x:v>3565</x:v>
      </x:c>
      <x:c r="H21" s="234" t="n">
        <x:v>958</x:v>
      </x:c>
      <x:c r="I21" s="234" t="n">
        <x:v>3132</x:v>
      </x:c>
      <x:c r="J21" s="234" t="n">
        <x:v>1027</x:v>
      </x:c>
      <x:c r="K21" s="234" t="n">
        <x:v>3201</x:v>
      </x:c>
      <x:c r="L21" s="234" t="n">
        <x:v>70</x:v>
      </x:c>
      <x:c r="M21" s="234" t="n">
        <x:v>70</x:v>
      </x:c>
      <x:c r="N21" s="234" t="inlineStr">
        <x:is>
          <x:t xml:space="preserve">8-connected dark component centroid; new JS baseline-JPEG Y decoder</x:t>
        </x:is>
      </x:c>
      <x:c r="O21" s="234" t="inlineStr">
        <x:is>
          <x:t xml:space="preserve">2b4e09dbad1a9c602a2919864b1a84f49d7ff501</x:t>
        </x:is>
      </x:c>
      <x:c r="P21" s="234" t="inlineStr">
        <x:is>
          <x:t xml:space="preserve">[650, 2700, 1050, 600]</x:t>
        </x:is>
      </x:c>
      <x:c r="Q21" s="234" t="n">
        <x:v>0.41355042</x:v>
      </x:c>
      <x:c r="R21" s="234" t="n">
        <x:v>0.87961944</x:v>
      </x:c>
      <x:c r="S21" s="234" t="n">
        <x:v>0.02213594362115852</x:v>
      </x:c>
      <x:c r="T21" s="234" t="inlineStr">
        <x:is>
          <x:t xml:space="preserve">https://github.com/scream314/cicada3301/blob/master/assets/2014/liber-primus-complete/24.jpg</x:t>
        </x:is>
      </x:c>
    </x:row>
    <x:row r="22" s="232" customFormat="1" ht="24" customHeight="1">
      <x:c r="A22" s="234" t="n">
        <x:v>24</x:v>
      </x:c>
      <x:c r="B22" s="234" t="inlineStr">
        <x:is>
          <x:t xml:space="preserve">isolated five-dot target</x:t>
        </x:is>
      </x:c>
      <x:c r="C22" s="234" t="n">
        <x:v>3</x:v>
      </x:c>
      <x:c r="D22" s="234" t="n">
        <x:v>100</x:v>
      </x:c>
      <x:c r="E22" s="234" t="n">
        <x:v>1479.321</x:v>
      </x:c>
      <x:c r="F22" s="234" t="n">
        <x:v>3127.5</x:v>
      </x:c>
      <x:c r="G22" s="234" t="n">
        <x:v>3412</x:v>
      </x:c>
      <x:c r="H22" s="234" t="n">
        <x:v>1445</x:v>
      </x:c>
      <x:c r="I22" s="234" t="n">
        <x:v>3093</x:v>
      </x:c>
      <x:c r="J22" s="234" t="n">
        <x:v>1514</x:v>
      </x:c>
      <x:c r="K22" s="234" t="n">
        <x:v>3162</x:v>
      </x:c>
      <x:c r="L22" s="234" t="n">
        <x:v>70</x:v>
      </x:c>
      <x:c r="M22" s="234" t="n">
        <x:v>70</x:v>
      </x:c>
      <x:c r="N22" s="234" t="inlineStr">
        <x:is>
          <x:t xml:space="preserve">8-connected dark component centroid; new JS baseline-JPEG Y decoder</x:t>
        </x:is>
      </x:c>
      <x:c r="O22" s="234" t="inlineStr">
        <x:is>
          <x:t xml:space="preserve">2b4e09dbad1a9c602a2919864b1a84f49d7ff501</x:t>
        </x:is>
      </x:c>
      <x:c r="P22" s="234" t="inlineStr">
        <x:is>
          <x:t xml:space="preserve">[650, 2700, 1050, 600]</x:t>
        </x:is>
      </x:c>
      <x:c r="Q22" s="234" t="n">
        <x:v>0.61638375</x:v>
      </x:c>
      <x:c r="R22" s="234" t="n">
        <x:v>0.86875</x:v>
      </x:c>
      <x:c r="S22" s="234" t="n">
        <x:v>0.05599999999981264</x:v>
      </x:c>
      <x:c r="T22" s="234" t="inlineStr">
        <x:is>
          <x:t xml:space="preserve">https://github.com/scream314/cicada3301/blob/master/assets/2014/liber-primus-complete/24.jpg</x:t>
        </x:is>
      </x:c>
    </x:row>
    <x:row r="23" s="232" customFormat="1" ht="24" customHeight="1">
      <x:c r="A23" s="234" t="n">
        <x:v>24</x:v>
      </x:c>
      <x:c r="B23" s="234" t="inlineStr">
        <x:is>
          <x:t xml:space="preserve">isolated five-dot target</x:t>
        </x:is>
      </x:c>
      <x:c r="C23" s="234" t="n">
        <x:v>4</x:v>
      </x:c>
      <x:c r="D23" s="234" t="n">
        <x:v>100</x:v>
      </x:c>
      <x:c r="E23" s="234" t="n">
        <x:v>1527.174</x:v>
      </x:c>
      <x:c r="F23" s="234" t="n">
        <x:v>2936.127</x:v>
      </x:c>
      <x:c r="G23" s="234" t="n">
        <x:v>3442</x:v>
      </x:c>
      <x:c r="H23" s="234" t="n">
        <x:v>1493</x:v>
      </x:c>
      <x:c r="I23" s="234" t="n">
        <x:v>2902</x:v>
      </x:c>
      <x:c r="J23" s="234" t="n">
        <x:v>1562</x:v>
      </x:c>
      <x:c r="K23" s="234" t="n">
        <x:v>2971</x:v>
      </x:c>
      <x:c r="L23" s="234" t="n">
        <x:v>70</x:v>
      </x:c>
      <x:c r="M23" s="234" t="n">
        <x:v>70</x:v>
      </x:c>
      <x:c r="N23" s="234" t="inlineStr">
        <x:is>
          <x:t xml:space="preserve">8-connected dark component centroid; new JS baseline-JPEG Y decoder</x:t>
        </x:is>
      </x:c>
      <x:c r="O23" s="234" t="inlineStr">
        <x:is>
          <x:t xml:space="preserve">2b4e09dbad1a9c602a2919864b1a84f49d7ff501</x:t>
        </x:is>
      </x:c>
      <x:c r="P23" s="234" t="inlineStr">
        <x:is>
          <x:t xml:space="preserve">[650, 2700, 1050, 600]</x:t>
        </x:is>
      </x:c>
      <x:c r="Q23" s="234" t="n">
        <x:v>0.6363225</x:v>
      </x:c>
      <x:c r="R23" s="234" t="n">
        <x:v>0.81559083</x:v>
      </x:c>
      <x:c r="S23" s="234" t="n">
        <x:v>0.03342154993398599</x:v>
      </x:c>
      <x:c r="T23" s="234" t="inlineStr">
        <x:is>
          <x:t xml:space="preserve">https://github.com/scream314/cicada3301/blob/master/assets/2014/liber-primus-complete/24.jpg</x:t>
        </x:is>
      </x:c>
    </x:row>
    <x:row r="24" s="232" customFormat="1" ht="24" customHeight="1">
      <x:c r="A24" s="234" t="n">
        <x:v>24</x:v>
      </x:c>
      <x:c r="B24" s="234" t="inlineStr">
        <x:is>
          <x:t xml:space="preserve">isolated five-dot target</x:t>
        </x:is>
      </x:c>
      <x:c r="C24" s="234" t="n">
        <x:v>5</x:v>
      </x:c>
      <x:c r="D24" s="234" t="n">
        <x:v>100</x:v>
      </x:c>
      <x:c r="E24" s="234" t="n">
        <x:v>1296.977</x:v>
      </x:c>
      <x:c r="F24" s="234" t="n">
        <x:v>2866.771</x:v>
      </x:c>
      <x:c r="G24" s="234" t="n">
        <x:v>3428</x:v>
      </x:c>
      <x:c r="H24" s="234" t="n">
        <x:v>1263</x:v>
      </x:c>
      <x:c r="I24" s="234" t="n">
        <x:v>2832</x:v>
      </x:c>
      <x:c r="J24" s="234" t="n">
        <x:v>1331</x:v>
      </x:c>
      <x:c r="K24" s="234" t="n">
        <x:v>2901</x:v>
      </x:c>
      <x:c r="L24" s="234" t="n">
        <x:v>69</x:v>
      </x:c>
      <x:c r="M24" s="234" t="n">
        <x:v>70</x:v>
      </x:c>
      <x:c r="N24" s="234" t="inlineStr">
        <x:is>
          <x:t xml:space="preserve">8-connected dark component centroid; new JS baseline-JPEG Y decoder</x:t>
        </x:is>
      </x:c>
      <x:c r="O24" s="234" t="inlineStr">
        <x:is>
          <x:t xml:space="preserve">2b4e09dbad1a9c602a2919864b1a84f49d7ff501</x:t>
        </x:is>
      </x:c>
      <x:c r="P24" s="234" t="inlineStr">
        <x:is>
          <x:t xml:space="preserve">[650, 2700, 1050, 600]</x:t>
        </x:is>
      </x:c>
      <x:c r="Q24" s="234" t="n">
        <x:v>0.54040708</x:v>
      </x:c>
      <x:c r="R24" s="234" t="n">
        <x:v>0.79632528</x:v>
      </x:c>
      <x:c r="S24" s="234" t="n">
        <x:v>0.04939635614097022</x:v>
      </x:c>
      <x:c r="T24" s="234" t="inlineStr">
        <x:is>
          <x:t xml:space="preserve">https://github.com/scream314/cicada3301/blob/master/assets/2014/liber-primus-complete/24.jpg</x:t>
        </x:is>
      </x:c>
    </x:row>
    <x:row r="25" s="232" customFormat="1" ht="24" customHeight="1">
      <x:c r="A25" s="234" t="n">
        <x:v>40</x:v>
      </x:c>
      <x:c r="B25" s="234" t="inlineStr">
        <x:is>
          <x:t xml:space="preserve">isolated five-dot target</x:t>
        </x:is>
      </x:c>
      <x:c r="C25" s="234" t="n">
        <x:v>1</x:v>
      </x:c>
      <x:c r="D25" s="234" t="n">
        <x:v>40</x:v>
      </x:c>
      <x:c r="E25" s="234" t="n">
        <x:v>796.919</x:v>
      </x:c>
      <x:c r="F25" s="234" t="n">
        <x:v>568.181</x:v>
      </x:c>
      <x:c r="G25" s="234" t="n">
        <x:v>3433</x:v>
      </x:c>
      <x:c r="H25" s="234" t="n">
        <x:v>763</x:v>
      </x:c>
      <x:c r="I25" s="234" t="n">
        <x:v>534</x:v>
      </x:c>
      <x:c r="J25" s="234" t="n">
        <x:v>831</x:v>
      </x:c>
      <x:c r="K25" s="234" t="n">
        <x:v>603</x:v>
      </x:c>
      <x:c r="L25" s="234" t="n">
        <x:v>69</x:v>
      </x:c>
      <x:c r="M25" s="234" t="n">
        <x:v>70</x:v>
      </x:c>
      <x:c r="N25" s="234" t="inlineStr">
        <x:is>
          <x:t xml:space="preserve">8-connected dark component centroid; new JS baseline-JPEG Y decoder</x:t>
        </x:is>
      </x:c>
      <x:c r="O25" s="234" t="inlineStr">
        <x:is>
          <x:t xml:space="preserve">feee4eed2a4f6d66456ff5a977f43c7ef297f8eb</x:t>
        </x:is>
      </x:c>
      <x:c r="P25" s="234" t="inlineStr">
        <x:is>
          <x:t xml:space="preserve">[650, 400, 1050, 500]</x:t>
        </x:is>
      </x:c>
      <x:c r="Q25" s="234" t="n">
        <x:v>0.33204958</x:v>
      </x:c>
      <x:c r="R25" s="234" t="n">
        <x:v>0.15782806</x:v>
      </x:c>
      <x:c r="S25" s="234" t="n">
        <x:v>0.05099019513589039</x:v>
      </x:c>
      <x:c r="T25" s="234" t="inlineStr">
        <x:is>
          <x:t xml:space="preserve">https://github.com/scream314/cicada3301/blob/master/assets/2014/liber-primus-complete/40.jpg</x:t>
        </x:is>
      </x:c>
    </x:row>
    <x:row r="26" s="232" customFormat="1" ht="24" customHeight="1">
      <x:c r="A26" s="234" t="n">
        <x:v>40</x:v>
      </x:c>
      <x:c r="B26" s="234" t="inlineStr">
        <x:is>
          <x:t xml:space="preserve">isolated five-dot target</x:t>
        </x:is>
      </x:c>
      <x:c r="C26" s="234" t="n">
        <x:v>2</x:v>
      </x:c>
      <x:c r="D26" s="234" t="n">
        <x:v>40</x:v>
      </x:c>
      <x:c r="E26" s="234" t="n">
        <x:v>992.53</x:v>
      </x:c>
      <x:c r="F26" s="234" t="n">
        <x:v>507.192</x:v>
      </x:c>
      <x:c r="G26" s="234" t="n">
        <x:v>3422</x:v>
      </x:c>
      <x:c r="H26" s="234" t="n">
        <x:v>958</x:v>
      </x:c>
      <x:c r="I26" s="234" t="n">
        <x:v>473</x:v>
      </x:c>
      <x:c r="J26" s="234" t="n">
        <x:v>1027</x:v>
      </x:c>
      <x:c r="K26" s="234" t="n">
        <x:v>542</x:v>
      </x:c>
      <x:c r="L26" s="234" t="n">
        <x:v>70</x:v>
      </x:c>
      <x:c r="M26" s="234" t="n">
        <x:v>70</x:v>
      </x:c>
      <x:c r="N26" s="234" t="inlineStr">
        <x:is>
          <x:t xml:space="preserve">8-connected dark component centroid; new JS baseline-JPEG Y decoder</x:t>
        </x:is>
      </x:c>
      <x:c r="O26" s="234" t="inlineStr">
        <x:is>
          <x:t xml:space="preserve">feee4eed2a4f6d66456ff5a977f43c7ef297f8eb</x:t>
        </x:is>
      </x:c>
      <x:c r="P26" s="234" t="inlineStr">
        <x:is>
          <x:t xml:space="preserve">[650, 400, 1050, 500]</x:t>
        </x:is>
      </x:c>
      <x:c r="Q26" s="234" t="n">
        <x:v>0.41355417</x:v>
      </x:c>
      <x:c r="R26" s="234" t="n">
        <x:v>0.14088667</x:v>
      </x:c>
      <x:c r="S26" s="234" t="n">
        <x:v>0.1736116355547511</x:v>
      </x:c>
      <x:c r="T26" s="234" t="inlineStr">
        <x:is>
          <x:t xml:space="preserve">https://github.com/scream314/cicada3301/blob/master/assets/2014/liber-primus-complete/40.jpg</x:t>
        </x:is>
      </x:c>
    </x:row>
    <x:row r="27" s="232" customFormat="1" ht="24" customHeight="1">
      <x:c r="A27" s="234" t="n">
        <x:v>40</x:v>
      </x:c>
      <x:c r="B27" s="234" t="inlineStr">
        <x:is>
          <x:t xml:space="preserve">isolated five-dot target</x:t>
        </x:is>
      </x:c>
      <x:c r="C27" s="234" t="n">
        <x:v>3</x:v>
      </x:c>
      <x:c r="D27" s="234" t="n">
        <x:v>40</x:v>
      </x:c>
      <x:c r="E27" s="234" t="n">
        <x:v>1296.931</x:v>
      </x:c>
      <x:c r="F27" s="234" t="n">
        <x:v>807.211</x:v>
      </x:c>
      <x:c r="G27" s="234" t="n">
        <x:v>3415</x:v>
      </x:c>
      <x:c r="H27" s="234" t="n">
        <x:v>1263</x:v>
      </x:c>
      <x:c r="I27" s="234" t="n">
        <x:v>773</x:v>
      </x:c>
      <x:c r="J27" s="234" t="n">
        <x:v>1331</x:v>
      </x:c>
      <x:c r="K27" s="234" t="n">
        <x:v>842</x:v>
      </x:c>
      <x:c r="L27" s="234" t="n">
        <x:v>69</x:v>
      </x:c>
      <x:c r="M27" s="234" t="n">
        <x:v>70</x:v>
      </x:c>
      <x:c r="N27" s="234" t="inlineStr">
        <x:is>
          <x:t xml:space="preserve">8-connected dark component centroid; new JS baseline-JPEG Y decoder</x:t>
        </x:is>
      </x:c>
      <x:c r="O27" s="234" t="inlineStr">
        <x:is>
          <x:t xml:space="preserve">feee4eed2a4f6d66456ff5a977f43c7ef297f8eb</x:t>
        </x:is>
      </x:c>
      <x:c r="P27" s="234" t="inlineStr">
        <x:is>
          <x:t xml:space="preserve">[650, 400, 1050, 500]</x:t>
        </x:is>
      </x:c>
      <x:c r="Q27" s="234" t="n">
        <x:v>0.54038792</x:v>
      </x:c>
      <x:c r="R27" s="234" t="n">
        <x:v>0.22422528</x:v>
      </x:c>
      <x:c r="S27" s="234" t="n">
        <x:v>0</x:v>
      </x:c>
      <x:c r="T27" s="234" t="inlineStr">
        <x:is>
          <x:t xml:space="preserve">https://github.com/scream314/cicada3301/blob/master/assets/2014/liber-primus-complete/40.jpg</x:t>
        </x:is>
      </x:c>
    </x:row>
    <x:row r="28" s="232" customFormat="1" ht="24" customHeight="1">
      <x:c r="A28" s="234" t="n">
        <x:v>40</x:v>
      </x:c>
      <x:c r="B28" s="234" t="inlineStr">
        <x:is>
          <x:t xml:space="preserve">isolated five-dot target</x:t>
        </x:is>
      </x:c>
      <x:c r="C28" s="234" t="n">
        <x:v>4</x:v>
      </x:c>
      <x:c r="D28" s="234" t="n">
        <x:v>40</x:v>
      </x:c>
      <x:c r="E28" s="234" t="n">
        <x:v>1527.154</x:v>
      </x:c>
      <x:c r="F28" s="234" t="n">
        <x:v>737.939</x:v>
      </x:c>
      <x:c r="G28" s="234" t="n">
        <x:v>3406</x:v>
      </x:c>
      <x:c r="H28" s="234" t="n">
        <x:v>1493</x:v>
      </x:c>
      <x:c r="I28" s="234" t="n">
        <x:v>704</x:v>
      </x:c>
      <x:c r="J28" s="234" t="n">
        <x:v>1562</x:v>
      </x:c>
      <x:c r="K28" s="234" t="n">
        <x:v>772</x:v>
      </x:c>
      <x:c r="L28" s="234" t="n">
        <x:v>70</x:v>
      </x:c>
      <x:c r="M28" s="234" t="n">
        <x:v>69</x:v>
      </x:c>
      <x:c r="N28" s="234" t="inlineStr">
        <x:is>
          <x:t xml:space="preserve">8-connected dark component centroid; new JS baseline-JPEG Y decoder</x:t>
        </x:is>
      </x:c>
      <x:c r="O28" s="234" t="inlineStr">
        <x:is>
          <x:t xml:space="preserve">feee4eed2a4f6d66456ff5a977f43c7ef297f8eb</x:t>
        </x:is>
      </x:c>
      <x:c r="P28" s="234" t="inlineStr">
        <x:is>
          <x:t xml:space="preserve">[650, 400, 1050, 500]</x:t>
        </x:is>
      </x:c>
      <x:c r="Q28" s="234" t="n">
        <x:v>0.63631417</x:v>
      </x:c>
      <x:c r="R28" s="234" t="n">
        <x:v>0.20498306</x:v>
      </x:c>
      <x:c r="S28" s="234" t="n">
        <x:v>0</x:v>
      </x:c>
      <x:c r="T28" s="234" t="inlineStr">
        <x:is>
          <x:t xml:space="preserve">https://github.com/scream314/cicada3301/blob/master/assets/2014/liber-primus-complete/40.jpg</x:t>
        </x:is>
      </x:c>
    </x:row>
    <x:row r="29" s="232" customFormat="1" ht="24" customHeight="1">
      <x:c r="A29" s="234" t="n">
        <x:v>40</x:v>
      </x:c>
      <x:c r="B29" s="234" t="inlineStr">
        <x:is>
          <x:t xml:space="preserve">isolated five-dot target</x:t>
        </x:is>
      </x:c>
      <x:c r="C29" s="234" t="n">
        <x:v>5</x:v>
      </x:c>
      <x:c r="D29" s="234" t="n">
        <x:v>40</x:v>
      </x:c>
      <x:c r="E29" s="234" t="n">
        <x:v>1479.265</x:v>
      </x:c>
      <x:c r="F29" s="234" t="n">
        <x:v>546.5</x:v>
      </x:c>
      <x:c r="G29" s="234" t="n">
        <x:v>3370</x:v>
      </x:c>
      <x:c r="H29" s="234" t="n">
        <x:v>1445</x:v>
      </x:c>
      <x:c r="I29" s="234" t="n">
        <x:v>512</x:v>
      </x:c>
      <x:c r="J29" s="234" t="n">
        <x:v>1514</x:v>
      </x:c>
      <x:c r="K29" s="234" t="n">
        <x:v>581</x:v>
      </x:c>
      <x:c r="L29" s="234" t="n">
        <x:v>70</x:v>
      </x:c>
      <x:c r="M29" s="234" t="n">
        <x:v>70</x:v>
      </x:c>
      <x:c r="N29" s="234" t="inlineStr">
        <x:is>
          <x:t xml:space="preserve">8-connected dark component centroid; new JS baseline-JPEG Y decoder</x:t>
        </x:is>
      </x:c>
      <x:c r="O29" s="234" t="inlineStr">
        <x:is>
          <x:t xml:space="preserve">feee4eed2a4f6d66456ff5a977f43c7ef297f8eb</x:t>
        </x:is>
      </x:c>
      <x:c r="P29" s="234" t="inlineStr">
        <x:is>
          <x:t xml:space="preserve">[650, 400, 1050, 500]</x:t>
        </x:is>
      </x:c>
      <x:c r="Q29" s="234" t="n">
        <x:v>0.61636042</x:v>
      </x:c>
      <x:c r="R29" s="234" t="n">
        <x:v>0.15180556</x:v>
      </x:c>
      <x:c r="S29" s="234" t="n">
        <x:v>0</x:v>
      </x:c>
      <x:c r="T29" s="234" t="inlineStr">
        <x:is>
          <x:t xml:space="preserve">https://github.com/scream314/cicada3301/blob/master/assets/2014/liber-primus-complete/40.jpg</x:t>
        </x:is>
      </x:c>
    </x:row>
    <x:row r="30" s="232" customFormat="1" ht="24" customHeight="1">
      <x:c r="A30" s="234" t="n">
        <x:v>40</x:v>
      </x:c>
      <x:c r="B30" s="234" t="inlineStr">
        <x:is>
          <x:t xml:space="preserve">isolated five-dot target</x:t>
        </x:is>
      </x:c>
      <x:c r="C30" s="234" t="n">
        <x:v>1</x:v>
      </x:c>
      <x:c r="D30" s="234" t="n">
        <x:v>60</x:v>
      </x:c>
      <x:c r="E30" s="234" t="n">
        <x:v>796.941</x:v>
      </x:c>
      <x:c r="F30" s="234" t="n">
        <x:v>568.227</x:v>
      </x:c>
      <x:c r="G30" s="234" t="n">
        <x:v>3542</x:v>
      </x:c>
      <x:c r="H30" s="234" t="n">
        <x:v>763</x:v>
      </x:c>
      <x:c r="I30" s="234" t="n">
        <x:v>534</x:v>
      </x:c>
      <x:c r="J30" s="234" t="n">
        <x:v>831</x:v>
      </x:c>
      <x:c r="K30" s="234" t="n">
        <x:v>603</x:v>
      </x:c>
      <x:c r="L30" s="234" t="n">
        <x:v>69</x:v>
      </x:c>
      <x:c r="M30" s="234" t="n">
        <x:v>70</x:v>
      </x:c>
      <x:c r="N30" s="234" t="inlineStr">
        <x:is>
          <x:t xml:space="preserve">8-connected dark component centroid; new JS baseline-JPEG Y decoder</x:t>
        </x:is>
      </x:c>
      <x:c r="O30" s="234" t="inlineStr">
        <x:is>
          <x:t xml:space="preserve">feee4eed2a4f6d66456ff5a977f43c7ef297f8eb</x:t>
        </x:is>
      </x:c>
      <x:c r="P30" s="234" t="inlineStr">
        <x:is>
          <x:t xml:space="preserve">[650, 400, 1050, 500]</x:t>
        </x:is>
      </x:c>
      <x:c r="Q30" s="234" t="n">
        <x:v>0.33205875</x:v>
      </x:c>
      <x:c r="R30" s="234" t="n">
        <x:v>0.15784083</x:v>
      </x:c>
      <x:c r="S30" s="234" t="n">
        <x:v>0</x:v>
      </x:c>
      <x:c r="T30" s="234" t="inlineStr">
        <x:is>
          <x:t xml:space="preserve">https://github.com/scream314/cicada3301/blob/master/assets/2014/liber-primus-complete/40.jpg</x:t>
        </x:is>
      </x:c>
    </x:row>
    <x:row r="31" s="232" customFormat="1" ht="24" customHeight="1">
      <x:c r="A31" s="234" t="n">
        <x:v>40</x:v>
      </x:c>
      <x:c r="B31" s="234" t="inlineStr">
        <x:is>
          <x:t xml:space="preserve">isolated five-dot target</x:t>
        </x:is>
      </x:c>
      <x:c r="C31" s="234" t="n">
        <x:v>2</x:v>
      </x:c>
      <x:c r="D31" s="234" t="n">
        <x:v>60</x:v>
      </x:c>
      <x:c r="E31" s="234" t="n">
        <x:v>992.5</x:v>
      </x:c>
      <x:c r="F31" s="234" t="n">
        <x:v>507.363</x:v>
      </x:c>
      <x:c r="G31" s="234" t="n">
        <x:v>3560</x:v>
      </x:c>
      <x:c r="H31" s="234" t="n">
        <x:v>958</x:v>
      </x:c>
      <x:c r="I31" s="234" t="n">
        <x:v>473</x:v>
      </x:c>
      <x:c r="J31" s="234" t="n">
        <x:v>1027</x:v>
      </x:c>
      <x:c r="K31" s="234" t="n">
        <x:v>542</x:v>
      </x:c>
      <x:c r="L31" s="234" t="n">
        <x:v>70</x:v>
      </x:c>
      <x:c r="M31" s="234" t="n">
        <x:v>70</x:v>
      </x:c>
      <x:c r="N31" s="234" t="inlineStr">
        <x:is>
          <x:t xml:space="preserve">8-connected dark component centroid; new JS baseline-JPEG Y decoder</x:t>
        </x:is>
      </x:c>
      <x:c r="O31" s="234" t="inlineStr">
        <x:is>
          <x:t xml:space="preserve">feee4eed2a4f6d66456ff5a977f43c7ef297f8eb</x:t>
        </x:is>
      </x:c>
      <x:c r="P31" s="234" t="inlineStr">
        <x:is>
          <x:t xml:space="preserve">[650, 400, 1050, 500]</x:t>
        </x:is>
      </x:c>
      <x:c r="Q31" s="234" t="n">
        <x:v>0.41354167</x:v>
      </x:c>
      <x:c r="R31" s="234" t="n">
        <x:v>0.14093417</x:v>
      </x:c>
      <x:c r="S31" s="234" t="n">
        <x:v>0</x:v>
      </x:c>
      <x:c r="T31" s="234" t="inlineStr">
        <x:is>
          <x:t xml:space="preserve">https://github.com/scream314/cicada3301/blob/master/assets/2014/liber-primus-complete/40.jpg</x:t>
        </x:is>
      </x:c>
    </x:row>
    <x:row r="32" s="232" customFormat="1" ht="24" customHeight="1">
      <x:c r="A32" s="234" t="n">
        <x:v>40</x:v>
      </x:c>
      <x:c r="B32" s="234" t="inlineStr">
        <x:is>
          <x:t xml:space="preserve">isolated five-dot target</x:t>
        </x:is>
      </x:c>
      <x:c r="C32" s="234" t="n">
        <x:v>3</x:v>
      </x:c>
      <x:c r="D32" s="234" t="n">
        <x:v>60</x:v>
      </x:c>
      <x:c r="E32" s="234" t="n">
        <x:v>1296.931</x:v>
      </x:c>
      <x:c r="F32" s="234" t="n">
        <x:v>807.211</x:v>
      </x:c>
      <x:c r="G32" s="234" t="n">
        <x:v>3415</x:v>
      </x:c>
      <x:c r="H32" s="234" t="n">
        <x:v>1263</x:v>
      </x:c>
      <x:c r="I32" s="234" t="n">
        <x:v>773</x:v>
      </x:c>
      <x:c r="J32" s="234" t="n">
        <x:v>1331</x:v>
      </x:c>
      <x:c r="K32" s="234" t="n">
        <x:v>842</x:v>
      </x:c>
      <x:c r="L32" s="234" t="n">
        <x:v>69</x:v>
      </x:c>
      <x:c r="M32" s="234" t="n">
        <x:v>70</x:v>
      </x:c>
      <x:c r="N32" s="234" t="inlineStr">
        <x:is>
          <x:t xml:space="preserve">8-connected dark component centroid; new JS baseline-JPEG Y decoder</x:t>
        </x:is>
      </x:c>
      <x:c r="O32" s="234" t="inlineStr">
        <x:is>
          <x:t xml:space="preserve">feee4eed2a4f6d66456ff5a977f43c7ef297f8eb</x:t>
        </x:is>
      </x:c>
      <x:c r="P32" s="234" t="inlineStr">
        <x:is>
          <x:t xml:space="preserve">[650, 400, 1050, 500]</x:t>
        </x:is>
      </x:c>
      <x:c r="Q32" s="234" t="n">
        <x:v>0.54038792</x:v>
      </x:c>
      <x:c r="R32" s="234" t="n">
        <x:v>0.22422528</x:v>
      </x:c>
      <x:c r="S32" s="234" t="n">
        <x:v>0</x:v>
      </x:c>
      <x:c r="T32" s="234" t="inlineStr">
        <x:is>
          <x:t xml:space="preserve">https://github.com/scream314/cicada3301/blob/master/assets/2014/liber-primus-complete/40.jpg</x:t>
        </x:is>
      </x:c>
    </x:row>
    <x:row r="33" s="232" customFormat="1" ht="24" customHeight="1">
      <x:c r="A33" s="234" t="n">
        <x:v>40</x:v>
      </x:c>
      <x:c r="B33" s="234" t="inlineStr">
        <x:is>
          <x:t xml:space="preserve">isolated five-dot target</x:t>
        </x:is>
      </x:c>
      <x:c r="C33" s="234" t="n">
        <x:v>4</x:v>
      </x:c>
      <x:c r="D33" s="234" t="n">
        <x:v>60</x:v>
      </x:c>
      <x:c r="E33" s="234" t="n">
        <x:v>1527.154</x:v>
      </x:c>
      <x:c r="F33" s="234" t="n">
        <x:v>737.939</x:v>
      </x:c>
      <x:c r="G33" s="234" t="n">
        <x:v>3406</x:v>
      </x:c>
      <x:c r="H33" s="234" t="n">
        <x:v>1493</x:v>
      </x:c>
      <x:c r="I33" s="234" t="n">
        <x:v>704</x:v>
      </x:c>
      <x:c r="J33" s="234" t="n">
        <x:v>1562</x:v>
      </x:c>
      <x:c r="K33" s="234" t="n">
        <x:v>772</x:v>
      </x:c>
      <x:c r="L33" s="234" t="n">
        <x:v>70</x:v>
      </x:c>
      <x:c r="M33" s="234" t="n">
        <x:v>69</x:v>
      </x:c>
      <x:c r="N33" s="234" t="inlineStr">
        <x:is>
          <x:t xml:space="preserve">8-connected dark component centroid; new JS baseline-JPEG Y decoder</x:t>
        </x:is>
      </x:c>
      <x:c r="O33" s="234" t="inlineStr">
        <x:is>
          <x:t xml:space="preserve">feee4eed2a4f6d66456ff5a977f43c7ef297f8eb</x:t>
        </x:is>
      </x:c>
      <x:c r="P33" s="234" t="inlineStr">
        <x:is>
          <x:t xml:space="preserve">[650, 400, 1050, 500]</x:t>
        </x:is>
      </x:c>
      <x:c r="Q33" s="234" t="n">
        <x:v>0.63631417</x:v>
      </x:c>
      <x:c r="R33" s="234" t="n">
        <x:v>0.20498306</x:v>
      </x:c>
      <x:c r="S33" s="234" t="n">
        <x:v>0</x:v>
      </x:c>
      <x:c r="T33" s="234" t="inlineStr">
        <x:is>
          <x:t xml:space="preserve">https://github.com/scream314/cicada3301/blob/master/assets/2014/liber-primus-complete/40.jpg</x:t>
        </x:is>
      </x:c>
    </x:row>
    <x:row r="34" s="232" customFormat="1" ht="24" customHeight="1">
      <x:c r="A34" s="234" t="n">
        <x:v>40</x:v>
      </x:c>
      <x:c r="B34" s="234" t="inlineStr">
        <x:is>
          <x:t xml:space="preserve">isolated five-dot target</x:t>
        </x:is>
      </x:c>
      <x:c r="C34" s="234" t="n">
        <x:v>5</x:v>
      </x:c>
      <x:c r="D34" s="234" t="n">
        <x:v>60</x:v>
      </x:c>
      <x:c r="E34" s="234" t="n">
        <x:v>1479.265</x:v>
      </x:c>
      <x:c r="F34" s="234" t="n">
        <x:v>546.5</x:v>
      </x:c>
      <x:c r="G34" s="234" t="n">
        <x:v>3370</x:v>
      </x:c>
      <x:c r="H34" s="234" t="n">
        <x:v>1445</x:v>
      </x:c>
      <x:c r="I34" s="234" t="n">
        <x:v>512</x:v>
      </x:c>
      <x:c r="J34" s="234" t="n">
        <x:v>1514</x:v>
      </x:c>
      <x:c r="K34" s="234" t="n">
        <x:v>581</x:v>
      </x:c>
      <x:c r="L34" s="234" t="n">
        <x:v>70</x:v>
      </x:c>
      <x:c r="M34" s="234" t="n">
        <x:v>70</x:v>
      </x:c>
      <x:c r="N34" s="234" t="inlineStr">
        <x:is>
          <x:t xml:space="preserve">8-connected dark component centroid; new JS baseline-JPEG Y decoder</x:t>
        </x:is>
      </x:c>
      <x:c r="O34" s="234" t="inlineStr">
        <x:is>
          <x:t xml:space="preserve">feee4eed2a4f6d66456ff5a977f43c7ef297f8eb</x:t>
        </x:is>
      </x:c>
      <x:c r="P34" s="234" t="inlineStr">
        <x:is>
          <x:t xml:space="preserve">[650, 400, 1050, 500]</x:t>
        </x:is>
      </x:c>
      <x:c r="Q34" s="234" t="n">
        <x:v>0.61636042</x:v>
      </x:c>
      <x:c r="R34" s="234" t="n">
        <x:v>0.15180556</x:v>
      </x:c>
      <x:c r="S34" s="234" t="n">
        <x:v>0</x:v>
      </x:c>
      <x:c r="T34" s="234" t="inlineStr">
        <x:is>
          <x:t xml:space="preserve">https://github.com/scream314/cicada3301/blob/master/assets/2014/liber-primus-complete/40.jpg</x:t>
        </x:is>
      </x:c>
    </x:row>
    <x:row r="35" s="232" customFormat="1" ht="24" customHeight="1">
      <x:c r="A35" s="234" t="n">
        <x:v>40</x:v>
      </x:c>
      <x:c r="B35" s="234" t="inlineStr">
        <x:is>
          <x:t xml:space="preserve">isolated five-dot target</x:t>
        </x:is>
      </x:c>
      <x:c r="C35" s="234" t="n">
        <x:v>1</x:v>
      </x:c>
      <x:c r="D35" s="234" t="n">
        <x:v>80</x:v>
      </x:c>
      <x:c r="E35" s="234" t="n">
        <x:v>796.941</x:v>
      </x:c>
      <x:c r="F35" s="234" t="n">
        <x:v>568.227</x:v>
      </x:c>
      <x:c r="G35" s="234" t="n">
        <x:v>3542</x:v>
      </x:c>
      <x:c r="H35" s="234" t="n">
        <x:v>763</x:v>
      </x:c>
      <x:c r="I35" s="234" t="n">
        <x:v>534</x:v>
      </x:c>
      <x:c r="J35" s="234" t="n">
        <x:v>831</x:v>
      </x:c>
      <x:c r="K35" s="234" t="n">
        <x:v>603</x:v>
      </x:c>
      <x:c r="L35" s="234" t="n">
        <x:v>69</x:v>
      </x:c>
      <x:c r="M35" s="234" t="n">
        <x:v>70</x:v>
      </x:c>
      <x:c r="N35" s="234" t="inlineStr">
        <x:is>
          <x:t xml:space="preserve">8-connected dark component centroid; new JS baseline-JPEG Y decoder</x:t>
        </x:is>
      </x:c>
      <x:c r="O35" s="234" t="inlineStr">
        <x:is>
          <x:t xml:space="preserve">feee4eed2a4f6d66456ff5a977f43c7ef297f8eb</x:t>
        </x:is>
      </x:c>
      <x:c r="P35" s="234" t="inlineStr">
        <x:is>
          <x:t xml:space="preserve">[650, 400, 1050, 500]</x:t>
        </x:is>
      </x:c>
      <x:c r="Q35" s="234" t="n">
        <x:v>0.33205875</x:v>
      </x:c>
      <x:c r="R35" s="234" t="n">
        <x:v>0.15784083</x:v>
      </x:c>
      <x:c r="S35" s="234" t="n">
        <x:v>0</x:v>
      </x:c>
      <x:c r="T35" s="234" t="inlineStr">
        <x:is>
          <x:t xml:space="preserve">https://github.com/scream314/cicada3301/blob/master/assets/2014/liber-primus-complete/40.jpg</x:t>
        </x:is>
      </x:c>
    </x:row>
    <x:row r="36" s="232" customFormat="1" ht="24" customHeight="1">
      <x:c r="A36" s="234" t="n">
        <x:v>40</x:v>
      </x:c>
      <x:c r="B36" s="234" t="inlineStr">
        <x:is>
          <x:t xml:space="preserve">isolated five-dot target</x:t>
        </x:is>
      </x:c>
      <x:c r="C36" s="234" t="n">
        <x:v>2</x:v>
      </x:c>
      <x:c r="D36" s="234" t="n">
        <x:v>80</x:v>
      </x:c>
      <x:c r="E36" s="234" t="n">
        <x:v>992.5</x:v>
      </x:c>
      <x:c r="F36" s="234" t="n">
        <x:v>507.363</x:v>
      </x:c>
      <x:c r="G36" s="234" t="n">
        <x:v>3560</x:v>
      </x:c>
      <x:c r="H36" s="234" t="n">
        <x:v>958</x:v>
      </x:c>
      <x:c r="I36" s="234" t="n">
        <x:v>473</x:v>
      </x:c>
      <x:c r="J36" s="234" t="n">
        <x:v>1027</x:v>
      </x:c>
      <x:c r="K36" s="234" t="n">
        <x:v>542</x:v>
      </x:c>
      <x:c r="L36" s="234" t="n">
        <x:v>70</x:v>
      </x:c>
      <x:c r="M36" s="234" t="n">
        <x:v>70</x:v>
      </x:c>
      <x:c r="N36" s="234" t="inlineStr">
        <x:is>
          <x:t xml:space="preserve">8-connected dark component centroid; new JS baseline-JPEG Y decoder</x:t>
        </x:is>
      </x:c>
      <x:c r="O36" s="234" t="inlineStr">
        <x:is>
          <x:t xml:space="preserve">feee4eed2a4f6d66456ff5a977f43c7ef297f8eb</x:t>
        </x:is>
      </x:c>
      <x:c r="P36" s="234" t="inlineStr">
        <x:is>
          <x:t xml:space="preserve">[650, 400, 1050, 500]</x:t>
        </x:is>
      </x:c>
      <x:c r="Q36" s="234" t="n">
        <x:v>0.41354167</x:v>
      </x:c>
      <x:c r="R36" s="234" t="n">
        <x:v>0.14093417</x:v>
      </x:c>
      <x:c r="S36" s="234" t="n">
        <x:v>0</x:v>
      </x:c>
      <x:c r="T36" s="234" t="inlineStr">
        <x:is>
          <x:t xml:space="preserve">https://github.com/scream314/cicada3301/blob/master/assets/2014/liber-primus-complete/40.jpg</x:t>
        </x:is>
      </x:c>
    </x:row>
    <x:row r="37" s="232" customFormat="1" ht="24" customHeight="1">
      <x:c r="A37" s="234" t="n">
        <x:v>40</x:v>
      </x:c>
      <x:c r="B37" s="234" t="inlineStr">
        <x:is>
          <x:t xml:space="preserve">isolated five-dot target</x:t>
        </x:is>
      </x:c>
      <x:c r="C37" s="234" t="n">
        <x:v>3</x:v>
      </x:c>
      <x:c r="D37" s="234" t="n">
        <x:v>80</x:v>
      </x:c>
      <x:c r="E37" s="234" t="n">
        <x:v>1296.931</x:v>
      </x:c>
      <x:c r="F37" s="234" t="n">
        <x:v>807.211</x:v>
      </x:c>
      <x:c r="G37" s="234" t="n">
        <x:v>3415</x:v>
      </x:c>
      <x:c r="H37" s="234" t="n">
        <x:v>1263</x:v>
      </x:c>
      <x:c r="I37" s="234" t="n">
        <x:v>773</x:v>
      </x:c>
      <x:c r="J37" s="234" t="n">
        <x:v>1331</x:v>
      </x:c>
      <x:c r="K37" s="234" t="n">
        <x:v>842</x:v>
      </x:c>
      <x:c r="L37" s="234" t="n">
        <x:v>69</x:v>
      </x:c>
      <x:c r="M37" s="234" t="n">
        <x:v>70</x:v>
      </x:c>
      <x:c r="N37" s="234" t="inlineStr">
        <x:is>
          <x:t xml:space="preserve">8-connected dark component centroid; new JS baseline-JPEG Y decoder</x:t>
        </x:is>
      </x:c>
      <x:c r="O37" s="234" t="inlineStr">
        <x:is>
          <x:t xml:space="preserve">feee4eed2a4f6d66456ff5a977f43c7ef297f8eb</x:t>
        </x:is>
      </x:c>
      <x:c r="P37" s="234" t="inlineStr">
        <x:is>
          <x:t xml:space="preserve">[650, 400, 1050, 500]</x:t>
        </x:is>
      </x:c>
      <x:c r="Q37" s="234" t="n">
        <x:v>0.54038792</x:v>
      </x:c>
      <x:c r="R37" s="234" t="n">
        <x:v>0.22422528</x:v>
      </x:c>
      <x:c r="S37" s="234" t="n">
        <x:v>0</x:v>
      </x:c>
      <x:c r="T37" s="234" t="inlineStr">
        <x:is>
          <x:t xml:space="preserve">https://github.com/scream314/cicada3301/blob/master/assets/2014/liber-primus-complete/40.jpg</x:t>
        </x:is>
      </x:c>
    </x:row>
    <x:row r="38" s="232" customFormat="1" ht="24" customHeight="1">
      <x:c r="A38" s="234" t="n">
        <x:v>40</x:v>
      </x:c>
      <x:c r="B38" s="234" t="inlineStr">
        <x:is>
          <x:t xml:space="preserve">isolated five-dot target</x:t>
        </x:is>
      </x:c>
      <x:c r="C38" s="234" t="n">
        <x:v>4</x:v>
      </x:c>
      <x:c r="D38" s="234" t="n">
        <x:v>80</x:v>
      </x:c>
      <x:c r="E38" s="234" t="n">
        <x:v>1527.154</x:v>
      </x:c>
      <x:c r="F38" s="234" t="n">
        <x:v>737.939</x:v>
      </x:c>
      <x:c r="G38" s="234" t="n">
        <x:v>3406</x:v>
      </x:c>
      <x:c r="H38" s="234" t="n">
        <x:v>1493</x:v>
      </x:c>
      <x:c r="I38" s="234" t="n">
        <x:v>704</x:v>
      </x:c>
      <x:c r="J38" s="234" t="n">
        <x:v>1562</x:v>
      </x:c>
      <x:c r="K38" s="234" t="n">
        <x:v>772</x:v>
      </x:c>
      <x:c r="L38" s="234" t="n">
        <x:v>70</x:v>
      </x:c>
      <x:c r="M38" s="234" t="n">
        <x:v>69</x:v>
      </x:c>
      <x:c r="N38" s="234" t="inlineStr">
        <x:is>
          <x:t xml:space="preserve">8-connected dark component centroid; new JS baseline-JPEG Y decoder</x:t>
        </x:is>
      </x:c>
      <x:c r="O38" s="234" t="inlineStr">
        <x:is>
          <x:t xml:space="preserve">feee4eed2a4f6d66456ff5a977f43c7ef297f8eb</x:t>
        </x:is>
      </x:c>
      <x:c r="P38" s="234" t="inlineStr">
        <x:is>
          <x:t xml:space="preserve">[650, 400, 1050, 500]</x:t>
        </x:is>
      </x:c>
      <x:c r="Q38" s="234" t="n">
        <x:v>0.63631417</x:v>
      </x:c>
      <x:c r="R38" s="234" t="n">
        <x:v>0.20498306</x:v>
      </x:c>
      <x:c r="S38" s="234" t="n">
        <x:v>0</x:v>
      </x:c>
      <x:c r="T38" s="234" t="inlineStr">
        <x:is>
          <x:t xml:space="preserve">https://github.com/scream314/cicada3301/blob/master/assets/2014/liber-primus-complete/40.jpg</x:t>
        </x:is>
      </x:c>
    </x:row>
    <x:row r="39" s="232" customFormat="1" ht="24" customHeight="1">
      <x:c r="A39" s="234" t="n">
        <x:v>40</x:v>
      </x:c>
      <x:c r="B39" s="234" t="inlineStr">
        <x:is>
          <x:t xml:space="preserve">isolated five-dot target</x:t>
        </x:is>
      </x:c>
      <x:c r="C39" s="234" t="n">
        <x:v>5</x:v>
      </x:c>
      <x:c r="D39" s="234" t="n">
        <x:v>80</x:v>
      </x:c>
      <x:c r="E39" s="234" t="n">
        <x:v>1479.265</x:v>
      </x:c>
      <x:c r="F39" s="234" t="n">
        <x:v>546.5</x:v>
      </x:c>
      <x:c r="G39" s="234" t="n">
        <x:v>3370</x:v>
      </x:c>
      <x:c r="H39" s="234" t="n">
        <x:v>1445</x:v>
      </x:c>
      <x:c r="I39" s="234" t="n">
        <x:v>512</x:v>
      </x:c>
      <x:c r="J39" s="234" t="n">
        <x:v>1514</x:v>
      </x:c>
      <x:c r="K39" s="234" t="n">
        <x:v>581</x:v>
      </x:c>
      <x:c r="L39" s="234" t="n">
        <x:v>70</x:v>
      </x:c>
      <x:c r="M39" s="234" t="n">
        <x:v>70</x:v>
      </x:c>
      <x:c r="N39" s="234" t="inlineStr">
        <x:is>
          <x:t xml:space="preserve">8-connected dark component centroid; new JS baseline-JPEG Y decoder</x:t>
        </x:is>
      </x:c>
      <x:c r="O39" s="234" t="inlineStr">
        <x:is>
          <x:t xml:space="preserve">feee4eed2a4f6d66456ff5a977f43c7ef297f8eb</x:t>
        </x:is>
      </x:c>
      <x:c r="P39" s="234" t="inlineStr">
        <x:is>
          <x:t xml:space="preserve">[650, 400, 1050, 500]</x:t>
        </x:is>
      </x:c>
      <x:c r="Q39" s="234" t="n">
        <x:v>0.61636042</x:v>
      </x:c>
      <x:c r="R39" s="234" t="n">
        <x:v>0.15180556</x:v>
      </x:c>
      <x:c r="S39" s="234" t="n">
        <x:v>0</x:v>
      </x:c>
      <x:c r="T39" s="234" t="inlineStr">
        <x:is>
          <x:t xml:space="preserve">https://github.com/scream314/cicada3301/blob/master/assets/2014/liber-primus-complete/40.jpg</x:t>
        </x:is>
      </x:c>
    </x:row>
    <x:row r="40" s="232" customFormat="1" ht="24" customHeight="1">
      <x:c r="A40" s="234" t="n">
        <x:v>40</x:v>
      </x:c>
      <x:c r="B40" s="234" t="inlineStr">
        <x:is>
          <x:t xml:space="preserve">isolated five-dot target</x:t>
        </x:is>
      </x:c>
      <x:c r="C40" s="234" t="n">
        <x:v>1</x:v>
      </x:c>
      <x:c r="D40" s="234" t="n">
        <x:v>100</x:v>
      </x:c>
      <x:c r="E40" s="234" t="n">
        <x:v>796.941</x:v>
      </x:c>
      <x:c r="F40" s="234" t="n">
        <x:v>568.255</x:v>
      </x:c>
      <x:c r="G40" s="234" t="n">
        <x:v>3552</x:v>
      </x:c>
      <x:c r="H40" s="234" t="n">
        <x:v>763</x:v>
      </x:c>
      <x:c r="I40" s="234" t="n">
        <x:v>534</x:v>
      </x:c>
      <x:c r="J40" s="234" t="n">
        <x:v>831</x:v>
      </x:c>
      <x:c r="K40" s="234" t="n">
        <x:v>603</x:v>
      </x:c>
      <x:c r="L40" s="234" t="n">
        <x:v>69</x:v>
      </x:c>
      <x:c r="M40" s="234" t="n">
        <x:v>70</x:v>
      </x:c>
      <x:c r="N40" s="234" t="inlineStr">
        <x:is>
          <x:t xml:space="preserve">8-connected dark component centroid; new JS baseline-JPEG Y decoder</x:t>
        </x:is>
      </x:c>
      <x:c r="O40" s="234" t="inlineStr">
        <x:is>
          <x:t xml:space="preserve">feee4eed2a4f6d66456ff5a977f43c7ef297f8eb</x:t>
        </x:is>
      </x:c>
      <x:c r="P40" s="234" t="inlineStr">
        <x:is>
          <x:t xml:space="preserve">[650, 400, 1050, 500]</x:t>
        </x:is>
      </x:c>
      <x:c r="Q40" s="234" t="n">
        <x:v>0.33205875</x:v>
      </x:c>
      <x:c r="R40" s="234" t="n">
        <x:v>0.15784861</x:v>
      </x:c>
      <x:c r="S40" s="234" t="n">
        <x:v>0.02800000000002001</x:v>
      </x:c>
      <x:c r="T40" s="234" t="inlineStr">
        <x:is>
          <x:t xml:space="preserve">https://github.com/scream314/cicada3301/blob/master/assets/2014/liber-primus-complete/40.jpg</x:t>
        </x:is>
      </x:c>
    </x:row>
    <x:row r="41" s="232" customFormat="1" ht="24" customHeight="1">
      <x:c r="A41" s="234" t="n">
        <x:v>40</x:v>
      </x:c>
      <x:c r="B41" s="234" t="inlineStr">
        <x:is>
          <x:t xml:space="preserve">isolated five-dot target</x:t>
        </x:is>
      </x:c>
      <x:c r="C41" s="234" t="n">
        <x:v>2</x:v>
      </x:c>
      <x:c r="D41" s="234" t="n">
        <x:v>100</x:v>
      </x:c>
      <x:c r="E41" s="234" t="n">
        <x:v>992.499</x:v>
      </x:c>
      <x:c r="F41" s="234" t="n">
        <x:v>507.363</x:v>
      </x:c>
      <x:c r="G41" s="234" t="n">
        <x:v>3568</x:v>
      </x:c>
      <x:c r="H41" s="234" t="n">
        <x:v>958</x:v>
      </x:c>
      <x:c r="I41" s="234" t="n">
        <x:v>473</x:v>
      </x:c>
      <x:c r="J41" s="234" t="n">
        <x:v>1027</x:v>
      </x:c>
      <x:c r="K41" s="234" t="n">
        <x:v>542</x:v>
      </x:c>
      <x:c r="L41" s="234" t="n">
        <x:v>70</x:v>
      </x:c>
      <x:c r="M41" s="234" t="n">
        <x:v>70</x:v>
      </x:c>
      <x:c r="N41" s="234" t="inlineStr">
        <x:is>
          <x:t xml:space="preserve">8-connected dark component centroid; new JS baseline-JPEG Y decoder</x:t>
        </x:is>
      </x:c>
      <x:c r="O41" s="234" t="inlineStr">
        <x:is>
          <x:t xml:space="preserve">feee4eed2a4f6d66456ff5a977f43c7ef297f8eb</x:t>
        </x:is>
      </x:c>
      <x:c r="P41" s="234" t="inlineStr">
        <x:is>
          <x:t xml:space="preserve">[650, 400, 1050, 500]</x:t>
        </x:is>
      </x:c>
      <x:c r="Q41" s="234" t="n">
        <x:v>0.41354125</x:v>
      </x:c>
      <x:c r="R41" s="234" t="n">
        <x:v>0.14093417</x:v>
      </x:c>
      <x:c r="S41" s="234" t="n">
        <x:v>0.0009999999999763531</x:v>
      </x:c>
      <x:c r="T41" s="234" t="inlineStr">
        <x:is>
          <x:t xml:space="preserve">https://github.com/scream314/cicada3301/blob/master/assets/2014/liber-primus-complete/40.jpg</x:t>
        </x:is>
      </x:c>
    </x:row>
    <x:row r="42" s="232" customFormat="1" ht="24" customHeight="1">
      <x:c r="A42" s="234" t="n">
        <x:v>40</x:v>
      </x:c>
      <x:c r="B42" s="234" t="inlineStr">
        <x:is>
          <x:t xml:space="preserve">isolated five-dot target</x:t>
        </x:is>
      </x:c>
      <x:c r="C42" s="234" t="n">
        <x:v>3</x:v>
      </x:c>
      <x:c r="D42" s="234" t="n">
        <x:v>100</x:v>
      </x:c>
      <x:c r="E42" s="234" t="n">
        <x:v>1296.87</x:v>
      </x:c>
      <x:c r="F42" s="234" t="n">
        <x:v>807.236</x:v>
      </x:c>
      <x:c r="G42" s="234" t="n">
        <x:v>3431</x:v>
      </x:c>
      <x:c r="H42" s="234" t="n">
        <x:v>1263</x:v>
      </x:c>
      <x:c r="I42" s="234" t="n">
        <x:v>773</x:v>
      </x:c>
      <x:c r="J42" s="234" t="n">
        <x:v>1331</x:v>
      </x:c>
      <x:c r="K42" s="234" t="n">
        <x:v>842</x:v>
      </x:c>
      <x:c r="L42" s="234" t="n">
        <x:v>69</x:v>
      </x:c>
      <x:c r="M42" s="234" t="n">
        <x:v>70</x:v>
      </x:c>
      <x:c r="N42" s="234" t="inlineStr">
        <x:is>
          <x:t xml:space="preserve">8-connected dark component centroid; new JS baseline-JPEG Y decoder</x:t>
        </x:is>
      </x:c>
      <x:c r="O42" s="234" t="inlineStr">
        <x:is>
          <x:t xml:space="preserve">feee4eed2a4f6d66456ff5a977f43c7ef297f8eb</x:t>
        </x:is>
      </x:c>
      <x:c r="P42" s="234" t="inlineStr">
        <x:is>
          <x:t xml:space="preserve">[650, 400, 1050, 500]</x:t>
        </x:is>
      </x:c>
      <x:c r="Q42" s="234" t="n">
        <x:v>0.5403625</x:v>
      </x:c>
      <x:c r="R42" s="234" t="n">
        <x:v>0.22423222</x:v>
      </x:c>
      <x:c r="S42" s="234" t="n">
        <x:v>0.06592419889552743</x:v>
      </x:c>
      <x:c r="T42" s="234" t="inlineStr">
        <x:is>
          <x:t xml:space="preserve">https://github.com/scream314/cicada3301/blob/master/assets/2014/liber-primus-complete/40.jpg</x:t>
        </x:is>
      </x:c>
    </x:row>
    <x:row r="43" s="232" customFormat="1" ht="24" customHeight="1">
      <x:c r="A43" s="234" t="n">
        <x:v>40</x:v>
      </x:c>
      <x:c r="B43" s="234" t="inlineStr">
        <x:is>
          <x:t xml:space="preserve">isolated five-dot target</x:t>
        </x:is>
      </x:c>
      <x:c r="C43" s="234" t="n">
        <x:v>4</x:v>
      </x:c>
      <x:c r="D43" s="234" t="n">
        <x:v>100</x:v>
      </x:c>
      <x:c r="E43" s="234" t="n">
        <x:v>1527.166</x:v>
      </x:c>
      <x:c r="F43" s="234" t="n">
        <x:v>737.907</x:v>
      </x:c>
      <x:c r="G43" s="234" t="n">
        <x:v>3421</x:v>
      </x:c>
      <x:c r="H43" s="234" t="n">
        <x:v>1493</x:v>
      </x:c>
      <x:c r="I43" s="234" t="n">
        <x:v>704</x:v>
      </x:c>
      <x:c r="J43" s="234" t="n">
        <x:v>1562</x:v>
      </x:c>
      <x:c r="K43" s="234" t="n">
        <x:v>772</x:v>
      </x:c>
      <x:c r="L43" s="234" t="n">
        <x:v>70</x:v>
      </x:c>
      <x:c r="M43" s="234" t="n">
        <x:v>69</x:v>
      </x:c>
      <x:c r="N43" s="234" t="inlineStr">
        <x:is>
          <x:t xml:space="preserve">8-connected dark component centroid; new JS baseline-JPEG Y decoder</x:t>
        </x:is>
      </x:c>
      <x:c r="O43" s="234" t="inlineStr">
        <x:is>
          <x:t xml:space="preserve">feee4eed2a4f6d66456ff5a977f43c7ef297f8eb</x:t>
        </x:is>
      </x:c>
      <x:c r="P43" s="234" t="inlineStr">
        <x:is>
          <x:t xml:space="preserve">[650, 400, 1050, 500]</x:t>
        </x:is>
      </x:c>
      <x:c r="Q43" s="234" t="n">
        <x:v>0.63631917</x:v>
      </x:c>
      <x:c r="R43" s="234" t="n">
        <x:v>0.20497417</x:v>
      </x:c>
      <x:c r="S43" s="234" t="n">
        <x:v>0.0341760149811805</x:v>
      </x:c>
      <x:c r="T43" s="234" t="inlineStr">
        <x:is>
          <x:t xml:space="preserve">https://github.com/scream314/cicada3301/blob/master/assets/2014/liber-primus-complete/40.jpg</x:t>
        </x:is>
      </x:c>
    </x:row>
    <x:row r="44" s="232" customFormat="1" ht="24" customHeight="1">
      <x:c r="A44" s="234" t="n">
        <x:v>40</x:v>
      </x:c>
      <x:c r="B44" s="234" t="inlineStr">
        <x:is>
          <x:t xml:space="preserve">isolated five-dot target</x:t>
        </x:is>
      </x:c>
      <x:c r="C44" s="234" t="n">
        <x:v>5</x:v>
      </x:c>
      <x:c r="D44" s="234" t="n">
        <x:v>100</x:v>
      </x:c>
      <x:c r="E44" s="234" t="n">
        <x:v>1479.256</x:v>
      </x:c>
      <x:c r="F44" s="234" t="n">
        <x:v>546.48</x:v>
      </x:c>
      <x:c r="G44" s="234" t="n">
        <x:v>3395</x:v>
      </x:c>
      <x:c r="H44" s="234" t="n">
        <x:v>1445</x:v>
      </x:c>
      <x:c r="I44" s="234" t="n">
        <x:v>512</x:v>
      </x:c>
      <x:c r="J44" s="234" t="n">
        <x:v>1514</x:v>
      </x:c>
      <x:c r="K44" s="234" t="n">
        <x:v>581</x:v>
      </x:c>
      <x:c r="L44" s="234" t="n">
        <x:v>70</x:v>
      </x:c>
      <x:c r="M44" s="234" t="n">
        <x:v>70</x:v>
      </x:c>
      <x:c r="N44" s="234" t="inlineStr">
        <x:is>
          <x:t xml:space="preserve">8-connected dark component centroid; new JS baseline-JPEG Y decoder</x:t>
        </x:is>
      </x:c>
      <x:c r="O44" s="234" t="inlineStr">
        <x:is>
          <x:t xml:space="preserve">feee4eed2a4f6d66456ff5a977f43c7ef297f8eb</x:t>
        </x:is>
      </x:c>
      <x:c r="P44" s="234" t="inlineStr">
        <x:is>
          <x:t xml:space="preserve">[650, 400, 1050, 500]</x:t>
        </x:is>
      </x:c>
      <x:c r="Q44" s="234" t="n">
        <x:v>0.6163566700000001</x:v>
      </x:c>
      <x:c r="R44" s="234" t="n">
        <x:v>0.1518</x:v>
      </x:c>
      <x:c r="S44" s="234" t="n">
        <x:v>0.02193171219945069</x:v>
      </x:c>
      <x:c r="T44" s="234" t="inlineStr">
        <x:is>
          <x:t xml:space="preserve">https://github.com/scream314/cicada3301/blob/master/assets/2014/liber-primus-complete/40.jpg</x:t>
        </x:is>
      </x:c>
    </x:row>
    <x:row r="45" s="232" customFormat="1" ht="24" customHeight="1">
      <x:c r="A45" s="234" t="n">
        <x:v>73</x:v>
      </x:c>
      <x:c r="B45" s="234" t="inlineStr">
        <x:is>
          <x:t xml:space="preserve">isolated five-dot target</x:t>
        </x:is>
      </x:c>
      <x:c r="C45" s="234" t="n">
        <x:v>1</x:v>
      </x:c>
      <x:c r="D45" s="234" t="n">
        <x:v>40</x:v>
      </x:c>
      <x:c r="E45" s="234" t="n">
        <x:v>1103.931</x:v>
      </x:c>
      <x:c r="F45" s="234" t="n">
        <x:v>2447.221</x:v>
      </x:c>
      <x:c r="G45" s="234" t="n">
        <x:v>3407</x:v>
      </x:c>
      <x:c r="H45" s="234" t="n">
        <x:v>1070</x:v>
      </x:c>
      <x:c r="I45" s="234" t="n">
        <x:v>2413</x:v>
      </x:c>
      <x:c r="J45" s="234" t="n">
        <x:v>1138</x:v>
      </x:c>
      <x:c r="K45" s="234" t="n">
        <x:v>2482</x:v>
      </x:c>
      <x:c r="L45" s="234" t="n">
        <x:v>69</x:v>
      </x:c>
      <x:c r="M45" s="234" t="n">
        <x:v>70</x:v>
      </x:c>
      <x:c r="N45" s="234" t="inlineStr">
        <x:is>
          <x:t xml:space="preserve">8-connected dark component centroid; new JS baseline-JPEG Y decoder</x:t>
        </x:is>
      </x:c>
      <x:c r="O45" s="234" t="inlineStr">
        <x:is>
          <x:t xml:space="preserve">afa3428764199ddf590baf0c055c8caedc079cb1</x:t>
        </x:is>
      </x:c>
      <x:c r="P45" s="234" t="inlineStr">
        <x:is>
          <x:t xml:space="preserve">[750, 2290, 1020, 620]</x:t>
        </x:is>
      </x:c>
      <x:c r="Q45" s="234" t="n">
        <x:v>0.45997125</x:v>
      </x:c>
      <x:c r="R45" s="234" t="n">
        <x:v>0.67978361</x:v>
      </x:c>
      <x:c r="S45" s="234" t="n">
        <x:v>0</x:v>
      </x:c>
      <x:c r="T45" s="234" t="inlineStr">
        <x:is>
          <x:t xml:space="preserve">https://github.com/scream314/cicada3301/blob/master/assets/2014/liber-primus-complete/73.jpg</x:t>
        </x:is>
      </x:c>
    </x:row>
    <x:row r="46" s="232" customFormat="1" ht="24" customHeight="1">
      <x:c r="A46" s="234" t="n">
        <x:v>73</x:v>
      </x:c>
      <x:c r="B46" s="234" t="inlineStr">
        <x:is>
          <x:t xml:space="preserve">isolated five-dot target</x:t>
        </x:is>
      </x:c>
      <x:c r="C46" s="234" t="n">
        <x:v>2</x:v>
      </x:c>
      <x:c r="D46" s="234" t="n">
        <x:v>40</x:v>
      </x:c>
      <x:c r="E46" s="234" t="n">
        <x:v>873.2670000000001</x:v>
      </x:c>
      <x:c r="F46" s="234" t="n">
        <x:v>2517</x:v>
      </x:c>
      <x:c r="G46" s="234" t="n">
        <x:v>3408</x:v>
      </x:c>
      <x:c r="H46" s="234" t="n">
        <x:v>839</x:v>
      </x:c>
      <x:c r="I46" s="234" t="n">
        <x:v>2483</x:v>
      </x:c>
      <x:c r="J46" s="234" t="n">
        <x:v>908</x:v>
      </x:c>
      <x:c r="K46" s="234" t="n">
        <x:v>2551</x:v>
      </x:c>
      <x:c r="L46" s="234" t="n">
        <x:v>70</x:v>
      </x:c>
      <x:c r="M46" s="234" t="n">
        <x:v>69</x:v>
      </x:c>
      <x:c r="N46" s="234" t="inlineStr">
        <x:is>
          <x:t xml:space="preserve">8-connected dark component centroid; new JS baseline-JPEG Y decoder</x:t>
        </x:is>
      </x:c>
      <x:c r="O46" s="234" t="inlineStr">
        <x:is>
          <x:t xml:space="preserve">afa3428764199ddf590baf0c055c8caedc079cb1</x:t>
        </x:is>
      </x:c>
      <x:c r="P46" s="234" t="inlineStr">
        <x:is>
          <x:t xml:space="preserve">[750, 2290, 1020, 620]</x:t>
        </x:is>
      </x:c>
      <x:c r="Q46" s="234" t="n">
        <x:v>0.36386125</x:v>
      </x:c>
      <x:c r="R46" s="234" t="n">
        <x:v>0.69916667</x:v>
      </x:c>
      <x:c r="S46" s="234" t="n">
        <x:v>0</x:v>
      </x:c>
      <x:c r="T46" s="234" t="inlineStr">
        <x:is>
          <x:t xml:space="preserve">https://github.com/scream314/cicada3301/blob/master/assets/2014/liber-primus-complete/73.jpg</x:t>
        </x:is>
      </x:c>
    </x:row>
    <x:row r="47" s="232" customFormat="1" ht="24" customHeight="1">
      <x:c r="A47" s="234" t="n">
        <x:v>73</x:v>
      </x:c>
      <x:c r="B47" s="234" t="inlineStr">
        <x:is>
          <x:t xml:space="preserve">isolated five-dot target</x:t>
        </x:is>
      </x:c>
      <x:c r="C47" s="234" t="n">
        <x:v>3</x:v>
      </x:c>
      <x:c r="D47" s="234" t="n">
        <x:v>40</x:v>
      </x:c>
      <x:c r="E47" s="234" t="n">
        <x:v>921.154</x:v>
      </x:c>
      <x:c r="F47" s="234" t="n">
        <x:v>2708.061</x:v>
      </x:c>
      <x:c r="G47" s="234" t="n">
        <x:v>3406</x:v>
      </x:c>
      <x:c r="H47" s="234" t="n">
        <x:v>887</x:v>
      </x:c>
      <x:c r="I47" s="234" t="n">
        <x:v>2674</x:v>
      </x:c>
      <x:c r="J47" s="234" t="n">
        <x:v>956</x:v>
      </x:c>
      <x:c r="K47" s="234" t="n">
        <x:v>2742</x:v>
      </x:c>
      <x:c r="L47" s="234" t="n">
        <x:v>70</x:v>
      </x:c>
      <x:c r="M47" s="234" t="n">
        <x:v>69</x:v>
      </x:c>
      <x:c r="N47" s="234" t="inlineStr">
        <x:is>
          <x:t xml:space="preserve">8-connected dark component centroid; new JS baseline-JPEG Y decoder</x:t>
        </x:is>
      </x:c>
      <x:c r="O47" s="234" t="inlineStr">
        <x:is>
          <x:t xml:space="preserve">afa3428764199ddf590baf0c055c8caedc079cb1</x:t>
        </x:is>
      </x:c>
      <x:c r="P47" s="234" t="inlineStr">
        <x:is>
          <x:t xml:space="preserve">[750, 2290, 1020, 620]</x:t>
        </x:is>
      </x:c>
      <x:c r="Q47" s="234" t="n">
        <x:v>0.38381417</x:v>
      </x:c>
      <x:c r="R47" s="234" t="n">
        <x:v>0.75223917</x:v>
      </x:c>
      <x:c r="S47" s="234" t="n">
        <x:v>0</x:v>
      </x:c>
      <x:c r="T47" s="234" t="inlineStr">
        <x:is>
          <x:t xml:space="preserve">https://github.com/scream314/cicada3301/blob/master/assets/2014/liber-primus-complete/73.jpg</x:t>
        </x:is>
      </x:c>
    </x:row>
    <x:row r="48" s="232" customFormat="1" ht="24" customHeight="1">
      <x:c r="A48" s="234" t="n">
        <x:v>73</x:v>
      </x:c>
      <x:c r="B48" s="234" t="inlineStr">
        <x:is>
          <x:t xml:space="preserve">isolated five-dot target</x:t>
        </x:is>
      </x:c>
      <x:c r="C48" s="234" t="n">
        <x:v>4</x:v>
      </x:c>
      <x:c r="D48" s="234" t="n">
        <x:v>40</x:v>
      </x:c>
      <x:c r="E48" s="234" t="n">
        <x:v>1603.905</x:v>
      </x:c>
      <x:c r="F48" s="234" t="n">
        <x:v>2686.477</x:v>
      </x:c>
      <x:c r="G48" s="234" t="n">
        <x:v>3390</x:v>
      </x:c>
      <x:c r="H48" s="234" t="n">
        <x:v>1570</x:v>
      </x:c>
      <x:c r="I48" s="234" t="n">
        <x:v>2652</x:v>
      </x:c>
      <x:c r="J48" s="234" t="n">
        <x:v>1638</x:v>
      </x:c>
      <x:c r="K48" s="234" t="n">
        <x:v>2721</x:v>
      </x:c>
      <x:c r="L48" s="234" t="n">
        <x:v>69</x:v>
      </x:c>
      <x:c r="M48" s="234" t="n">
        <x:v>70</x:v>
      </x:c>
      <x:c r="N48" s="234" t="inlineStr">
        <x:is>
          <x:t xml:space="preserve">8-connected dark component centroid; new JS baseline-JPEG Y decoder</x:t>
        </x:is>
      </x:c>
      <x:c r="O48" s="234" t="inlineStr">
        <x:is>
          <x:t xml:space="preserve">afa3428764199ddf590baf0c055c8caedc079cb1</x:t>
        </x:is>
      </x:c>
      <x:c r="P48" s="234" t="inlineStr">
        <x:is>
          <x:t xml:space="preserve">[750, 2290, 1020, 620]</x:t>
        </x:is>
      </x:c>
      <x:c r="Q48" s="234" t="n">
        <x:v>0.66829375</x:v>
      </x:c>
      <x:c r="R48" s="234" t="n">
        <x:v>0.7462436099999999</x:v>
      </x:c>
      <x:c r="S48" s="234" t="n">
        <x:v>0.03114482300486876</x:v>
      </x:c>
      <x:c r="T48" s="234" t="inlineStr">
        <x:is>
          <x:t xml:space="preserve">https://github.com/scream314/cicada3301/blob/master/assets/2014/liber-primus-complete/73.jpg</x:t>
        </x:is>
      </x:c>
    </x:row>
    <x:row r="49" s="232" customFormat="1" ht="24" customHeight="1">
      <x:c r="A49" s="234" t="n">
        <x:v>73</x:v>
      </x:c>
      <x:c r="B49" s="234" t="inlineStr">
        <x:is>
          <x:t xml:space="preserve">isolated five-dot target</x:t>
        </x:is>
      </x:c>
      <x:c r="C49" s="234" t="n">
        <x:v>5</x:v>
      </x:c>
      <x:c r="D49" s="234" t="n">
        <x:v>40</x:v>
      </x:c>
      <x:c r="E49" s="234" t="n">
        <x:v>1408.15</x:v>
      </x:c>
      <x:c r="F49" s="234" t="n">
        <x:v>2747.191</x:v>
      </x:c>
      <x:c r="G49" s="234" t="n">
        <x:v>3447</x:v>
      </x:c>
      <x:c r="H49" s="234" t="n">
        <x:v>1374</x:v>
      </x:c>
      <x:c r="I49" s="234" t="n">
        <x:v>2713</x:v>
      </x:c>
      <x:c r="J49" s="234" t="n">
        <x:v>1442</x:v>
      </x:c>
      <x:c r="K49" s="234" t="n">
        <x:v>2782</x:v>
      </x:c>
      <x:c r="L49" s="234" t="n">
        <x:v>69</x:v>
      </x:c>
      <x:c r="M49" s="234" t="n">
        <x:v>70</x:v>
      </x:c>
      <x:c r="N49" s="234" t="inlineStr">
        <x:is>
          <x:t xml:space="preserve">8-connected dark component centroid; new JS baseline-JPEG Y decoder</x:t>
        </x:is>
      </x:c>
      <x:c r="O49" s="234" t="inlineStr">
        <x:is>
          <x:t xml:space="preserve">afa3428764199ddf590baf0c055c8caedc079cb1</x:t>
        </x:is>
      </x:c>
      <x:c r="P49" s="234" t="inlineStr">
        <x:is>
          <x:t xml:space="preserve">[750, 2290, 1020, 620]</x:t>
        </x:is>
      </x:c>
      <x:c r="Q49" s="234" t="n">
        <x:v>0.58672917</x:v>
      </x:c>
      <x:c r="R49" s="234" t="n">
        <x:v>0.76310861</x:v>
      </x:c>
      <x:c r="S49" s="234" t="n">
        <x:v>0.1238426420909763</x:v>
      </x:c>
      <x:c r="T49" s="234" t="inlineStr">
        <x:is>
          <x:t xml:space="preserve">https://github.com/scream314/cicada3301/blob/master/assets/2014/liber-primus-complete/73.jpg</x:t>
        </x:is>
      </x:c>
    </x:row>
    <x:row r="50" s="232" customFormat="1" ht="24" customHeight="1">
      <x:c r="A50" s="234" t="n">
        <x:v>73</x:v>
      </x:c>
      <x:c r="B50" s="234" t="inlineStr">
        <x:is>
          <x:t xml:space="preserve">isolated five-dot target</x:t>
        </x:is>
      </x:c>
      <x:c r="C50" s="234" t="n">
        <x:v>1</x:v>
      </x:c>
      <x:c r="D50" s="234" t="n">
        <x:v>60</x:v>
      </x:c>
      <x:c r="E50" s="234" t="n">
        <x:v>1103.931</x:v>
      </x:c>
      <x:c r="F50" s="234" t="n">
        <x:v>2447.221</x:v>
      </x:c>
      <x:c r="G50" s="234" t="n">
        <x:v>3407</x:v>
      </x:c>
      <x:c r="H50" s="234" t="n">
        <x:v>1070</x:v>
      </x:c>
      <x:c r="I50" s="234" t="n">
        <x:v>2413</x:v>
      </x:c>
      <x:c r="J50" s="234" t="n">
        <x:v>1138</x:v>
      </x:c>
      <x:c r="K50" s="234" t="n">
        <x:v>2482</x:v>
      </x:c>
      <x:c r="L50" s="234" t="n">
        <x:v>69</x:v>
      </x:c>
      <x:c r="M50" s="234" t="n">
        <x:v>70</x:v>
      </x:c>
      <x:c r="N50" s="234" t="inlineStr">
        <x:is>
          <x:t xml:space="preserve">8-connected dark component centroid; new JS baseline-JPEG Y decoder</x:t>
        </x:is>
      </x:c>
      <x:c r="O50" s="234" t="inlineStr">
        <x:is>
          <x:t xml:space="preserve">afa3428764199ddf590baf0c055c8caedc079cb1</x:t>
        </x:is>
      </x:c>
      <x:c r="P50" s="234" t="inlineStr">
        <x:is>
          <x:t xml:space="preserve">[750, 2290, 1020, 620]</x:t>
        </x:is>
      </x:c>
      <x:c r="Q50" s="234" t="n">
        <x:v>0.45997125</x:v>
      </x:c>
      <x:c r="R50" s="234" t="n">
        <x:v>0.67978361</x:v>
      </x:c>
      <x:c r="S50" s="234" t="n">
        <x:v>0</x:v>
      </x:c>
      <x:c r="T50" s="234" t="inlineStr">
        <x:is>
          <x:t xml:space="preserve">https://github.com/scream314/cicada3301/blob/master/assets/2014/liber-primus-complete/73.jpg</x:t>
        </x:is>
      </x:c>
    </x:row>
    <x:row r="51" s="232" customFormat="1" ht="24" customHeight="1">
      <x:c r="A51" s="234" t="n">
        <x:v>73</x:v>
      </x:c>
      <x:c r="B51" s="234" t="inlineStr">
        <x:is>
          <x:t xml:space="preserve">isolated five-dot target</x:t>
        </x:is>
      </x:c>
      <x:c r="C51" s="234" t="n">
        <x:v>2</x:v>
      </x:c>
      <x:c r="D51" s="234" t="n">
        <x:v>60</x:v>
      </x:c>
      <x:c r="E51" s="234" t="n">
        <x:v>873.2670000000001</x:v>
      </x:c>
      <x:c r="F51" s="234" t="n">
        <x:v>2517</x:v>
      </x:c>
      <x:c r="G51" s="234" t="n">
        <x:v>3408</x:v>
      </x:c>
      <x:c r="H51" s="234" t="n">
        <x:v>839</x:v>
      </x:c>
      <x:c r="I51" s="234" t="n">
        <x:v>2483</x:v>
      </x:c>
      <x:c r="J51" s="234" t="n">
        <x:v>908</x:v>
      </x:c>
      <x:c r="K51" s="234" t="n">
        <x:v>2551</x:v>
      </x:c>
      <x:c r="L51" s="234" t="n">
        <x:v>70</x:v>
      </x:c>
      <x:c r="M51" s="234" t="n">
        <x:v>69</x:v>
      </x:c>
      <x:c r="N51" s="234" t="inlineStr">
        <x:is>
          <x:t xml:space="preserve">8-connected dark component centroid; new JS baseline-JPEG Y decoder</x:t>
        </x:is>
      </x:c>
      <x:c r="O51" s="234" t="inlineStr">
        <x:is>
          <x:t xml:space="preserve">afa3428764199ddf590baf0c055c8caedc079cb1</x:t>
        </x:is>
      </x:c>
      <x:c r="P51" s="234" t="inlineStr">
        <x:is>
          <x:t xml:space="preserve">[750, 2290, 1020, 620]</x:t>
        </x:is>
      </x:c>
      <x:c r="Q51" s="234" t="n">
        <x:v>0.36386125</x:v>
      </x:c>
      <x:c r="R51" s="234" t="n">
        <x:v>0.69916667</x:v>
      </x:c>
      <x:c r="S51" s="234" t="n">
        <x:v>0</x:v>
      </x:c>
      <x:c r="T51" s="234" t="inlineStr">
        <x:is>
          <x:t xml:space="preserve">https://github.com/scream314/cicada3301/blob/master/assets/2014/liber-primus-complete/73.jpg</x:t>
        </x:is>
      </x:c>
    </x:row>
    <x:row r="52" s="232" customFormat="1" ht="24" customHeight="1">
      <x:c r="A52" s="234" t="n">
        <x:v>73</x:v>
      </x:c>
      <x:c r="B52" s="234" t="inlineStr">
        <x:is>
          <x:t xml:space="preserve">isolated five-dot target</x:t>
        </x:is>
      </x:c>
      <x:c r="C52" s="234" t="n">
        <x:v>3</x:v>
      </x:c>
      <x:c r="D52" s="234" t="n">
        <x:v>60</x:v>
      </x:c>
      <x:c r="E52" s="234" t="n">
        <x:v>921.154</x:v>
      </x:c>
      <x:c r="F52" s="234" t="n">
        <x:v>2708.061</x:v>
      </x:c>
      <x:c r="G52" s="234" t="n">
        <x:v>3406</x:v>
      </x:c>
      <x:c r="H52" s="234" t="n">
        <x:v>887</x:v>
      </x:c>
      <x:c r="I52" s="234" t="n">
        <x:v>2674</x:v>
      </x:c>
      <x:c r="J52" s="234" t="n">
        <x:v>956</x:v>
      </x:c>
      <x:c r="K52" s="234" t="n">
        <x:v>2742</x:v>
      </x:c>
      <x:c r="L52" s="234" t="n">
        <x:v>70</x:v>
      </x:c>
      <x:c r="M52" s="234" t="n">
        <x:v>69</x:v>
      </x:c>
      <x:c r="N52" s="234" t="inlineStr">
        <x:is>
          <x:t xml:space="preserve">8-connected dark component centroid; new JS baseline-JPEG Y decoder</x:t>
        </x:is>
      </x:c>
      <x:c r="O52" s="234" t="inlineStr">
        <x:is>
          <x:t xml:space="preserve">afa3428764199ddf590baf0c055c8caedc079cb1</x:t>
        </x:is>
      </x:c>
      <x:c r="P52" s="234" t="inlineStr">
        <x:is>
          <x:t xml:space="preserve">[750, 2290, 1020, 620]</x:t>
        </x:is>
      </x:c>
      <x:c r="Q52" s="234" t="n">
        <x:v>0.38381417</x:v>
      </x:c>
      <x:c r="R52" s="234" t="n">
        <x:v>0.75223917</x:v>
      </x:c>
      <x:c r="S52" s="234" t="n">
        <x:v>0</x:v>
      </x:c>
      <x:c r="T52" s="234" t="inlineStr">
        <x:is>
          <x:t xml:space="preserve">https://github.com/scream314/cicada3301/blob/master/assets/2014/liber-primus-complete/73.jpg</x:t>
        </x:is>
      </x:c>
    </x:row>
    <x:row r="53" s="232" customFormat="1" ht="24" customHeight="1">
      <x:c r="A53" s="234" t="n">
        <x:v>73</x:v>
      </x:c>
      <x:c r="B53" s="234" t="inlineStr">
        <x:is>
          <x:t xml:space="preserve">isolated five-dot target</x:t>
        </x:is>
      </x:c>
      <x:c r="C53" s="234" t="n">
        <x:v>4</x:v>
      </x:c>
      <x:c r="D53" s="234" t="n">
        <x:v>60</x:v>
      </x:c>
      <x:c r="E53" s="234" t="n">
        <x:v>1603.926</x:v>
      </x:c>
      <x:c r="F53" s="234" t="n">
        <x:v>2686.5</x:v>
      </x:c>
      <x:c r="G53" s="234" t="n">
        <x:v>3532</x:v>
      </x:c>
      <x:c r="H53" s="234" t="n">
        <x:v>1570</x:v>
      </x:c>
      <x:c r="I53" s="234" t="n">
        <x:v>2652</x:v>
      </x:c>
      <x:c r="J53" s="234" t="n">
        <x:v>1638</x:v>
      </x:c>
      <x:c r="K53" s="234" t="n">
        <x:v>2721</x:v>
      </x:c>
      <x:c r="L53" s="234" t="n">
        <x:v>69</x:v>
      </x:c>
      <x:c r="M53" s="234" t="n">
        <x:v>70</x:v>
      </x:c>
      <x:c r="N53" s="234" t="inlineStr">
        <x:is>
          <x:t xml:space="preserve">8-connected dark component centroid; new JS baseline-JPEG Y decoder</x:t>
        </x:is>
      </x:c>
      <x:c r="O53" s="234" t="inlineStr">
        <x:is>
          <x:t xml:space="preserve">afa3428764199ddf590baf0c055c8caedc079cb1</x:t>
        </x:is>
      </x:c>
      <x:c r="P53" s="234" t="inlineStr">
        <x:is>
          <x:t xml:space="preserve">[750, 2290, 1020, 620]</x:t>
        </x:is>
      </x:c>
      <x:c r="Q53" s="234" t="n">
        <x:v>0.6683025</x:v>
      </x:c>
      <x:c r="R53" s="234" t="n">
        <x:v>0.74625</x:v>
      </x:c>
      <x:c r="S53" s="234" t="n">
        <x:v>0</x:v>
      </x:c>
      <x:c r="T53" s="234" t="inlineStr">
        <x:is>
          <x:t xml:space="preserve">https://github.com/scream314/cicada3301/blob/master/assets/2014/liber-primus-complete/73.jpg</x:t>
        </x:is>
      </x:c>
    </x:row>
    <x:row r="54" s="232" customFormat="1" ht="24" customHeight="1">
      <x:c r="A54" s="234" t="n">
        <x:v>73</x:v>
      </x:c>
      <x:c r="B54" s="234" t="inlineStr">
        <x:is>
          <x:t xml:space="preserve">isolated five-dot target</x:t>
        </x:is>
      </x:c>
      <x:c r="C54" s="234" t="n">
        <x:v>5</x:v>
      </x:c>
      <x:c r="D54" s="234" t="n">
        <x:v>60</x:v>
      </x:c>
      <x:c r="E54" s="234" t="n">
        <x:v>1408.066</x:v>
      </x:c>
      <x:c r="F54" s="234" t="n">
        <x:v>2747.282</x:v>
      </x:c>
      <x:c r="G54" s="234" t="n">
        <x:v>3551</x:v>
      </x:c>
      <x:c r="H54" s="234" t="n">
        <x:v>1374</x:v>
      </x:c>
      <x:c r="I54" s="234" t="n">
        <x:v>2713</x:v>
      </x:c>
      <x:c r="J54" s="234" t="n">
        <x:v>1442</x:v>
      </x:c>
      <x:c r="K54" s="234" t="n">
        <x:v>2782</x:v>
      </x:c>
      <x:c r="L54" s="234" t="n">
        <x:v>69</x:v>
      </x:c>
      <x:c r="M54" s="234" t="n">
        <x:v>70</x:v>
      </x:c>
      <x:c r="N54" s="234" t="inlineStr">
        <x:is>
          <x:t xml:space="preserve">8-connected dark component centroid; new JS baseline-JPEG Y decoder</x:t>
        </x:is>
      </x:c>
      <x:c r="O54" s="234" t="inlineStr">
        <x:is>
          <x:t xml:space="preserve">afa3428764199ddf590baf0c055c8caedc079cb1</x:t>
        </x:is>
      </x:c>
      <x:c r="P54" s="234" t="inlineStr">
        <x:is>
          <x:t xml:space="preserve">[750, 2290, 1020, 620]</x:t>
        </x:is>
      </x:c>
      <x:c r="Q54" s="234" t="n">
        <x:v>0.58669417</x:v>
      </x:c>
      <x:c r="R54" s="234" t="n">
        <x:v>0.76313389</x:v>
      </x:c>
      <x:c r="S54" s="234" t="n">
        <x:v>0</x:v>
      </x:c>
      <x:c r="T54" s="234" t="inlineStr">
        <x:is>
          <x:t xml:space="preserve">https://github.com/scream314/cicada3301/blob/master/assets/2014/liber-primus-complete/73.jpg</x:t>
        </x:is>
      </x:c>
    </x:row>
    <x:row r="55" s="232" customFormat="1" ht="24" customHeight="1">
      <x:c r="A55" s="234" t="n">
        <x:v>73</x:v>
      </x:c>
      <x:c r="B55" s="234" t="inlineStr">
        <x:is>
          <x:t xml:space="preserve">isolated five-dot target</x:t>
        </x:is>
      </x:c>
      <x:c r="C55" s="234" t="n">
        <x:v>1</x:v>
      </x:c>
      <x:c r="D55" s="234" t="n">
        <x:v>80</x:v>
      </x:c>
      <x:c r="E55" s="234" t="n">
        <x:v>1103.931</x:v>
      </x:c>
      <x:c r="F55" s="234" t="n">
        <x:v>2447.221</x:v>
      </x:c>
      <x:c r="G55" s="234" t="n">
        <x:v>3407</x:v>
      </x:c>
      <x:c r="H55" s="234" t="n">
        <x:v>1070</x:v>
      </x:c>
      <x:c r="I55" s="234" t="n">
        <x:v>2413</x:v>
      </x:c>
      <x:c r="J55" s="234" t="n">
        <x:v>1138</x:v>
      </x:c>
      <x:c r="K55" s="234" t="n">
        <x:v>2482</x:v>
      </x:c>
      <x:c r="L55" s="234" t="n">
        <x:v>69</x:v>
      </x:c>
      <x:c r="M55" s="234" t="n">
        <x:v>70</x:v>
      </x:c>
      <x:c r="N55" s="234" t="inlineStr">
        <x:is>
          <x:t xml:space="preserve">8-connected dark component centroid; new JS baseline-JPEG Y decoder</x:t>
        </x:is>
      </x:c>
      <x:c r="O55" s="234" t="inlineStr">
        <x:is>
          <x:t xml:space="preserve">afa3428764199ddf590baf0c055c8caedc079cb1</x:t>
        </x:is>
      </x:c>
      <x:c r="P55" s="234" t="inlineStr">
        <x:is>
          <x:t xml:space="preserve">[750, 2290, 1020, 620]</x:t>
        </x:is>
      </x:c>
      <x:c r="Q55" s="234" t="n">
        <x:v>0.45997125</x:v>
      </x:c>
      <x:c r="R55" s="234" t="n">
        <x:v>0.67978361</x:v>
      </x:c>
      <x:c r="S55" s="234" t="n">
        <x:v>0</x:v>
      </x:c>
      <x:c r="T55" s="234" t="inlineStr">
        <x:is>
          <x:t xml:space="preserve">https://github.com/scream314/cicada3301/blob/master/assets/2014/liber-primus-complete/73.jpg</x:t>
        </x:is>
      </x:c>
    </x:row>
    <x:row r="56" s="232" customFormat="1" ht="24" customHeight="1">
      <x:c r="A56" s="234" t="n">
        <x:v>73</x:v>
      </x:c>
      <x:c r="B56" s="234" t="inlineStr">
        <x:is>
          <x:t xml:space="preserve">isolated five-dot target</x:t>
        </x:is>
      </x:c>
      <x:c r="C56" s="234" t="n">
        <x:v>2</x:v>
      </x:c>
      <x:c r="D56" s="234" t="n">
        <x:v>80</x:v>
      </x:c>
      <x:c r="E56" s="234" t="n">
        <x:v>873.2670000000001</x:v>
      </x:c>
      <x:c r="F56" s="234" t="n">
        <x:v>2517</x:v>
      </x:c>
      <x:c r="G56" s="234" t="n">
        <x:v>3408</x:v>
      </x:c>
      <x:c r="H56" s="234" t="n">
        <x:v>839</x:v>
      </x:c>
      <x:c r="I56" s="234" t="n">
        <x:v>2483</x:v>
      </x:c>
      <x:c r="J56" s="234" t="n">
        <x:v>908</x:v>
      </x:c>
      <x:c r="K56" s="234" t="n">
        <x:v>2551</x:v>
      </x:c>
      <x:c r="L56" s="234" t="n">
        <x:v>70</x:v>
      </x:c>
      <x:c r="M56" s="234" t="n">
        <x:v>69</x:v>
      </x:c>
      <x:c r="N56" s="234" t="inlineStr">
        <x:is>
          <x:t xml:space="preserve">8-connected dark component centroid; new JS baseline-JPEG Y decoder</x:t>
        </x:is>
      </x:c>
      <x:c r="O56" s="234" t="inlineStr">
        <x:is>
          <x:t xml:space="preserve">afa3428764199ddf590baf0c055c8caedc079cb1</x:t>
        </x:is>
      </x:c>
      <x:c r="P56" s="234" t="inlineStr">
        <x:is>
          <x:t xml:space="preserve">[750, 2290, 1020, 620]</x:t>
        </x:is>
      </x:c>
      <x:c r="Q56" s="234" t="n">
        <x:v>0.36386125</x:v>
      </x:c>
      <x:c r="R56" s="234" t="n">
        <x:v>0.69916667</x:v>
      </x:c>
      <x:c r="S56" s="234" t="n">
        <x:v>0</x:v>
      </x:c>
      <x:c r="T56" s="234" t="inlineStr">
        <x:is>
          <x:t xml:space="preserve">https://github.com/scream314/cicada3301/blob/master/assets/2014/liber-primus-complete/73.jpg</x:t>
        </x:is>
      </x:c>
    </x:row>
    <x:row r="57" s="232" customFormat="1" ht="24" customHeight="1">
      <x:c r="A57" s="234" t="n">
        <x:v>73</x:v>
      </x:c>
      <x:c r="B57" s="234" t="inlineStr">
        <x:is>
          <x:t xml:space="preserve">isolated five-dot target</x:t>
        </x:is>
      </x:c>
      <x:c r="C57" s="234" t="n">
        <x:v>3</x:v>
      </x:c>
      <x:c r="D57" s="234" t="n">
        <x:v>80</x:v>
      </x:c>
      <x:c r="E57" s="234" t="n">
        <x:v>921.154</x:v>
      </x:c>
      <x:c r="F57" s="234" t="n">
        <x:v>2708.061</x:v>
      </x:c>
      <x:c r="G57" s="234" t="n">
        <x:v>3406</x:v>
      </x:c>
      <x:c r="H57" s="234" t="n">
        <x:v>887</x:v>
      </x:c>
      <x:c r="I57" s="234" t="n">
        <x:v>2674</x:v>
      </x:c>
      <x:c r="J57" s="234" t="n">
        <x:v>956</x:v>
      </x:c>
      <x:c r="K57" s="234" t="n">
        <x:v>2742</x:v>
      </x:c>
      <x:c r="L57" s="234" t="n">
        <x:v>70</x:v>
      </x:c>
      <x:c r="M57" s="234" t="n">
        <x:v>69</x:v>
      </x:c>
      <x:c r="N57" s="234" t="inlineStr">
        <x:is>
          <x:t xml:space="preserve">8-connected dark component centroid; new JS baseline-JPEG Y decoder</x:t>
        </x:is>
      </x:c>
      <x:c r="O57" s="234" t="inlineStr">
        <x:is>
          <x:t xml:space="preserve">afa3428764199ddf590baf0c055c8caedc079cb1</x:t>
        </x:is>
      </x:c>
      <x:c r="P57" s="234" t="inlineStr">
        <x:is>
          <x:t xml:space="preserve">[750, 2290, 1020, 620]</x:t>
        </x:is>
      </x:c>
      <x:c r="Q57" s="234" t="n">
        <x:v>0.38381417</x:v>
      </x:c>
      <x:c r="R57" s="234" t="n">
        <x:v>0.75223917</x:v>
      </x:c>
      <x:c r="S57" s="234" t="n">
        <x:v>0</x:v>
      </x:c>
      <x:c r="T57" s="234" t="inlineStr">
        <x:is>
          <x:t xml:space="preserve">https://github.com/scream314/cicada3301/blob/master/assets/2014/liber-primus-complete/73.jpg</x:t>
        </x:is>
      </x:c>
    </x:row>
    <x:row r="58" s="232" customFormat="1" ht="24" customHeight="1">
      <x:c r="A58" s="234" t="n">
        <x:v>73</x:v>
      </x:c>
      <x:c r="B58" s="234" t="inlineStr">
        <x:is>
          <x:t xml:space="preserve">isolated five-dot target</x:t>
        </x:is>
      </x:c>
      <x:c r="C58" s="234" t="n">
        <x:v>4</x:v>
      </x:c>
      <x:c r="D58" s="234" t="n">
        <x:v>80</x:v>
      </x:c>
      <x:c r="E58" s="234" t="n">
        <x:v>1603.926</x:v>
      </x:c>
      <x:c r="F58" s="234" t="n">
        <x:v>2686.5</x:v>
      </x:c>
      <x:c r="G58" s="234" t="n">
        <x:v>3532</x:v>
      </x:c>
      <x:c r="H58" s="234" t="n">
        <x:v>1570</x:v>
      </x:c>
      <x:c r="I58" s="234" t="n">
        <x:v>2652</x:v>
      </x:c>
      <x:c r="J58" s="234" t="n">
        <x:v>1638</x:v>
      </x:c>
      <x:c r="K58" s="234" t="n">
        <x:v>2721</x:v>
      </x:c>
      <x:c r="L58" s="234" t="n">
        <x:v>69</x:v>
      </x:c>
      <x:c r="M58" s="234" t="n">
        <x:v>70</x:v>
      </x:c>
      <x:c r="N58" s="234" t="inlineStr">
        <x:is>
          <x:t xml:space="preserve">8-connected dark component centroid; new JS baseline-JPEG Y decoder</x:t>
        </x:is>
      </x:c>
      <x:c r="O58" s="234" t="inlineStr">
        <x:is>
          <x:t xml:space="preserve">afa3428764199ddf590baf0c055c8caedc079cb1</x:t>
        </x:is>
      </x:c>
      <x:c r="P58" s="234" t="inlineStr">
        <x:is>
          <x:t xml:space="preserve">[750, 2290, 1020, 620]</x:t>
        </x:is>
      </x:c>
      <x:c r="Q58" s="234" t="n">
        <x:v>0.6683025</x:v>
      </x:c>
      <x:c r="R58" s="234" t="n">
        <x:v>0.74625</x:v>
      </x:c>
      <x:c r="S58" s="234" t="n">
        <x:v>0</x:v>
      </x:c>
      <x:c r="T58" s="234" t="inlineStr">
        <x:is>
          <x:t xml:space="preserve">https://github.com/scream314/cicada3301/blob/master/assets/2014/liber-primus-complete/73.jpg</x:t>
        </x:is>
      </x:c>
    </x:row>
    <x:row r="59" s="232" customFormat="1" ht="24" customHeight="1">
      <x:c r="A59" s="234" t="n">
        <x:v>73</x:v>
      </x:c>
      <x:c r="B59" s="234" t="inlineStr">
        <x:is>
          <x:t xml:space="preserve">isolated five-dot target</x:t>
        </x:is>
      </x:c>
      <x:c r="C59" s="234" t="n">
        <x:v>5</x:v>
      </x:c>
      <x:c r="D59" s="234" t="n">
        <x:v>80</x:v>
      </x:c>
      <x:c r="E59" s="234" t="n">
        <x:v>1408.066</x:v>
      </x:c>
      <x:c r="F59" s="234" t="n">
        <x:v>2747.282</x:v>
      </x:c>
      <x:c r="G59" s="234" t="n">
        <x:v>3551</x:v>
      </x:c>
      <x:c r="H59" s="234" t="n">
        <x:v>1374</x:v>
      </x:c>
      <x:c r="I59" s="234" t="n">
        <x:v>2713</x:v>
      </x:c>
      <x:c r="J59" s="234" t="n">
        <x:v>1442</x:v>
      </x:c>
      <x:c r="K59" s="234" t="n">
        <x:v>2782</x:v>
      </x:c>
      <x:c r="L59" s="234" t="n">
        <x:v>69</x:v>
      </x:c>
      <x:c r="M59" s="234" t="n">
        <x:v>70</x:v>
      </x:c>
      <x:c r="N59" s="234" t="inlineStr">
        <x:is>
          <x:t xml:space="preserve">8-connected dark component centroid; new JS baseline-JPEG Y decoder</x:t>
        </x:is>
      </x:c>
      <x:c r="O59" s="234" t="inlineStr">
        <x:is>
          <x:t xml:space="preserve">afa3428764199ddf590baf0c055c8caedc079cb1</x:t>
        </x:is>
      </x:c>
      <x:c r="P59" s="234" t="inlineStr">
        <x:is>
          <x:t xml:space="preserve">[750, 2290, 1020, 620]</x:t>
        </x:is>
      </x:c>
      <x:c r="Q59" s="234" t="n">
        <x:v>0.58669417</x:v>
      </x:c>
      <x:c r="R59" s="234" t="n">
        <x:v>0.76313389</x:v>
      </x:c>
      <x:c r="S59" s="234" t="n">
        <x:v>0</x:v>
      </x:c>
      <x:c r="T59" s="234" t="inlineStr">
        <x:is>
          <x:t xml:space="preserve">https://github.com/scream314/cicada3301/blob/master/assets/2014/liber-primus-complete/73.jpg</x:t>
        </x:is>
      </x:c>
    </x:row>
    <x:row r="60" s="232" customFormat="1" ht="24" customHeight="1">
      <x:c r="A60" s="234" t="n">
        <x:v>73</x:v>
      </x:c>
      <x:c r="B60" s="234" t="inlineStr">
        <x:is>
          <x:t xml:space="preserve">isolated five-dot target</x:t>
        </x:is>
      </x:c>
      <x:c r="C60" s="234" t="n">
        <x:v>1</x:v>
      </x:c>
      <x:c r="D60" s="234" t="n">
        <x:v>100</x:v>
      </x:c>
      <x:c r="E60" s="234" t="n">
        <x:v>1103.858</x:v>
      </x:c>
      <x:c r="F60" s="234" t="n">
        <x:v>2447.251</x:v>
      </x:c>
      <x:c r="G60" s="234" t="n">
        <x:v>3450</x:v>
      </x:c>
      <x:c r="H60" s="234" t="n">
        <x:v>1070</x:v>
      </x:c>
      <x:c r="I60" s="234" t="n">
        <x:v>2413</x:v>
      </x:c>
      <x:c r="J60" s="234" t="n">
        <x:v>1138</x:v>
      </x:c>
      <x:c r="K60" s="234" t="n">
        <x:v>2482</x:v>
      </x:c>
      <x:c r="L60" s="234" t="n">
        <x:v>69</x:v>
      </x:c>
      <x:c r="M60" s="234" t="n">
        <x:v>70</x:v>
      </x:c>
      <x:c r="N60" s="234" t="inlineStr">
        <x:is>
          <x:t xml:space="preserve">8-connected dark component centroid; new JS baseline-JPEG Y decoder</x:t>
        </x:is>
      </x:c>
      <x:c r="O60" s="234" t="inlineStr">
        <x:is>
          <x:t xml:space="preserve">afa3428764199ddf590baf0c055c8caedc079cb1</x:t>
        </x:is>
      </x:c>
      <x:c r="P60" s="234" t="inlineStr">
        <x:is>
          <x:t xml:space="preserve">[750, 2290, 1020, 620]</x:t>
        </x:is>
      </x:c>
      <x:c r="Q60" s="234" t="n">
        <x:v>0.45994083</x:v>
      </x:c>
      <x:c r="R60" s="234" t="n">
        <x:v>0.67979194</x:v>
      </x:c>
      <x:c r="S60" s="234" t="n">
        <x:v>0.07892401408966443</x:v>
      </x:c>
      <x:c r="T60" s="234" t="inlineStr">
        <x:is>
          <x:t xml:space="preserve">https://github.com/scream314/cicada3301/blob/master/assets/2014/liber-primus-complete/73.jpg</x:t>
        </x:is>
      </x:c>
    </x:row>
    <x:row r="61" s="232" customFormat="1" ht="24" customHeight="1">
      <x:c r="A61" s="234" t="n">
        <x:v>73</x:v>
      </x:c>
      <x:c r="B61" s="234" t="inlineStr">
        <x:is>
          <x:t xml:space="preserve">isolated five-dot target</x:t>
        </x:is>
      </x:c>
      <x:c r="C61" s="234" t="n">
        <x:v>2</x:v>
      </x:c>
      <x:c r="D61" s="234" t="n">
        <x:v>100</x:v>
      </x:c>
      <x:c r="E61" s="234" t="n">
        <x:v>873.245</x:v>
      </x:c>
      <x:c r="F61" s="234" t="n">
        <x:v>2517.003</x:v>
      </x:c>
      <x:c r="G61" s="234" t="n">
        <x:v>3426</x:v>
      </x:c>
      <x:c r="H61" s="234" t="n">
        <x:v>839</x:v>
      </x:c>
      <x:c r="I61" s="234" t="n">
        <x:v>2483</x:v>
      </x:c>
      <x:c r="J61" s="234" t="n">
        <x:v>908</x:v>
      </x:c>
      <x:c r="K61" s="234" t="n">
        <x:v>2551</x:v>
      </x:c>
      <x:c r="L61" s="234" t="n">
        <x:v>70</x:v>
      </x:c>
      <x:c r="M61" s="234" t="n">
        <x:v>69</x:v>
      </x:c>
      <x:c r="N61" s="234" t="inlineStr">
        <x:is>
          <x:t xml:space="preserve">8-connected dark component centroid; new JS baseline-JPEG Y decoder</x:t>
        </x:is>
      </x:c>
      <x:c r="O61" s="234" t="inlineStr">
        <x:is>
          <x:t xml:space="preserve">afa3428764199ddf590baf0c055c8caedc079cb1</x:t>
        </x:is>
      </x:c>
      <x:c r="P61" s="234" t="inlineStr">
        <x:is>
          <x:t xml:space="preserve">[750, 2290, 1020, 620]</x:t>
        </x:is>
      </x:c>
      <x:c r="Q61" s="234" t="n">
        <x:v>0.36385208</x:v>
      </x:c>
      <x:c r="R61" s="234" t="n">
        <x:v>0.6991675000000001</x:v>
      </x:c>
      <x:c r="S61" s="234" t="n">
        <x:v>0.02220360331124342</x:v>
      </x:c>
      <x:c r="T61" s="234" t="inlineStr">
        <x:is>
          <x:t xml:space="preserve">https://github.com/scream314/cicada3301/blob/master/assets/2014/liber-primus-complete/73.jpg</x:t>
        </x:is>
      </x:c>
    </x:row>
    <x:row r="62" s="232" customFormat="1" ht="24" customHeight="1">
      <x:c r="A62" s="234" t="n">
        <x:v>73</x:v>
      </x:c>
      <x:c r="B62" s="234" t="inlineStr">
        <x:is>
          <x:t xml:space="preserve">isolated five-dot target</x:t>
        </x:is>
      </x:c>
      <x:c r="C62" s="234" t="n">
        <x:v>3</x:v>
      </x:c>
      <x:c r="D62" s="234" t="n">
        <x:v>100</x:v>
      </x:c>
      <x:c r="E62" s="234" t="n">
        <x:v>921.155</x:v>
      </x:c>
      <x:c r="F62" s="234" t="n">
        <x:v>2708.109</x:v>
      </x:c>
      <x:c r="G62" s="234" t="n">
        <x:v>3417</x:v>
      </x:c>
      <x:c r="H62" s="234" t="n">
        <x:v>887</x:v>
      </x:c>
      <x:c r="I62" s="234" t="n">
        <x:v>2674</x:v>
      </x:c>
      <x:c r="J62" s="234" t="n">
        <x:v>956</x:v>
      </x:c>
      <x:c r="K62" s="234" t="n">
        <x:v>2742</x:v>
      </x:c>
      <x:c r="L62" s="234" t="n">
        <x:v>70</x:v>
      </x:c>
      <x:c r="M62" s="234" t="n">
        <x:v>69</x:v>
      </x:c>
      <x:c r="N62" s="234" t="inlineStr">
        <x:is>
          <x:t xml:space="preserve">8-connected dark component centroid; new JS baseline-JPEG Y decoder</x:t>
        </x:is>
      </x:c>
      <x:c r="O62" s="234" t="inlineStr">
        <x:is>
          <x:t xml:space="preserve">afa3428764199ddf590baf0c055c8caedc079cb1</x:t>
        </x:is>
      </x:c>
      <x:c r="P62" s="234" t="inlineStr">
        <x:is>
          <x:t xml:space="preserve">[750, 2290, 1020, 620]</x:t>
        </x:is>
      </x:c>
      <x:c r="Q62" s="234" t="n">
        <x:v>0.38381458</x:v>
      </x:c>
      <x:c r="R62" s="234" t="n">
        <x:v>0.7522525</x:v>
      </x:c>
      <x:c r="S62" s="234" t="n">
        <x:v>0.04801041553640522</x:v>
      </x:c>
      <x:c r="T62" s="234" t="inlineStr">
        <x:is>
          <x:t xml:space="preserve">https://github.com/scream314/cicada3301/blob/master/assets/2014/liber-primus-complete/73.jpg</x:t>
        </x:is>
      </x:c>
    </x:row>
    <x:row r="63" s="232" customFormat="1" ht="24" customHeight="1">
      <x:c r="A63" s="234" t="n">
        <x:v>73</x:v>
      </x:c>
      <x:c r="B63" s="234" t="inlineStr">
        <x:is>
          <x:t xml:space="preserve">isolated five-dot target</x:t>
        </x:is>
      </x:c>
      <x:c r="C63" s="234" t="n">
        <x:v>4</x:v>
      </x:c>
      <x:c r="D63" s="234" t="n">
        <x:v>100</x:v>
      </x:c>
      <x:c r="E63" s="234" t="n">
        <x:v>1603.926</x:v>
      </x:c>
      <x:c r="F63" s="234" t="n">
        <x:v>2686.512</x:v>
      </x:c>
      <x:c r="G63" s="234" t="n">
        <x:v>3540</x:v>
      </x:c>
      <x:c r="H63" s="234" t="n">
        <x:v>1570</x:v>
      </x:c>
      <x:c r="I63" s="234" t="n">
        <x:v>2652</x:v>
      </x:c>
      <x:c r="J63" s="234" t="n">
        <x:v>1638</x:v>
      </x:c>
      <x:c r="K63" s="234" t="n">
        <x:v>2721</x:v>
      </x:c>
      <x:c r="L63" s="234" t="n">
        <x:v>69</x:v>
      </x:c>
      <x:c r="M63" s="234" t="n">
        <x:v>70</x:v>
      </x:c>
      <x:c r="N63" s="234" t="inlineStr">
        <x:is>
          <x:t xml:space="preserve">8-connected dark component centroid; new JS baseline-JPEG Y decoder</x:t>
        </x:is>
      </x:c>
      <x:c r="O63" s="234" t="inlineStr">
        <x:is>
          <x:t xml:space="preserve">afa3428764199ddf590baf0c055c8caedc079cb1</x:t>
        </x:is>
      </x:c>
      <x:c r="P63" s="234" t="inlineStr">
        <x:is>
          <x:t xml:space="preserve">[750, 2290, 1020, 620]</x:t>
        </x:is>
      </x:c>
      <x:c r="Q63" s="234" t="n">
        <x:v>0.6683025</x:v>
      </x:c>
      <x:c r="R63" s="234" t="n">
        <x:v>0.74625333</x:v>
      </x:c>
      <x:c r="S63" s="234" t="n">
        <x:v>0.01200000000017099</x:v>
      </x:c>
      <x:c r="T63" s="234" t="inlineStr">
        <x:is>
          <x:t xml:space="preserve">https://github.com/scream314/cicada3301/blob/master/assets/2014/liber-primus-complete/73.jpg</x:t>
        </x:is>
      </x:c>
    </x:row>
    <x:row r="64" s="232" customFormat="1" ht="24" customHeight="1">
      <x:c r="A64" s="234" t="n">
        <x:v>73</x:v>
      </x:c>
      <x:c r="B64" s="234" t="inlineStr">
        <x:is>
          <x:t xml:space="preserve">isolated five-dot target</x:t>
        </x:is>
      </x:c>
      <x:c r="C64" s="234" t="n">
        <x:v>5</x:v>
      </x:c>
      <x:c r="D64" s="234" t="n">
        <x:v>100</x:v>
      </x:c>
      <x:c r="E64" s="234" t="n">
        <x:v>1408.092</x:v>
      </x:c>
      <x:c r="F64" s="234" t="n">
        <x:v>2747.282</x:v>
      </x:c>
      <x:c r="G64" s="234" t="n">
        <x:v>3559</x:v>
      </x:c>
      <x:c r="H64" s="234" t="n">
        <x:v>1374</x:v>
      </x:c>
      <x:c r="I64" s="234" t="n">
        <x:v>2713</x:v>
      </x:c>
      <x:c r="J64" s="234" t="n">
        <x:v>1442</x:v>
      </x:c>
      <x:c r="K64" s="234" t="n">
        <x:v>2782</x:v>
      </x:c>
      <x:c r="L64" s="234" t="n">
        <x:v>69</x:v>
      </x:c>
      <x:c r="M64" s="234" t="n">
        <x:v>70</x:v>
      </x:c>
      <x:c r="N64" s="234" t="inlineStr">
        <x:is>
          <x:t xml:space="preserve">8-connected dark component centroid; new JS baseline-JPEG Y decoder</x:t>
        </x:is>
      </x:c>
      <x:c r="O64" s="234" t="inlineStr">
        <x:is>
          <x:t xml:space="preserve">afa3428764199ddf590baf0c055c8caedc079cb1</x:t>
        </x:is>
      </x:c>
      <x:c r="P64" s="234" t="inlineStr">
        <x:is>
          <x:t xml:space="preserve">[750, 2290, 1020, 620]</x:t>
        </x:is>
      </x:c>
      <x:c r="Q64" s="234" t="n">
        <x:v>0.586705</x:v>
      </x:c>
      <x:c r="R64" s="234" t="n">
        <x:v>0.76313389</x:v>
      </x:c>
      <x:c r="S64" s="234" t="n">
        <x:v>0.0260000000000673</x:v>
      </x:c>
      <x:c r="T64" s="234" t="inlineStr">
        <x:is>
          <x:t xml:space="preserve">https://github.com/scream314/cicada3301/blob/master/assets/2014/liber-primus-complete/73.jpg</x:t>
        </x:is>
      </x:c>
    </x:row>
  </x:sheetData>
  <x:mergeCells>
    <x:mergeCell ref="A1:T1"/>
    <x:mergeCell ref="A2:T2"/>
  </x:mergeCells>
  <x:pageMargins left="0.7" right="0.7" top="0.75" bottom="0.75" header="0.3" footer="0.3"/>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22" style="232" customWidth="1"/>
    <x:col min="2" max="2" width="22" style="232" customWidth="1"/>
    <x:col min="3" max="3" width="24" style="232" customWidth="1"/>
    <x:col min="4" max="4" width="34" style="232" customWidth="1"/>
    <x:col min="5" max="5" width="17" style="232" customWidth="1"/>
    <x:col min="6" max="6" width="19" style="232" customWidth="1"/>
    <x:col min="7" max="7" width="18" style="232" customWidth="1"/>
    <x:col min="8" max="8" width="18" style="232" customWidth="1"/>
    <x:col min="9" max="9" width="18" style="232" customWidth="1"/>
    <x:col min="10" max="10" width="18" style="232" customWidth="1"/>
    <x:col min="11" max="11" width="16" style="232" customWidth="1"/>
    <x:col min="12" max="12" width="16" style="232" customWidth="1"/>
    <x:col min="13" max="13" width="16" style="232" customWidth="1"/>
    <x:col min="14" max="14" width="22" style="232" customWidth="1"/>
    <x:col min="15" max="15" width="18" style="232" customWidth="1"/>
    <x:col min="16" max="16" width="45" style="232" customWidth="1"/>
    <x:col min="17" max="17" width="58" style="232" customWidth="1"/>
  </x:cols>
  <x:sheetData>
    <x:row r="1" s="232" customFormat="1" ht="28" customHeight="1">
      <x:c r="A1" s="315" t="inlineStr">
        <x:is>
          <x:t xml:space="preserve">Auxiliary dot-group controls — v1.2</x:t>
        </x:is>
      </x:c>
      <x:c r="B1" s="1" t="n"/>
      <x:c r="C1" s="1" t="n"/>
      <x:c r="D1" s="1" t="n"/>
      <x:c r="E1" s="1" t="n"/>
      <x:c r="F1" s="1" t="n"/>
      <x:c r="G1" s="1" t="n"/>
      <x:c r="H1" s="1" t="n"/>
      <x:c r="I1" s="1" t="n"/>
      <x:c r="J1" s="1" t="n"/>
      <x:c r="K1" s="1" t="n"/>
      <x:c r="L1" s="1" t="n"/>
      <x:c r="M1" s="1" t="n"/>
      <x:c r="N1" s="1" t="n"/>
      <x:c r="O1" s="1" t="n"/>
      <x:c r="P1" s="1" t="n"/>
      <x:c r="Q1" s="1" t="n"/>
    </x:row>
    <x:row r="2" s="232" customFormat="1" ht="36" customHeight="1">
      <x:c r="A2" s="312" t="inlineStr">
        <x:is>
          <x:t xml:space="preserve">Recorded page-39, page-50/56, and page-57/68 components are copied from v1.1. Derived metrics below use a single documented RMS-normalized signature convention. Equality of stored measurements does not prove pixel-identical source crops.</x:t>
        </x:is>
      </x:c>
      <x:c r="B2" s="1" t="n"/>
      <x:c r="C2" s="1" t="n"/>
      <x:c r="D2" s="1" t="n"/>
      <x:c r="E2" s="1" t="n"/>
      <x:c r="F2" s="1" t="n"/>
      <x:c r="G2" s="1" t="n"/>
      <x:c r="H2" s="1" t="n"/>
      <x:c r="I2" s="1" t="n"/>
      <x:c r="J2" s="1" t="n"/>
      <x:c r="K2" s="1" t="n"/>
      <x:c r="L2" s="1" t="n"/>
      <x:c r="M2" s="1" t="n"/>
      <x:c r="N2" s="1" t="n"/>
      <x:c r="O2" s="1" t="n"/>
      <x:c r="P2" s="1" t="n"/>
      <x:c r="Q2" s="1" t="n"/>
    </x:row>
    <x:row r="4" s="232" customFormat="1" ht="32" customHeight="1">
      <x:c r="A4" s="274" t="inlineStr">
        <x:is>
          <x:t xml:space="preserve">Page</x:t>
        </x:is>
      </x:c>
      <x:c r="B4" s="274" t="inlineStr">
        <x:is>
          <x:t xml:space="preserve">Region/group class</x:t>
        </x:is>
      </x:c>
      <x:c r="C4" s="274" t="inlineStr">
        <x:is>
          <x:t xml:space="preserve">Dot/candidate label</x:t>
        </x:is>
      </x:c>
      <x:c r="D4" s="274" t="inlineStr">
        <x:is>
          <x:t xml:space="preserve">Source Git blob SHA-1</x:t>
        </x:is>
      </x:c>
      <x:c r="E4" s="274" t="inlineStr">
        <x:is>
          <x:t xml:space="preserve">Gray threshold</x:t>
        </x:is>
      </x:c>
      <x:c r="F4" s="274" t="inlineStr">
        <x:is>
          <x:t xml:space="preserve">Centroid X px</x:t>
        </x:is>
      </x:c>
      <x:c r="G4" s="274" t="inlineStr">
        <x:is>
          <x:t xml:space="preserve">Centroid Y px</x:t>
        </x:is>
      </x:c>
      <x:c r="H4" s="274" t="inlineStr">
        <x:is>
          <x:t xml:space="preserve">Area px²</x:t>
        </x:is>
      </x:c>
      <x:c r="I4" s="274" t="inlineStr">
        <x:is>
          <x:t xml:space="preserve">BBox X0</x:t>
        </x:is>
      </x:c>
      <x:c r="J4" s="274" t="inlineStr">
        <x:is>
          <x:t xml:space="preserve">BBox Y0</x:t>
        </x:is>
      </x:c>
      <x:c r="K4" s="274" t="inlineStr">
        <x:is>
          <x:t xml:space="preserve">BBox X1</x:t>
        </x:is>
      </x:c>
      <x:c r="L4" s="274" t="inlineStr">
        <x:is>
          <x:t xml:space="preserve">BBox Y1</x:t>
        </x:is>
      </x:c>
      <x:c r="M4" s="274" t="inlineStr">
        <x:is>
          <x:t xml:space="preserve">BBox width px</x:t>
        </x:is>
      </x:c>
      <x:c r="N4" s="274" t="inlineStr">
        <x:is>
          <x:t xml:space="preserve">BBox height px</x:t>
        </x:is>
      </x:c>
      <x:c r="O4" s="274" t="inlineStr">
        <x:is>
          <x:t xml:space="preserve">Fill ratio</x:t>
        </x:is>
      </x:c>
      <x:c r="P4" s="274" t="inlineStr">
        <x:is>
          <x:t xml:space="preserve">Classification / note</x:t>
        </x:is>
      </x:c>
      <x:c r="Q4" s="274" t="inlineStr">
        <x:is>
          <x:t xml:space="preserve">Original source URL</x:t>
        </x:is>
      </x:c>
    </x:row>
    <x:row r="5">
      <x:c r="A5" s="233" t="n">
        <x:v>50</x:v>
      </x:c>
      <x:c r="B5" s="233" t="inlineStr">
        <x:is>
          <x:t xml:space="preserve">three-dot horizontal row</x:t>
        </x:is>
      </x:c>
      <x:c r="C5" s="233" t="inlineStr">
        <x:is>
          <x:t xml:space="preserve">dot_1</x:t>
        </x:is>
      </x:c>
      <x:c r="D5" s="233" t="inlineStr">
        <x:is>
          <x:t xml:space="preserve">68d3e28d8c4161fdfe91a542f5bac8e276bc441e</x:t>
        </x:is>
      </x:c>
      <x:c r="E5" s="233" t="n">
        <x:v>60</x:v>
      </x:c>
      <x:c r="F5" s="233" t="n">
        <x:v>766.221</x:v>
      </x:c>
      <x:c r="G5" s="233" t="n">
        <x:v>1743.931</x:v>
      </x:c>
      <x:c r="H5" s="233" t="n">
        <x:v>3407</x:v>
      </x:c>
      <x:c r="I5" s="233" t="n">
        <x:v>732</x:v>
      </x:c>
      <x:c r="J5" s="233" t="n">
        <x:v>1710</x:v>
      </x:c>
      <x:c r="K5" s="233" t="n">
        <x:v>801</x:v>
      </x:c>
      <x:c r="L5" s="233" t="n">
        <x:v>1778</x:v>
      </x:c>
      <x:c r="M5" s="233" t="n">
        <x:v>70</x:v>
      </x:c>
      <x:c r="N5" s="233" t="n">
        <x:v>69</x:v>
      </x:c>
      <x:c r="O5" s="233" t="n">
        <x:v>0.705</x:v>
      </x:c>
      <x:c r="P5" s="233" t="inlineStr">
        <x:is>
          <x:t xml:space="preserve">Threshold-60 component; point order is left-to-right.</x:t>
        </x:is>
      </x:c>
      <x:c r="Q5" s="233" t="inlineStr">
        <x:is>
          <x:t xml:space="preserve">https://github.com/scream314/cicada3301/blob/master/assets/2014/liber-primus-complete/50.jpg</x:t>
        </x:is>
      </x:c>
    </x:row>
    <x:row r="6">
      <x:c r="A6" s="233" t="n">
        <x:v>50</x:v>
      </x:c>
      <x:c r="B6" s="233" t="inlineStr">
        <x:is>
          <x:t xml:space="preserve">three-dot horizontal row</x:t>
        </x:is>
      </x:c>
      <x:c r="C6" s="233" t="inlineStr">
        <x:is>
          <x:t xml:space="preserve">dot_2</x:t>
        </x:is>
      </x:c>
      <x:c r="D6" s="233" t="inlineStr">
        <x:is>
          <x:t xml:space="preserve">68d3e28d8c4161fdfe91a542f5bac8e276bc441e</x:t>
        </x:is>
      </x:c>
      <x:c r="E6" s="233" t="n">
        <x:v>60</x:v>
      </x:c>
      <x:c r="F6" s="233" t="n">
        <x:v>1183.846</x:v>
      </x:c>
      <x:c r="G6" s="233" t="n">
        <x:v>1743.939</x:v>
      </x:c>
      <x:c r="H6" s="233" t="n">
        <x:v>3406</x:v>
      </x:c>
      <x:c r="I6" s="233" t="n">
        <x:v>1149</x:v>
      </x:c>
      <x:c r="J6" s="233" t="n">
        <x:v>1710</x:v>
      </x:c>
      <x:c r="K6" s="233" t="n">
        <x:v>1218</x:v>
      </x:c>
      <x:c r="L6" s="233" t="n">
        <x:v>1778</x:v>
      </x:c>
      <x:c r="M6" s="233" t="n">
        <x:v>70</x:v>
      </x:c>
      <x:c r="N6" s="233" t="n">
        <x:v>69</x:v>
      </x:c>
      <x:c r="O6" s="233" t="n">
        <x:v>0.705</x:v>
      </x:c>
      <x:c r="P6" s="233" t="inlineStr">
        <x:is>
          <x:t xml:space="preserve">Threshold-60 component; point order is left-to-right.</x:t>
        </x:is>
      </x:c>
      <x:c r="Q6" s="233" t="inlineStr">
        <x:is>
          <x:t xml:space="preserve">https://github.com/scream314/cicada3301/blob/master/assets/2014/liber-primus-complete/50.jpg</x:t>
        </x:is>
      </x:c>
    </x:row>
    <x:row r="7">
      <x:c r="A7" s="233" t="n">
        <x:v>50</x:v>
      </x:c>
      <x:c r="B7" s="233" t="inlineStr">
        <x:is>
          <x:t xml:space="preserve">three-dot horizontal row</x:t>
        </x:is>
      </x:c>
      <x:c r="C7" s="233" t="inlineStr">
        <x:is>
          <x:t xml:space="preserve">dot_3</x:t>
        </x:is>
      </x:c>
      <x:c r="D7" s="233" t="inlineStr">
        <x:is>
          <x:t xml:space="preserve">68d3e28d8c4161fdfe91a542f5bac8e276bc441e</x:t>
        </x:is>
      </x:c>
      <x:c r="E7" s="233" t="n">
        <x:v>60</x:v>
      </x:c>
      <x:c r="F7" s="233" t="n">
        <x:v>1662</x:v>
      </x:c>
      <x:c r="G7" s="233" t="n">
        <x:v>1743.939</x:v>
      </x:c>
      <x:c r="H7" s="233" t="n">
        <x:v>3405</x:v>
      </x:c>
      <x:c r="I7" s="233" t="n">
        <x:v>1628</x:v>
      </x:c>
      <x:c r="J7" s="233" t="n">
        <x:v>1710</x:v>
      </x:c>
      <x:c r="K7" s="233" t="n">
        <x:v>1696</x:v>
      </x:c>
      <x:c r="L7" s="233" t="n">
        <x:v>1778</x:v>
      </x:c>
      <x:c r="M7" s="233" t="n">
        <x:v>69</x:v>
      </x:c>
      <x:c r="N7" s="233" t="n">
        <x:v>69</x:v>
      </x:c>
      <x:c r="O7" s="233" t="n">
        <x:v>0.715</x:v>
      </x:c>
      <x:c r="P7" s="233" t="inlineStr">
        <x:is>
          <x:t xml:space="preserve">Threshold-60 component; point order is left-to-right.</x:t>
        </x:is>
      </x:c>
      <x:c r="Q7" s="233" t="inlineStr">
        <x:is>
          <x:t xml:space="preserve">https://github.com/scream314/cicada3301/blob/master/assets/2014/liber-primus-complete/50.jpg</x:t>
        </x:is>
      </x:c>
    </x:row>
    <x:row r="8">
      <x:c r="A8" s="233" t="n">
        <x:v>56</x:v>
      </x:c>
      <x:c r="B8" s="233" t="inlineStr">
        <x:is>
          <x:t xml:space="preserve">three-dot horizontal row</x:t>
        </x:is>
      </x:c>
      <x:c r="C8" s="233" t="inlineStr">
        <x:is>
          <x:t xml:space="preserve">dot_1</x:t>
        </x:is>
      </x:c>
      <x:c r="D8" s="233" t="inlineStr">
        <x:is>
          <x:t xml:space="preserve">819261c833837cbaa2bd200d210ca299d79031f3</x:t>
        </x:is>
      </x:c>
      <x:c r="E8" s="233" t="n">
        <x:v>60</x:v>
      </x:c>
      <x:c r="F8" s="233" t="n">
        <x:v>1297.5</x:v>
      </x:c>
      <x:c r="G8" s="233" t="n">
        <x:v>1693</x:v>
      </x:c>
      <x:c r="H8" s="233" t="n">
        <x:v>752</x:v>
      </x:c>
      <x:c r="I8" s="233" t="n">
        <x:v>1282</x:v>
      </x:c>
      <x:c r="J8" s="233" t="n">
        <x:v>1677</x:v>
      </x:c>
      <x:c r="K8" s="233" t="n">
        <x:v>1313</x:v>
      </x:c>
      <x:c r="L8" s="233" t="n">
        <x:v>1709</x:v>
      </x:c>
      <x:c r="M8" s="233" t="n">
        <x:v>32</x:v>
      </x:c>
      <x:c r="N8" s="233" t="n">
        <x:v>33</x:v>
      </x:c>
      <x:c r="O8" s="233" t="n">
        <x:v>0.712</x:v>
      </x:c>
      <x:c r="P8" s="233" t="inlineStr">
        <x:is>
          <x:t xml:space="preserve">Threshold-60 component; point order is left-to-right.</x:t>
        </x:is>
      </x:c>
      <x:c r="Q8" s="233" t="inlineStr">
        <x:is>
          <x:t xml:space="preserve">https://github.com/scream314/cicada3301/blob/master/assets/2014/liber-primus-complete/56.jpg</x:t>
        </x:is>
      </x:c>
    </x:row>
    <x:row r="9">
      <x:c r="A9" s="233" t="n">
        <x:v>56</x:v>
      </x:c>
      <x:c r="B9" s="233" t="inlineStr">
        <x:is>
          <x:t xml:space="preserve">three-dot horizontal row</x:t>
        </x:is>
      </x:c>
      <x:c r="C9" s="233" t="inlineStr">
        <x:is>
          <x:t xml:space="preserve">dot_2</x:t>
        </x:is>
      </x:c>
      <x:c r="D9" s="233" t="inlineStr">
        <x:is>
          <x:t xml:space="preserve">819261c833837cbaa2bd200d210ca299d79031f3</x:t>
        </x:is>
      </x:c>
      <x:c r="E9" s="233" t="n">
        <x:v>60</x:v>
      </x:c>
      <x:c r="F9" s="233" t="n">
        <x:v>1493.5</x:v>
      </x:c>
      <x:c r="G9" s="233" t="n">
        <x:v>1693</x:v>
      </x:c>
      <x:c r="H9" s="233" t="n">
        <x:v>752</x:v>
      </x:c>
      <x:c r="I9" s="233" t="n">
        <x:v>1478</x:v>
      </x:c>
      <x:c r="J9" s="233" t="n">
        <x:v>1677</x:v>
      </x:c>
      <x:c r="K9" s="233" t="n">
        <x:v>1509</x:v>
      </x:c>
      <x:c r="L9" s="233" t="n">
        <x:v>1709</x:v>
      </x:c>
      <x:c r="M9" s="233" t="n">
        <x:v>32</x:v>
      </x:c>
      <x:c r="N9" s="233" t="n">
        <x:v>33</x:v>
      </x:c>
      <x:c r="O9" s="233" t="n">
        <x:v>0.712</x:v>
      </x:c>
      <x:c r="P9" s="233" t="inlineStr">
        <x:is>
          <x:t xml:space="preserve">Threshold-60 component; point order is left-to-right.</x:t>
        </x:is>
      </x:c>
      <x:c r="Q9" s="233" t="inlineStr">
        <x:is>
          <x:t xml:space="preserve">https://github.com/scream314/cicada3301/blob/master/assets/2014/liber-primus-complete/56.jpg</x:t>
        </x:is>
      </x:c>
    </x:row>
    <x:row r="10">
      <x:c r="A10" s="233" t="n">
        <x:v>56</x:v>
      </x:c>
      <x:c r="B10" s="233" t="inlineStr">
        <x:is>
          <x:t xml:space="preserve">three-dot horizontal row</x:t>
        </x:is>
      </x:c>
      <x:c r="C10" s="233" t="inlineStr">
        <x:is>
          <x:t xml:space="preserve">dot_3</x:t>
        </x:is>
      </x:c>
      <x:c r="D10" s="233" t="inlineStr">
        <x:is>
          <x:t xml:space="preserve">819261c833837cbaa2bd200d210ca299d79031f3</x:t>
        </x:is>
      </x:c>
      <x:c r="E10" s="233" t="n">
        <x:v>60</x:v>
      </x:c>
      <x:c r="F10" s="233" t="n">
        <x:v>1718.01</x:v>
      </x:c>
      <x:c r="G10" s="233" t="n">
        <x:v>1693</x:v>
      </x:c>
      <x:c r="H10" s="233" t="n">
        <x:v>781</x:v>
      </x:c>
      <x:c r="I10" s="233" t="n">
        <x:v>1702</x:v>
      </x:c>
      <x:c r="J10" s="233" t="n">
        <x:v>1677</x:v>
      </x:c>
      <x:c r="K10" s="233" t="n">
        <x:v>1734</x:v>
      </x:c>
      <x:c r="L10" s="233" t="n">
        <x:v>1709</x:v>
      </x:c>
      <x:c r="M10" s="233" t="n">
        <x:v>33</x:v>
      </x:c>
      <x:c r="N10" s="233" t="n">
        <x:v>33</x:v>
      </x:c>
      <x:c r="O10" s="233" t="n">
        <x:v>0.717</x:v>
      </x:c>
      <x:c r="P10" s="233" t="inlineStr">
        <x:is>
          <x:t xml:space="preserve">Threshold-60 component; point order is left-to-right.</x:t>
        </x:is>
      </x:c>
      <x:c r="Q10" s="233" t="inlineStr">
        <x:is>
          <x:t xml:space="preserve">https://github.com/scream314/cicada3301/blob/master/assets/2014/liber-primus-complete/56.jpg</x:t>
        </x:is>
      </x:c>
    </x:row>
    <x:row r="11">
      <x:c r="A11" s="233" t="n">
        <x:v>57</x:v>
      </x:c>
      <x:c r="B11" s="233" t="inlineStr">
        <x:is>
          <x:t xml:space="preserve">plant-side right five-dot group</x:t>
        </x:is>
      </x:c>
      <x:c r="C11" s="233" t="inlineStr">
        <x:is>
          <x:t xml:space="preserve">label_1</x:t>
        </x:is>
      </x:c>
      <x:c r="D11" s="233" t="inlineStr">
        <x:is>
          <x:t xml:space="preserve">83f661b6107587c5d153d6dea3f6bf03090a70bc</x:t>
        </x:is>
      </x:c>
      <x:c r="E11" s="233" t="n">
        <x:v>60</x:v>
      </x:c>
      <x:c r="F11" s="233" t="n">
        <x:v>2003.38</x:v>
      </x:c>
      <x:c r="G11" s="233" t="n">
        <x:v>1476.1</x:v>
      </x:c>
      <x:c r="H11" s="233" t="n">
        <x:v>400</x:v>
      </x:c>
      <x:c r="I11" s="233" t="n">
        <x:v>1993</x:v>
      </x:c>
      <x:c r="J11" s="233" t="n">
        <x:v>1464</x:v>
      </x:c>
      <x:c r="K11" s="233" t="n">
        <x:v>2014</x:v>
      </x:c>
      <x:c r="L11" s="233" t="n">
        <x:v>1487</x:v>
      </x:c>
      <x:c r="M11" s="233" t="n">
        <x:v>22</x:v>
      </x:c>
      <x:c r="N11" s="233" t="n">
        <x:v>24</x:v>
      </x:c>
      <x:c r="O11" s="233" t="n">
        <x:v>0.758</x:v>
      </x:c>
      <x:c r="P11" s="233" t="inlineStr">
        <x:is>
          <x:t xml:space="preserve">Five components recovered; coordinates, bbox and component areas match counterpart page at emitted precision.</x:t>
        </x:is>
      </x:c>
      <x:c r="Q11" s="233" t="inlineStr">
        <x:is>
          <x:t xml:space="preserve">https://github.com/scream314/cicada3301/blob/master/assets/2014/liber-primus-complete/57.jpg</x:t>
        </x:is>
      </x:c>
    </x:row>
    <x:row r="12">
      <x:c r="A12" s="233" t="n">
        <x:v>57</x:v>
      </x:c>
      <x:c r="B12" s="233" t="inlineStr">
        <x:is>
          <x:t xml:space="preserve">plant-side right five-dot group</x:t>
        </x:is>
      </x:c>
      <x:c r="C12" s="233" t="inlineStr">
        <x:is>
          <x:t xml:space="preserve">label_2</x:t>
        </x:is>
      </x:c>
      <x:c r="D12" s="233" t="inlineStr">
        <x:is>
          <x:t xml:space="preserve">83f661b6107587c5d153d6dea3f6bf03090a70bc</x:t>
        </x:is>
      </x:c>
      <x:c r="E12" s="233" t="n">
        <x:v>60</x:v>
      </x:c>
      <x:c r="F12" s="233" t="n">
        <x:v>1975.021</x:v>
      </x:c>
      <x:c r="G12" s="233" t="n">
        <x:v>1498.808</x:v>
      </x:c>
      <x:c r="H12" s="233" t="n">
        <x:v>468</x:v>
      </x:c>
      <x:c r="I12" s="233" t="n">
        <x:v>1963</x:v>
      </x:c>
      <x:c r="J12" s="233" t="n">
        <x:v>1486</x:v>
      </x:c>
      <x:c r="K12" s="233" t="n">
        <x:v>1986</x:v>
      </x:c>
      <x:c r="L12" s="233" t="n">
        <x:v>1511</x:v>
      </x:c>
      <x:c r="M12" s="233" t="n">
        <x:v>24</x:v>
      </x:c>
      <x:c r="N12" s="233" t="n">
        <x:v>26</x:v>
      </x:c>
      <x:c r="O12" s="233" t="n">
        <x:v>0.75</x:v>
      </x:c>
      <x:c r="P12" s="233" t="inlineStr">
        <x:is>
          <x:t xml:space="preserve">Five components recovered; coordinates, bbox and component areas match counterpart page at emitted precision.</x:t>
        </x:is>
      </x:c>
      <x:c r="Q12" s="233" t="inlineStr">
        <x:is>
          <x:t xml:space="preserve">https://github.com/scream314/cicada3301/blob/master/assets/2014/liber-primus-complete/57.jpg</x:t>
        </x:is>
      </x:c>
    </x:row>
    <x:row r="13">
      <x:c r="A13" s="233" t="n">
        <x:v>57</x:v>
      </x:c>
      <x:c r="B13" s="233" t="inlineStr">
        <x:is>
          <x:t xml:space="preserve">plant-side right five-dot group</x:t>
        </x:is>
      </x:c>
      <x:c r="C13" s="233" t="inlineStr">
        <x:is>
          <x:t xml:space="preserve">label_3</x:t>
        </x:is>
      </x:c>
      <x:c r="D13" s="233" t="inlineStr">
        <x:is>
          <x:t xml:space="preserve">83f661b6107587c5d153d6dea3f6bf03090a70bc</x:t>
        </x:is>
      </x:c>
      <x:c r="E13" s="233" t="n">
        <x:v>60</x:v>
      </x:c>
      <x:c r="F13" s="233" t="n">
        <x:v>2032.845</x:v>
      </x:c>
      <x:c r="G13" s="233" t="n">
        <x:v>1497.394</x:v>
      </x:c>
      <x:c r="H13" s="233" t="n">
        <x:v>431</x:v>
      </x:c>
      <x:c r="I13" s="233" t="n">
        <x:v>2021</x:v>
      </x:c>
      <x:c r="J13" s="233" t="n">
        <x:v>1486</x:v>
      </x:c>
      <x:c r="K13" s="233" t="n">
        <x:v>2044</x:v>
      </x:c>
      <x:c r="L13" s="233" t="n">
        <x:v>1509</x:v>
      </x:c>
      <x:c r="M13" s="233" t="n">
        <x:v>24</x:v>
      </x:c>
      <x:c r="N13" s="233" t="n">
        <x:v>24</x:v>
      </x:c>
      <x:c r="O13" s="233" t="n">
        <x:v>0.748</x:v>
      </x:c>
      <x:c r="P13" s="233" t="inlineStr">
        <x:is>
          <x:t xml:space="preserve">Five components recovered; coordinates, bbox and component areas match counterpart page at emitted precision.</x:t>
        </x:is>
      </x:c>
      <x:c r="Q13" s="233" t="inlineStr">
        <x:is>
          <x:t xml:space="preserve">https://github.com/scream314/cicada3301/blob/master/assets/2014/liber-primus-complete/57.jpg</x:t>
        </x:is>
      </x:c>
    </x:row>
    <x:row r="14">
      <x:c r="A14" s="233" t="n">
        <x:v>57</x:v>
      </x:c>
      <x:c r="B14" s="233" t="inlineStr">
        <x:is>
          <x:t xml:space="preserve">plant-side right five-dot group</x:t>
        </x:is>
      </x:c>
      <x:c r="C14" s="233" t="inlineStr">
        <x:is>
          <x:t xml:space="preserve">label_4</x:t>
        </x:is>
      </x:c>
      <x:c r="D14" s="233" t="inlineStr">
        <x:is>
          <x:t xml:space="preserve">83f661b6107587c5d153d6dea3f6bf03090a70bc</x:t>
        </x:is>
      </x:c>
      <x:c r="E14" s="233" t="n">
        <x:v>60</x:v>
      </x:c>
      <x:c r="F14" s="233" t="n">
        <x:v>1979.562</x:v>
      </x:c>
      <x:c r="G14" s="233" t="n">
        <x:v>1533.24</x:v>
      </x:c>
      <x:c r="H14" s="233" t="n">
        <x:v>338</x:v>
      </x:c>
      <x:c r="I14" s="233" t="n">
        <x:v>1969</x:v>
      </x:c>
      <x:c r="J14" s="233" t="n">
        <x:v>1524</x:v>
      </x:c>
      <x:c r="K14" s="233" t="n">
        <x:v>1990</x:v>
      </x:c>
      <x:c r="L14" s="233" t="n">
        <x:v>1544</x:v>
      </x:c>
      <x:c r="M14" s="233" t="n">
        <x:v>22</x:v>
      </x:c>
      <x:c r="N14" s="233" t="n">
        <x:v>21</x:v>
      </x:c>
      <x:c r="O14" s="233" t="n">
        <x:v>0.732</x:v>
      </x:c>
      <x:c r="P14" s="233" t="inlineStr">
        <x:is>
          <x:t xml:space="preserve">Five components recovered; coordinates, bbox and component areas match counterpart page at emitted precision.</x:t>
        </x:is>
      </x:c>
      <x:c r="Q14" s="233" t="inlineStr">
        <x:is>
          <x:t xml:space="preserve">https://github.com/scream314/cicada3301/blob/master/assets/2014/liber-primus-complete/57.jpg</x:t>
        </x:is>
      </x:c>
    </x:row>
    <x:row r="15">
      <x:c r="A15" s="233" t="n">
        <x:v>57</x:v>
      </x:c>
      <x:c r="B15" s="233" t="inlineStr">
        <x:is>
          <x:t xml:space="preserve">plant-side right five-dot group</x:t>
        </x:is>
      </x:c>
      <x:c r="C15" s="233" t="inlineStr">
        <x:is>
          <x:t xml:space="preserve">label_5</x:t>
        </x:is>
      </x:c>
      <x:c r="D15" s="233" t="inlineStr">
        <x:is>
          <x:t xml:space="preserve">83f661b6107587c5d153d6dea3f6bf03090a70bc</x:t>
        </x:is>
      </x:c>
      <x:c r="E15" s="233" t="n">
        <x:v>60</x:v>
      </x:c>
      <x:c r="F15" s="233" t="n">
        <x:v>2019.523</x:v>
      </x:c>
      <x:c r="G15" s="233" t="n">
        <x:v>1539.869</x:v>
      </x:c>
      <x:c r="H15" s="233" t="n">
        <x:v>350</x:v>
      </x:c>
      <x:c r="I15" s="233" t="n">
        <x:v>2011</x:v>
      </x:c>
      <x:c r="J15" s="233" t="n">
        <x:v>1528</x:v>
      </x:c>
      <x:c r="K15" s="233" t="n">
        <x:v>2028</x:v>
      </x:c>
      <x:c r="L15" s="233" t="n">
        <x:v>1550</x:v>
      </x:c>
      <x:c r="M15" s="233" t="n">
        <x:v>18</x:v>
      </x:c>
      <x:c r="N15" s="233" t="n">
        <x:v>23</x:v>
      </x:c>
      <x:c r="O15" s="233" t="n">
        <x:v>0.845</x:v>
      </x:c>
      <x:c r="P15" s="233" t="inlineStr">
        <x:is>
          <x:t xml:space="preserve">Five components recovered; coordinates, bbox and component areas match counterpart page at emitted precision.</x:t>
        </x:is>
      </x:c>
      <x:c r="Q15" s="233" t="inlineStr">
        <x:is>
          <x:t xml:space="preserve">https://github.com/scream314/cicada3301/blob/master/assets/2014/liber-primus-complete/57.jpg</x:t>
        </x:is>
      </x:c>
    </x:row>
    <x:row r="16">
      <x:c r="A16" s="233" t="n">
        <x:v>57</x:v>
      </x:c>
      <x:c r="B16" s="233" t="inlineStr">
        <x:is>
          <x:t xml:space="preserve">plant-side left ROI — incomplete</x:t>
        </x:is>
      </x:c>
      <x:c r="C16" s="233" t="inlineStr">
        <x:is>
          <x:t xml:space="preserve">left_candidate_A</x:t>
        </x:is>
      </x:c>
      <x:c r="D16" s="233" t="inlineStr">
        <x:is>
          <x:t xml:space="preserve">83f661b6107587c5d153d6dea3f6bf03090a70bc</x:t>
        </x:is>
      </x:c>
      <x:c r="E16" s="233" t="n">
        <x:v>60</x:v>
      </x:c>
      <x:c r="F16" s="233" t="n">
        <x:v>366.155</x:v>
      </x:c>
      <x:c r="G16" s="233" t="n">
        <x:v>1497.394</x:v>
      </x:c>
      <x:c r="H16" s="233" t="n">
        <x:v>431</x:v>
      </x:c>
      <x:c r="I16" s="233" t="n">
        <x:v>355</x:v>
      </x:c>
      <x:c r="J16" s="233" t="n">
        <x:v>1486</x:v>
      </x:c>
      <x:c r="K16" s="233" t="n">
        <x:v>378</x:v>
      </x:c>
      <x:c r="L16" s="233" t="n">
        <x:v>1509</x:v>
      </x:c>
      <x:c r="M16" s="233" t="n">
        <x:v>24</x:v>
      </x:c>
      <x:c r="N16" s="233" t="n">
        <x:v>24</x:v>
      </x:c>
      <x:c r="O16" s="233" t="n">
        <x:v>0.748</x:v>
      </x:c>
      <x:c r="P16" s="233" t="inlineStr">
        <x:is>
          <x:t xml:space="preserve">Only 3 components met this crop's filters; incomplete detection, not a complete cluster measurement.</x:t>
        </x:is>
      </x:c>
      <x:c r="Q16" s="233" t="inlineStr">
        <x:is>
          <x:t xml:space="preserve">https://github.com/scream314/cicada3301/blob/master/assets/2014/liber-primus-complete/57.jpg</x:t>
        </x:is>
      </x:c>
    </x:row>
    <x:row r="17">
      <x:c r="A17" s="233" t="n">
        <x:v>57</x:v>
      </x:c>
      <x:c r="B17" s="233" t="inlineStr">
        <x:is>
          <x:t xml:space="preserve">plant-side left ROI — incomplete</x:t>
        </x:is>
      </x:c>
      <x:c r="C17" s="233" t="inlineStr">
        <x:is>
          <x:t xml:space="preserve">left_candidate_B</x:t>
        </x:is>
      </x:c>
      <x:c r="D17" s="233" t="inlineStr">
        <x:is>
          <x:t xml:space="preserve">83f661b6107587c5d153d6dea3f6bf03090a70bc</x:t>
        </x:is>
      </x:c>
      <x:c r="E17" s="233" t="n">
        <x:v>60</x:v>
      </x:c>
      <x:c r="F17" s="233" t="n">
        <x:v>423.979</x:v>
      </x:c>
      <x:c r="G17" s="233" t="n">
        <x:v>1498.808</x:v>
      </x:c>
      <x:c r="H17" s="233" t="n">
        <x:v>468</x:v>
      </x:c>
      <x:c r="I17" s="233" t="n">
        <x:v>413</x:v>
      </x:c>
      <x:c r="J17" s="233" t="n">
        <x:v>1486</x:v>
      </x:c>
      <x:c r="K17" s="233" t="n">
        <x:v>436</x:v>
      </x:c>
      <x:c r="L17" s="233" t="n">
        <x:v>1511</x:v>
      </x:c>
      <x:c r="M17" s="233" t="n">
        <x:v>24</x:v>
      </x:c>
      <x:c r="N17" s="233" t="n">
        <x:v>26</x:v>
      </x:c>
      <x:c r="O17" s="233" t="n">
        <x:v>0.75</x:v>
      </x:c>
      <x:c r="P17" s="233" t="inlineStr">
        <x:is>
          <x:t xml:space="preserve">Only 3 components met this crop's filters; incomplete detection, not a complete cluster measurement.</x:t>
        </x:is>
      </x:c>
      <x:c r="Q17" s="233" t="inlineStr">
        <x:is>
          <x:t xml:space="preserve">https://github.com/scream314/cicada3301/blob/master/assets/2014/liber-primus-complete/57.jpg</x:t>
        </x:is>
      </x:c>
    </x:row>
    <x:row r="18">
      <x:c r="A18" s="233" t="n">
        <x:v>57</x:v>
      </x:c>
      <x:c r="B18" s="233" t="inlineStr">
        <x:is>
          <x:t xml:space="preserve">plant-side left ROI — incomplete</x:t>
        </x:is>
      </x:c>
      <x:c r="C18" s="233" t="inlineStr">
        <x:is>
          <x:t xml:space="preserve">left_candidate_C</x:t>
        </x:is>
      </x:c>
      <x:c r="D18" s="233" t="inlineStr">
        <x:is>
          <x:t xml:space="preserve">83f661b6107587c5d153d6dea3f6bf03090a70bc</x:t>
        </x:is>
      </x:c>
      <x:c r="E18" s="233" t="n">
        <x:v>60</x:v>
      </x:c>
      <x:c r="F18" s="233" t="n">
        <x:v>419.438</x:v>
      </x:c>
      <x:c r="G18" s="233" t="n">
        <x:v>1533.24</x:v>
      </x:c>
      <x:c r="H18" s="233" t="n">
        <x:v>338</x:v>
      </x:c>
      <x:c r="I18" s="233" t="n">
        <x:v>409</x:v>
      </x:c>
      <x:c r="J18" s="233" t="n">
        <x:v>1524</x:v>
      </x:c>
      <x:c r="K18" s="233" t="n">
        <x:v>430</x:v>
      </x:c>
      <x:c r="L18" s="233" t="n">
        <x:v>1544</x:v>
      </x:c>
      <x:c r="M18" s="233" t="n">
        <x:v>22</x:v>
      </x:c>
      <x:c r="N18" s="233" t="n">
        <x:v>21</x:v>
      </x:c>
      <x:c r="O18" s="233" t="n">
        <x:v>0.732</x:v>
      </x:c>
      <x:c r="P18" s="233" t="inlineStr">
        <x:is>
          <x:t xml:space="preserve">Only 3 components met this crop's filters; incomplete detection, not a complete cluster measurement.</x:t>
        </x:is>
      </x:c>
      <x:c r="Q18" s="233" t="inlineStr">
        <x:is>
          <x:t xml:space="preserve">https://github.com/scream314/cicada3301/blob/master/assets/2014/liber-primus-complete/57.jpg</x:t>
        </x:is>
      </x:c>
    </x:row>
    <x:row r="19">
      <x:c r="A19" s="233" t="n">
        <x:v>68</x:v>
      </x:c>
      <x:c r="B19" s="233" t="inlineStr">
        <x:is>
          <x:t xml:space="preserve">plant-side right five-dot group</x:t>
        </x:is>
      </x:c>
      <x:c r="C19" s="233" t="inlineStr">
        <x:is>
          <x:t xml:space="preserve">label_1</x:t>
        </x:is>
      </x:c>
      <x:c r="D19" s="233" t="inlineStr">
        <x:is>
          <x:t xml:space="preserve">701e47789abf4401d61420ff938c2b72aa03ad2c</x:t>
        </x:is>
      </x:c>
      <x:c r="E19" s="233" t="n">
        <x:v>60</x:v>
      </x:c>
      <x:c r="F19" s="233" t="n">
        <x:v>2003.38</x:v>
      </x:c>
      <x:c r="G19" s="233" t="n">
        <x:v>1476.1</x:v>
      </x:c>
      <x:c r="H19" s="233" t="n">
        <x:v>400</x:v>
      </x:c>
      <x:c r="I19" s="233" t="n">
        <x:v>1993</x:v>
      </x:c>
      <x:c r="J19" s="233" t="n">
        <x:v>1464</x:v>
      </x:c>
      <x:c r="K19" s="233" t="n">
        <x:v>2014</x:v>
      </x:c>
      <x:c r="L19" s="233" t="n">
        <x:v>1487</x:v>
      </x:c>
      <x:c r="M19" s="233" t="n">
        <x:v>22</x:v>
      </x:c>
      <x:c r="N19" s="233" t="n">
        <x:v>24</x:v>
      </x:c>
      <x:c r="O19" s="233" t="n">
        <x:v>0.758</x:v>
      </x:c>
      <x:c r="P19" s="233" t="inlineStr">
        <x:is>
          <x:t xml:space="preserve">Five components recovered; coordinates, bbox and component areas match counterpart page at emitted precision.</x:t>
        </x:is>
      </x:c>
      <x:c r="Q19" s="233" t="inlineStr">
        <x:is>
          <x:t xml:space="preserve">https://github.com/scream314/cicada3301/blob/master/assets/2014/liber-primus-complete/68.jpg</x:t>
        </x:is>
      </x:c>
    </x:row>
    <x:row r="20">
      <x:c r="A20" s="233" t="n">
        <x:v>68</x:v>
      </x:c>
      <x:c r="B20" s="233" t="inlineStr">
        <x:is>
          <x:t xml:space="preserve">plant-side right five-dot group</x:t>
        </x:is>
      </x:c>
      <x:c r="C20" s="233" t="inlineStr">
        <x:is>
          <x:t xml:space="preserve">label_2</x:t>
        </x:is>
      </x:c>
      <x:c r="D20" s="233" t="inlineStr">
        <x:is>
          <x:t xml:space="preserve">701e47789abf4401d61420ff938c2b72aa03ad2c</x:t>
        </x:is>
      </x:c>
      <x:c r="E20" s="233" t="n">
        <x:v>60</x:v>
      </x:c>
      <x:c r="F20" s="233" t="n">
        <x:v>1975.021</x:v>
      </x:c>
      <x:c r="G20" s="233" t="n">
        <x:v>1498.808</x:v>
      </x:c>
      <x:c r="H20" s="233" t="n">
        <x:v>468</x:v>
      </x:c>
      <x:c r="I20" s="233" t="n">
        <x:v>1963</x:v>
      </x:c>
      <x:c r="J20" s="233" t="n">
        <x:v>1486</x:v>
      </x:c>
      <x:c r="K20" s="233" t="n">
        <x:v>1986</x:v>
      </x:c>
      <x:c r="L20" s="233" t="n">
        <x:v>1511</x:v>
      </x:c>
      <x:c r="M20" s="233" t="n">
        <x:v>24</x:v>
      </x:c>
      <x:c r="N20" s="233" t="n">
        <x:v>26</x:v>
      </x:c>
      <x:c r="O20" s="233" t="n">
        <x:v>0.75</x:v>
      </x:c>
      <x:c r="P20" s="233" t="inlineStr">
        <x:is>
          <x:t xml:space="preserve">Five components recovered; coordinates, bbox and component areas match counterpart page at emitted precision.</x:t>
        </x:is>
      </x:c>
      <x:c r="Q20" s="233" t="inlineStr">
        <x:is>
          <x:t xml:space="preserve">https://github.com/scream314/cicada3301/blob/master/assets/2014/liber-primus-complete/68.jpg</x:t>
        </x:is>
      </x:c>
    </x:row>
    <x:row r="21">
      <x:c r="A21" s="233" t="n">
        <x:v>68</x:v>
      </x:c>
      <x:c r="B21" s="233" t="inlineStr">
        <x:is>
          <x:t xml:space="preserve">plant-side right five-dot group</x:t>
        </x:is>
      </x:c>
      <x:c r="C21" s="233" t="inlineStr">
        <x:is>
          <x:t xml:space="preserve">label_3</x:t>
        </x:is>
      </x:c>
      <x:c r="D21" s="233" t="inlineStr">
        <x:is>
          <x:t xml:space="preserve">701e47789abf4401d61420ff938c2b72aa03ad2c</x:t>
        </x:is>
      </x:c>
      <x:c r="E21" s="233" t="n">
        <x:v>60</x:v>
      </x:c>
      <x:c r="F21" s="233" t="n">
        <x:v>2032.845</x:v>
      </x:c>
      <x:c r="G21" s="233" t="n">
        <x:v>1497.394</x:v>
      </x:c>
      <x:c r="H21" s="233" t="n">
        <x:v>431</x:v>
      </x:c>
      <x:c r="I21" s="233" t="n">
        <x:v>2021</x:v>
      </x:c>
      <x:c r="J21" s="233" t="n">
        <x:v>1486</x:v>
      </x:c>
      <x:c r="K21" s="233" t="n">
        <x:v>2044</x:v>
      </x:c>
      <x:c r="L21" s="233" t="n">
        <x:v>1509</x:v>
      </x:c>
      <x:c r="M21" s="233" t="n">
        <x:v>24</x:v>
      </x:c>
      <x:c r="N21" s="233" t="n">
        <x:v>24</x:v>
      </x:c>
      <x:c r="O21" s="233" t="n">
        <x:v>0.748</x:v>
      </x:c>
      <x:c r="P21" s="233" t="inlineStr">
        <x:is>
          <x:t xml:space="preserve">Five components recovered; coordinates, bbox and component areas match counterpart page at emitted precision.</x:t>
        </x:is>
      </x:c>
      <x:c r="Q21" s="233" t="inlineStr">
        <x:is>
          <x:t xml:space="preserve">https://github.com/scream314/cicada3301/blob/master/assets/2014/liber-primus-complete/68.jpg</x:t>
        </x:is>
      </x:c>
    </x:row>
    <x:row r="22">
      <x:c r="A22" s="233" t="n">
        <x:v>68</x:v>
      </x:c>
      <x:c r="B22" s="233" t="inlineStr">
        <x:is>
          <x:t xml:space="preserve">plant-side right five-dot group</x:t>
        </x:is>
      </x:c>
      <x:c r="C22" s="233" t="inlineStr">
        <x:is>
          <x:t xml:space="preserve">label_4</x:t>
        </x:is>
      </x:c>
      <x:c r="D22" s="233" t="inlineStr">
        <x:is>
          <x:t xml:space="preserve">701e47789abf4401d61420ff938c2b72aa03ad2c</x:t>
        </x:is>
      </x:c>
      <x:c r="E22" s="233" t="n">
        <x:v>60</x:v>
      </x:c>
      <x:c r="F22" s="233" t="n">
        <x:v>1979.562</x:v>
      </x:c>
      <x:c r="G22" s="233" t="n">
        <x:v>1533.24</x:v>
      </x:c>
      <x:c r="H22" s="233" t="n">
        <x:v>338</x:v>
      </x:c>
      <x:c r="I22" s="233" t="n">
        <x:v>1969</x:v>
      </x:c>
      <x:c r="J22" s="233" t="n">
        <x:v>1524</x:v>
      </x:c>
      <x:c r="K22" s="233" t="n">
        <x:v>1990</x:v>
      </x:c>
      <x:c r="L22" s="233" t="n">
        <x:v>1544</x:v>
      </x:c>
      <x:c r="M22" s="233" t="n">
        <x:v>22</x:v>
      </x:c>
      <x:c r="N22" s="233" t="n">
        <x:v>21</x:v>
      </x:c>
      <x:c r="O22" s="233" t="n">
        <x:v>0.732</x:v>
      </x:c>
      <x:c r="P22" s="233" t="inlineStr">
        <x:is>
          <x:t xml:space="preserve">Five components recovered; coordinates, bbox and component areas match counterpart page at emitted precision.</x:t>
        </x:is>
      </x:c>
      <x:c r="Q22" s="233" t="inlineStr">
        <x:is>
          <x:t xml:space="preserve">https://github.com/scream314/cicada3301/blob/master/assets/2014/liber-primus-complete/68.jpg</x:t>
        </x:is>
      </x:c>
    </x:row>
    <x:row r="23">
      <x:c r="A23" s="233" t="n">
        <x:v>68</x:v>
      </x:c>
      <x:c r="B23" s="233" t="inlineStr">
        <x:is>
          <x:t xml:space="preserve">plant-side right five-dot group</x:t>
        </x:is>
      </x:c>
      <x:c r="C23" s="233" t="inlineStr">
        <x:is>
          <x:t xml:space="preserve">label_5</x:t>
        </x:is>
      </x:c>
      <x:c r="D23" s="233" t="inlineStr">
        <x:is>
          <x:t xml:space="preserve">701e47789abf4401d61420ff938c2b72aa03ad2c</x:t>
        </x:is>
      </x:c>
      <x:c r="E23" s="233" t="n">
        <x:v>60</x:v>
      </x:c>
      <x:c r="F23" s="233" t="n">
        <x:v>2019.523</x:v>
      </x:c>
      <x:c r="G23" s="233" t="n">
        <x:v>1539.869</x:v>
      </x:c>
      <x:c r="H23" s="233" t="n">
        <x:v>350</x:v>
      </x:c>
      <x:c r="I23" s="233" t="n">
        <x:v>2011</x:v>
      </x:c>
      <x:c r="J23" s="233" t="n">
        <x:v>1528</x:v>
      </x:c>
      <x:c r="K23" s="233" t="n">
        <x:v>2028</x:v>
      </x:c>
      <x:c r="L23" s="233" t="n">
        <x:v>1550</x:v>
      </x:c>
      <x:c r="M23" s="233" t="n">
        <x:v>18</x:v>
      </x:c>
      <x:c r="N23" s="233" t="n">
        <x:v>23</x:v>
      </x:c>
      <x:c r="O23" s="233" t="n">
        <x:v>0.845</x:v>
      </x:c>
      <x:c r="P23" s="233" t="inlineStr">
        <x:is>
          <x:t xml:space="preserve">Five components recovered; coordinates, bbox and component areas match counterpart page at emitted precision.</x:t>
        </x:is>
      </x:c>
      <x:c r="Q23" s="233" t="inlineStr">
        <x:is>
          <x:t xml:space="preserve">https://github.com/scream314/cicada3301/blob/master/assets/2014/liber-primus-complete/68.jpg</x:t>
        </x:is>
      </x:c>
    </x:row>
    <x:row r="24">
      <x:c r="A24" s="233" t="n">
        <x:v>68</x:v>
      </x:c>
      <x:c r="B24" s="233" t="inlineStr">
        <x:is>
          <x:t xml:space="preserve">plant-side left ROI — incomplete</x:t>
        </x:is>
      </x:c>
      <x:c r="C24" s="233" t="inlineStr">
        <x:is>
          <x:t xml:space="preserve">left_candidate_A</x:t>
        </x:is>
      </x:c>
      <x:c r="D24" s="233" t="inlineStr">
        <x:is>
          <x:t xml:space="preserve">701e47789abf4401d61420ff938c2b72aa03ad2c</x:t>
        </x:is>
      </x:c>
      <x:c r="E24" s="233" t="n">
        <x:v>60</x:v>
      </x:c>
      <x:c r="F24" s="233" t="n">
        <x:v>366.155</x:v>
      </x:c>
      <x:c r="G24" s="233" t="n">
        <x:v>1497.394</x:v>
      </x:c>
      <x:c r="H24" s="233" t="n">
        <x:v>431</x:v>
      </x:c>
      <x:c r="I24" s="233" t="n">
        <x:v>355</x:v>
      </x:c>
      <x:c r="J24" s="233" t="n">
        <x:v>1486</x:v>
      </x:c>
      <x:c r="K24" s="233" t="n">
        <x:v>378</x:v>
      </x:c>
      <x:c r="L24" s="233" t="n">
        <x:v>1509</x:v>
      </x:c>
      <x:c r="M24" s="233" t="n">
        <x:v>24</x:v>
      </x:c>
      <x:c r="N24" s="233" t="n">
        <x:v>24</x:v>
      </x:c>
      <x:c r="O24" s="233" t="n">
        <x:v>0.748</x:v>
      </x:c>
      <x:c r="P24" s="233" t="inlineStr">
        <x:is>
          <x:t xml:space="preserve">Only 3 components met this crop's filters; incomplete detection, not a complete cluster measurement.</x:t>
        </x:is>
      </x:c>
      <x:c r="Q24" s="233" t="inlineStr">
        <x:is>
          <x:t xml:space="preserve">https://github.com/scream314/cicada3301/blob/master/assets/2014/liber-primus-complete/68.jpg</x:t>
        </x:is>
      </x:c>
    </x:row>
    <x:row r="25">
      <x:c r="A25" s="233" t="n">
        <x:v>68</x:v>
      </x:c>
      <x:c r="B25" s="233" t="inlineStr">
        <x:is>
          <x:t xml:space="preserve">plant-side left ROI — incomplete</x:t>
        </x:is>
      </x:c>
      <x:c r="C25" s="233" t="inlineStr">
        <x:is>
          <x:t xml:space="preserve">left_candidate_B</x:t>
        </x:is>
      </x:c>
      <x:c r="D25" s="233" t="inlineStr">
        <x:is>
          <x:t xml:space="preserve">701e47789abf4401d61420ff938c2b72aa03ad2c</x:t>
        </x:is>
      </x:c>
      <x:c r="E25" s="233" t="n">
        <x:v>60</x:v>
      </x:c>
      <x:c r="F25" s="233" t="n">
        <x:v>423.979</x:v>
      </x:c>
      <x:c r="G25" s="233" t="n">
        <x:v>1498.808</x:v>
      </x:c>
      <x:c r="H25" s="233" t="n">
        <x:v>468</x:v>
      </x:c>
      <x:c r="I25" s="233" t="n">
        <x:v>413</x:v>
      </x:c>
      <x:c r="J25" s="233" t="n">
        <x:v>1486</x:v>
      </x:c>
      <x:c r="K25" s="233" t="n">
        <x:v>436</x:v>
      </x:c>
      <x:c r="L25" s="233" t="n">
        <x:v>1511</x:v>
      </x:c>
      <x:c r="M25" s="233" t="n">
        <x:v>24</x:v>
      </x:c>
      <x:c r="N25" s="233" t="n">
        <x:v>26</x:v>
      </x:c>
      <x:c r="O25" s="233" t="n">
        <x:v>0.75</x:v>
      </x:c>
      <x:c r="P25" s="233" t="inlineStr">
        <x:is>
          <x:t xml:space="preserve">Only 3 components met this crop's filters; incomplete detection, not a complete cluster measurement.</x:t>
        </x:is>
      </x:c>
      <x:c r="Q25" s="233" t="inlineStr">
        <x:is>
          <x:t xml:space="preserve">https://github.com/scream314/cicada3301/blob/master/assets/2014/liber-primus-complete/68.jpg</x:t>
        </x:is>
      </x:c>
    </x:row>
    <x:row r="26">
      <x:c r="A26" s="233" t="n">
        <x:v>68</x:v>
      </x:c>
      <x:c r="B26" s="233" t="inlineStr">
        <x:is>
          <x:t xml:space="preserve">plant-side left ROI — incomplete</x:t>
        </x:is>
      </x:c>
      <x:c r="C26" s="233" t="inlineStr">
        <x:is>
          <x:t xml:space="preserve">left_candidate_C</x:t>
        </x:is>
      </x:c>
      <x:c r="D26" s="233" t="inlineStr">
        <x:is>
          <x:t xml:space="preserve">701e47789abf4401d61420ff938c2b72aa03ad2c</x:t>
        </x:is>
      </x:c>
      <x:c r="E26" s="233" t="n">
        <x:v>60</x:v>
      </x:c>
      <x:c r="F26" s="233" t="n">
        <x:v>419.438</x:v>
      </x:c>
      <x:c r="G26" s="233" t="n">
        <x:v>1533.24</x:v>
      </x:c>
      <x:c r="H26" s="233" t="n">
        <x:v>338</x:v>
      </x:c>
      <x:c r="I26" s="233" t="n">
        <x:v>409</x:v>
      </x:c>
      <x:c r="J26" s="233" t="n">
        <x:v>1524</x:v>
      </x:c>
      <x:c r="K26" s="233" t="n">
        <x:v>430</x:v>
      </x:c>
      <x:c r="L26" s="233" t="n">
        <x:v>1544</x:v>
      </x:c>
      <x:c r="M26" s="233" t="n">
        <x:v>22</x:v>
      </x:c>
      <x:c r="N26" s="233" t="n">
        <x:v>21</x:v>
      </x:c>
      <x:c r="O26" s="233" t="n">
        <x:v>0.732</x:v>
      </x:c>
      <x:c r="P26" s="233" t="inlineStr">
        <x:is>
          <x:t xml:space="preserve">Only 3 components met this crop's filters; incomplete detection, not a complete cluster measurement.</x:t>
        </x:is>
      </x:c>
      <x:c r="Q26" s="233" t="inlineStr">
        <x:is>
          <x:t xml:space="preserve">https://github.com/scream314/cicada3301/blob/master/assets/2014/liber-primus-complete/68.jpg</x:t>
        </x:is>
      </x:c>
    </x:row>
    <x:row r="27">
      <x:c r="A27" s="233" t="n">
        <x:v>39</x:v>
      </x:c>
      <x:c r="B27" s="233" t="inlineStr">
        <x:is>
          <x:t xml:space="preserve">annotated six-dot group region</x:t>
        </x:is>
      </x:c>
      <x:c r="C27" s="233" t="inlineStr">
        <x:is>
          <x:t xml:space="preserve">extra_A</x:t>
        </x:is>
      </x:c>
      <x:c r="D27" s="233" t="inlineStr">
        <x:is>
          <x:t xml:space="preserve">0270e099f35a00dc24a9dc673ce13d4a0a843802</x:t>
        </x:is>
      </x:c>
      <x:c r="E27" s="233" t="n">
        <x:v>60</x:v>
      </x:c>
      <x:c r="F27" s="233" t="n">
        <x:v>1567.268</x:v>
      </x:c>
      <x:c r="G27" s="233" t="n">
        <x:v>2246.056</x:v>
      </x:c>
      <x:c r="H27" s="233" t="n">
        <x:v>142</x:v>
      </x:c>
      <x:c r="I27" s="233" t="n">
        <x:v>1560</x:v>
      </x:c>
      <x:c r="J27" s="233" t="n">
        <x:v>2240</x:v>
      </x:c>
      <x:c r="K27" s="233" t="n">
        <x:v>1574</x:v>
      </x:c>
      <x:c r="L27" s="233" t="n">
        <x:v>2254</x:v>
      </x:c>
      <x:c r="M27" s="233" t="n">
        <x:v>15</x:v>
      </x:c>
      <x:c r="N27" s="233" t="n">
        <x:v>15</x:v>
      </x:c>
      <x:c r="O27" s="233" t="n">
        <x:v>0.631</x:v>
      </x:c>
      <x:c r="P27" s="233" t="inlineStr">
        <x:is>
          <x:t xml:space="preserve">Additional crop candidate; not part of the annotated six-dot group.</x:t>
        </x:is>
      </x:c>
      <x:c r="Q27" s="233" t="inlineStr">
        <x:is>
          <x:t xml:space="preserve">https://github.com/scream314/cicada3301/blob/master/assets/2014/liber-primus-complete/39.jpg</x:t>
        </x:is>
      </x:c>
    </x:row>
    <x:row r="28">
      <x:c r="A28" s="233" t="n">
        <x:v>39</x:v>
      </x:c>
      <x:c r="B28" s="233" t="inlineStr">
        <x:is>
          <x:t xml:space="preserve">annotated six-dot group region</x:t>
        </x:is>
      </x:c>
      <x:c r="C28" s="233" t="inlineStr">
        <x:is>
          <x:t xml:space="preserve">extra_B</x:t>
        </x:is>
      </x:c>
      <x:c r="D28" s="233" t="inlineStr">
        <x:is>
          <x:t xml:space="preserve">0270e099f35a00dc24a9dc673ce13d4a0a843802</x:t>
        </x:is>
      </x:c>
      <x:c r="E28" s="233" t="n">
        <x:v>60</x:v>
      </x:c>
      <x:c r="F28" s="233" t="n">
        <x:v>1440.368</x:v>
      </x:c>
      <x:c r="G28" s="233" t="n">
        <x:v>2263.838</x:v>
      </x:c>
      <x:c r="H28" s="233" t="n">
        <x:v>68</x:v>
      </x:c>
      <x:c r="I28" s="233" t="n">
        <x:v>1435</x:v>
      </x:c>
      <x:c r="J28" s="233" t="n">
        <x:v>2260</x:v>
      </x:c>
      <x:c r="K28" s="233" t="n">
        <x:v>1447</x:v>
      </x:c>
      <x:c r="L28" s="233" t="n">
        <x:v>2268</x:v>
      </x:c>
      <x:c r="M28" s="233" t="n">
        <x:v>13</x:v>
      </x:c>
      <x:c r="N28" s="233" t="n">
        <x:v>9</x:v>
      </x:c>
      <x:c r="O28" s="233" t="n">
        <x:v>0.581</x:v>
      </x:c>
      <x:c r="P28" s="233" t="inlineStr">
        <x:is>
          <x:t xml:space="preserve">Additional crop candidate; not part of the annotated six-dot group.</x:t>
        </x:is>
      </x:c>
      <x:c r="Q28" s="233" t="inlineStr">
        <x:is>
          <x:t xml:space="preserve">https://github.com/scream314/cicada3301/blob/master/assets/2014/liber-primus-complete/39.jpg</x:t>
        </x:is>
      </x:c>
    </x:row>
    <x:row r="29">
      <x:c r="A29" s="233" t="n">
        <x:v>39</x:v>
      </x:c>
      <x:c r="B29" s="233" t="inlineStr">
        <x:is>
          <x:t xml:space="preserve">annotated six-dot group region</x:t>
        </x:is>
      </x:c>
      <x:c r="C29" s="233" t="inlineStr">
        <x:is>
          <x:t xml:space="preserve">label_4</x:t>
        </x:is>
      </x:c>
      <x:c r="D29" s="233" t="inlineStr">
        <x:is>
          <x:t xml:space="preserve">0270e099f35a00dc24a9dc673ce13d4a0a843802</x:t>
        </x:is>
      </x:c>
      <x:c r="E29" s="233" t="n">
        <x:v>60</x:v>
      </x:c>
      <x:c r="F29" s="233" t="n">
        <x:v>1683.321</x:v>
      </x:c>
      <x:c r="G29" s="233" t="n">
        <x:v>2286.855</x:v>
      </x:c>
      <x:c r="H29" s="233" t="n">
        <x:v>234</x:v>
      </x:c>
      <x:c r="I29" s="233" t="n">
        <x:v>1677</x:v>
      </x:c>
      <x:c r="J29" s="233" t="n">
        <x:v>2278</x:v>
      </x:c>
      <x:c r="K29" s="233" t="n">
        <x:v>1690</x:v>
      </x:c>
      <x:c r="L29" s="233" t="n">
        <x:v>2296</x:v>
      </x:c>
      <x:c r="M29" s="233" t="n">
        <x:v>14</x:v>
      </x:c>
      <x:c r="N29" s="233" t="n">
        <x:v>19</x:v>
      </x:c>
      <x:c r="O29" s="233" t="n">
        <x:v>0.88</x:v>
      </x:c>
      <x:c r="P29" s="233" t="inlineStr">
        <x:is>
          <x:t xml:space="preserve">Annotated six-dot control member.</x:t>
        </x:is>
      </x:c>
      <x:c r="Q29" s="233" t="inlineStr">
        <x:is>
          <x:t xml:space="preserve">https://github.com/scream314/cicada3301/blob/master/assets/2014/liber-primus-complete/39.jpg</x:t>
        </x:is>
      </x:c>
    </x:row>
    <x:row r="30">
      <x:c r="A30" s="233" t="n">
        <x:v>39</x:v>
      </x:c>
      <x:c r="B30" s="233" t="inlineStr">
        <x:is>
          <x:t xml:space="preserve">annotated six-dot group region</x:t>
        </x:is>
      </x:c>
      <x:c r="C30" s="233" t="inlineStr">
        <x:is>
          <x:t xml:space="preserve">label_5</x:t>
        </x:is>
      </x:c>
      <x:c r="D30" s="233" t="inlineStr">
        <x:is>
          <x:t xml:space="preserve">0270e099f35a00dc24a9dc673ce13d4a0a843802</x:t>
        </x:is>
      </x:c>
      <x:c r="E30" s="233" t="n">
        <x:v>60</x:v>
      </x:c>
      <x:c r="F30" s="233" t="n">
        <x:v>1737.328</x:v>
      </x:c>
      <x:c r="G30" s="233" t="n">
        <x:v>2311.839</x:v>
      </x:c>
      <x:c r="H30" s="233" t="n">
        <x:v>180</x:v>
      </x:c>
      <x:c r="I30" s="233" t="n">
        <x:v>1729</x:v>
      </x:c>
      <x:c r="J30" s="233" t="n">
        <x:v>2306</x:v>
      </x:c>
      <x:c r="K30" s="233" t="n">
        <x:v>1745</x:v>
      </x:c>
      <x:c r="L30" s="233" t="n">
        <x:v>2319</x:v>
      </x:c>
      <x:c r="M30" s="233" t="n">
        <x:v>17</x:v>
      </x:c>
      <x:c r="N30" s="233" t="n">
        <x:v>14</x:v>
      </x:c>
      <x:c r="O30" s="233" t="n">
        <x:v>0.756</x:v>
      </x:c>
      <x:c r="P30" s="233" t="inlineStr">
        <x:is>
          <x:t xml:space="preserve">Annotated six-dot control member.</x:t>
        </x:is>
      </x:c>
      <x:c r="Q30" s="233" t="inlineStr">
        <x:is>
          <x:t xml:space="preserve">https://github.com/scream314/cicada3301/blob/master/assets/2014/liber-primus-complete/39.jpg</x:t>
        </x:is>
      </x:c>
    </x:row>
    <x:row r="31">
      <x:c r="A31" s="233" t="n">
        <x:v>39</x:v>
      </x:c>
      <x:c r="B31" s="233" t="inlineStr">
        <x:is>
          <x:t xml:space="preserve">annotated six-dot group region</x:t>
        </x:is>
      </x:c>
      <x:c r="C31" s="233" t="inlineStr">
        <x:is>
          <x:t xml:space="preserve">label_1</x:t>
        </x:is>
      </x:c>
      <x:c r="D31" s="233" t="inlineStr">
        <x:is>
          <x:t xml:space="preserve">0270e099f35a00dc24a9dc673ce13d4a0a843802</x:t>
        </x:is>
      </x:c>
      <x:c r="E31" s="233" t="n">
        <x:v>60</x:v>
      </x:c>
      <x:c r="F31" s="233" t="n">
        <x:v>1096.993</x:v>
      </x:c>
      <x:c r="G31" s="233" t="n">
        <x:v>2342.148</x:v>
      </x:c>
      <x:c r="H31" s="233" t="n">
        <x:v>149</x:v>
      </x:c>
      <x:c r="I31" s="233" t="n">
        <x:v>1088</x:v>
      </x:c>
      <x:c r="J31" s="233" t="n">
        <x:v>2336</x:v>
      </x:c>
      <x:c r="K31" s="233" t="n">
        <x:v>1104</x:v>
      </x:c>
      <x:c r="L31" s="233" t="n">
        <x:v>2348</x:v>
      </x:c>
      <x:c r="M31" s="233" t="n">
        <x:v>17</x:v>
      </x:c>
      <x:c r="N31" s="233" t="n">
        <x:v>13</x:v>
      </x:c>
      <x:c r="O31" s="233" t="n">
        <x:v>0.674</x:v>
      </x:c>
      <x:c r="P31" s="233" t="inlineStr">
        <x:is>
          <x:t xml:space="preserve">Annotated six-dot control member.</x:t>
        </x:is>
      </x:c>
      <x:c r="Q31" s="233" t="inlineStr">
        <x:is>
          <x:t xml:space="preserve">https://github.com/scream314/cicada3301/blob/master/assets/2014/liber-primus-complete/39.jpg</x:t>
        </x:is>
      </x:c>
    </x:row>
    <x:row r="32">
      <x:c r="A32" s="233" t="n">
        <x:v>39</x:v>
      </x:c>
      <x:c r="B32" s="233" t="inlineStr">
        <x:is>
          <x:t xml:space="preserve">annotated six-dot group region</x:t>
        </x:is>
      </x:c>
      <x:c r="C32" s="233" t="inlineStr">
        <x:is>
          <x:t xml:space="preserve">label_2</x:t>
        </x:is>
      </x:c>
      <x:c r="D32" s="233" t="inlineStr">
        <x:is>
          <x:t xml:space="preserve">0270e099f35a00dc24a9dc673ce13d4a0a843802</x:t>
        </x:is>
      </x:c>
      <x:c r="E32" s="233" t="n">
        <x:v>60</x:v>
      </x:c>
      <x:c r="F32" s="233" t="n">
        <x:v>1152.397</x:v>
      </x:c>
      <x:c r="G32" s="233" t="n">
        <x:v>2345.295</x:v>
      </x:c>
      <x:c r="H32" s="233" t="n">
        <x:v>156</x:v>
      </x:c>
      <x:c r="I32" s="233" t="n">
        <x:v>1145</x:v>
      </x:c>
      <x:c r="J32" s="233" t="n">
        <x:v>2340</x:v>
      </x:c>
      <x:c r="K32" s="233" t="n">
        <x:v>1160</x:v>
      </x:c>
      <x:c r="L32" s="233" t="n">
        <x:v>2350</x:v>
      </x:c>
      <x:c r="M32" s="233" t="n">
        <x:v>16</x:v>
      </x:c>
      <x:c r="N32" s="233" t="n">
        <x:v>11</x:v>
      </x:c>
      <x:c r="O32" s="233" t="n">
        <x:v>0.886</x:v>
      </x:c>
      <x:c r="P32" s="233" t="inlineStr">
        <x:is>
          <x:t xml:space="preserve">Annotated six-dot control member.</x:t>
        </x:is>
      </x:c>
      <x:c r="Q32" s="233" t="inlineStr">
        <x:is>
          <x:t xml:space="preserve">https://github.com/scream314/cicada3301/blob/master/assets/2014/liber-primus-complete/39.jpg</x:t>
        </x:is>
      </x:c>
    </x:row>
    <x:row r="33">
      <x:c r="A33" s="233" t="n">
        <x:v>39</x:v>
      </x:c>
      <x:c r="B33" s="233" t="inlineStr">
        <x:is>
          <x:t xml:space="preserve">annotated six-dot group region</x:t>
        </x:is>
      </x:c>
      <x:c r="C33" s="233" t="inlineStr">
        <x:is>
          <x:t xml:space="preserve">label_3</x:t>
        </x:is>
      </x:c>
      <x:c r="D33" s="233" t="inlineStr">
        <x:is>
          <x:t xml:space="preserve">0270e099f35a00dc24a9dc673ce13d4a0a843802</x:t>
        </x:is>
      </x:c>
      <x:c r="E33" s="233" t="n">
        <x:v>60</x:v>
      </x:c>
      <x:c r="F33" s="233" t="n">
        <x:v>1295.873</x:v>
      </x:c>
      <x:c r="G33" s="233" t="n">
        <x:v>2350.492</x:v>
      </x:c>
      <x:c r="H33" s="233" t="n">
        <x:v>181</x:v>
      </x:c>
      <x:c r="I33" s="233" t="n">
        <x:v>1288</x:v>
      </x:c>
      <x:c r="J33" s="233" t="n">
        <x:v>2344</x:v>
      </x:c>
      <x:c r="K33" s="233" t="n">
        <x:v>1303</x:v>
      </x:c>
      <x:c r="L33" s="233" t="n">
        <x:v>2357</x:v>
      </x:c>
      <x:c r="M33" s="233" t="n">
        <x:v>16</x:v>
      </x:c>
      <x:c r="N33" s="233" t="n">
        <x:v>14</x:v>
      </x:c>
      <x:c r="O33" s="233" t="n">
        <x:v>0.8080000000000001</x:v>
      </x:c>
      <x:c r="P33" s="233" t="inlineStr">
        <x:is>
          <x:t xml:space="preserve">Annotated six-dot control member.</x:t>
        </x:is>
      </x:c>
      <x:c r="Q33" s="233" t="inlineStr">
        <x:is>
          <x:t xml:space="preserve">https://github.com/scream314/cicada3301/blob/master/assets/2014/liber-primus-complete/39.jpg</x:t>
        </x:is>
      </x:c>
    </x:row>
    <x:row r="34">
      <x:c r="A34" s="233" t="n">
        <x:v>39</x:v>
      </x:c>
      <x:c r="B34" s="233" t="inlineStr">
        <x:is>
          <x:t xml:space="preserve">annotated six-dot group region</x:t>
        </x:is>
      </x:c>
      <x:c r="C34" s="233" t="inlineStr">
        <x:is>
          <x:t xml:space="preserve">label_6</x:t>
        </x:is>
      </x:c>
      <x:c r="D34" s="233" t="inlineStr">
        <x:is>
          <x:t xml:space="preserve">0270e099f35a00dc24a9dc673ce13d4a0a843802</x:t>
        </x:is>
      </x:c>
      <x:c r="E34" s="233" t="n">
        <x:v>60</x:v>
      </x:c>
      <x:c r="F34" s="233" t="n">
        <x:v>1713.488</x:v>
      </x:c>
      <x:c r="G34" s="233" t="n">
        <x:v>2358.792</x:v>
      </x:c>
      <x:c r="H34" s="233" t="n">
        <x:v>207</x:v>
      </x:c>
      <x:c r="I34" s="233" t="n">
        <x:v>1706</x:v>
      </x:c>
      <x:c r="J34" s="233" t="n">
        <x:v>2351</x:v>
      </x:c>
      <x:c r="K34" s="233" t="n">
        <x:v>1721</x:v>
      </x:c>
      <x:c r="L34" s="233" t="n">
        <x:v>2366</x:v>
      </x:c>
      <x:c r="M34" s="233" t="n">
        <x:v>16</x:v>
      </x:c>
      <x:c r="N34" s="233" t="n">
        <x:v>16</x:v>
      </x:c>
      <x:c r="O34" s="233" t="n">
        <x:v>0.8090000000000001</x:v>
      </x:c>
      <x:c r="P34" s="233" t="inlineStr">
        <x:is>
          <x:t xml:space="preserve">Annotated six-dot control member.</x:t>
        </x:is>
      </x:c>
      <x:c r="Q34" s="233" t="inlineStr">
        <x:is>
          <x:t xml:space="preserve">https://github.com/scream314/cicada3301/blob/master/assets/2014/liber-primus-complete/39.jpg</x:t>
        </x:is>
      </x:c>
    </x:row>
    <x:row r="35">
      <x:c r="A35" s="233" t="n">
        <x:v>39</x:v>
      </x:c>
      <x:c r="B35" s="233" t="inlineStr">
        <x:is>
          <x:t xml:space="preserve">annotated six-dot group region</x:t>
        </x:is>
      </x:c>
      <x:c r="C35" s="233" t="inlineStr">
        <x:is>
          <x:t xml:space="preserve">extra_C</x:t>
        </x:is>
      </x:c>
      <x:c r="D35" s="233" t="inlineStr">
        <x:is>
          <x:t xml:space="preserve">0270e099f35a00dc24a9dc673ce13d4a0a843802</x:t>
        </x:is>
      </x:c>
      <x:c r="E35" s="233" t="n">
        <x:v>60</x:v>
      </x:c>
      <x:c r="F35" s="233" t="n">
        <x:v>1598.874</x:v>
      </x:c>
      <x:c r="G35" s="233" t="n">
        <x:v>2370.848</x:v>
      </x:c>
      <x:c r="H35" s="233" t="n">
        <x:v>508</x:v>
      </x:c>
      <x:c r="I35" s="233" t="n">
        <x:v>1586</x:v>
      </x:c>
      <x:c r="J35" s="233" t="n">
        <x:v>2358</x:v>
      </x:c>
      <x:c r="K35" s="233" t="n">
        <x:v>1612</x:v>
      </x:c>
      <x:c r="L35" s="233" t="n">
        <x:v>2384</x:v>
      </x:c>
      <x:c r="M35" s="233" t="n">
        <x:v>27</x:v>
      </x:c>
      <x:c r="N35" s="233" t="n">
        <x:v>27</x:v>
      </x:c>
      <x:c r="O35" s="233" t="n">
        <x:v>0.697</x:v>
      </x:c>
      <x:c r="P35" s="233" t="inlineStr">
        <x:is>
          <x:t xml:space="preserve">Additional crop candidate; not part of the annotated six-dot group.</x:t>
        </x:is>
      </x:c>
      <x:c r="Q35" s="233" t="inlineStr">
        <x:is>
          <x:t xml:space="preserve">https://github.com/scream314/cicada3301/blob/master/assets/2014/liber-primus-complete/39.jpg</x:t>
        </x:is>
      </x:c>
    </x:row>
    <x:row r="36">
      <x:c r="A36" s="233" t="n"/>
      <x:c r="B36" s="233" t="n"/>
      <x:c r="C36" s="233" t="n"/>
      <x:c r="D36" s="233" t="n"/>
      <x:c r="E36" s="233" t="n"/>
      <x:c r="F36" s="233" t="n"/>
      <x:c r="G36" s="233" t="n"/>
      <x:c r="H36" s="233" t="n"/>
      <x:c r="I36" s="233" t="n"/>
      <x:c r="J36" s="233" t="n"/>
      <x:c r="K36" s="233" t="n"/>
      <x:c r="L36" s="233" t="n"/>
      <x:c r="M36" s="233" t="n"/>
      <x:c r="N36" s="233" t="n"/>
      <x:c r="O36" s="233" t="n"/>
      <x:c r="P36" s="233" t="n"/>
      <x:c r="Q36" s="233" t="n"/>
    </x:row>
    <x:row r="37">
      <x:c r="A37" s="233" t="n"/>
      <x:c r="B37" s="233" t="n"/>
      <x:c r="C37" s="233" t="n"/>
      <x:c r="D37" s="233" t="n"/>
      <x:c r="E37" s="233" t="n"/>
      <x:c r="F37" s="233" t="n"/>
      <x:c r="G37" s="233" t="n"/>
      <x:c r="H37" s="233" t="n"/>
      <x:c r="I37" s="233" t="n"/>
      <x:c r="J37" s="233" t="n"/>
      <x:c r="K37" s="233" t="n"/>
      <x:c r="L37" s="233" t="n"/>
      <x:c r="M37" s="233" t="n"/>
      <x:c r="N37" s="233" t="n"/>
      <x:c r="O37" s="233" t="n"/>
      <x:c r="P37" s="233" t="n"/>
      <x:c r="Q37" s="233" t="n"/>
    </x:row>
    <x:row r="38">
      <x:c r="A38" s="314" t="inlineStr">
        <x:is>
          <x:t xml:space="preserve">Three-dot row geometry (same method on both pages)</x:t>
        </x:is>
      </x:c>
      <x:c r="B38" s="1" t="n"/>
      <x:c r="C38" s="1" t="n"/>
      <x:c r="D38" s="1" t="n"/>
      <x:c r="E38" s="1" t="n"/>
      <x:c r="F38" s="1" t="n"/>
      <x:c r="G38" s="1" t="n"/>
      <x:c r="H38" s="1" t="n"/>
      <x:c r="I38" s="1" t="n"/>
      <x:c r="J38" s="1" t="n"/>
      <x:c r="K38" s="233" t="n"/>
      <x:c r="L38" s="233" t="n"/>
      <x:c r="M38" s="233" t="n"/>
      <x:c r="N38" s="233" t="n"/>
      <x:c r="O38" s="233" t="n"/>
      <x:c r="P38" s="233" t="n"/>
      <x:c r="Q38" s="233" t="n"/>
    </x:row>
    <x:row r="39" s="232" customFormat="1" ht="32" customHeight="1">
      <x:c r="A39" s="274" t="inlineStr">
        <x:is>
          <x:t xml:space="preserve">Page</x:t>
        </x:is>
      </x:c>
      <x:c r="B39" s="274" t="inlineStr">
        <x:is>
          <x:t xml:space="preserve">Adjacent gap 1 px</x:t>
        </x:is>
      </x:c>
      <x:c r="C39" s="274" t="inlineStr">
        <x:is>
          <x:t xml:space="preserve">Adjacent gap 2 px</x:t>
        </x:is>
      </x:c>
      <x:c r="D39" s="274" t="inlineStr">
        <x:is>
          <x:t xml:space="preserve">Gap 1 proportion %</x:t>
        </x:is>
      </x:c>
      <x:c r="E39" s="274" t="inlineStr">
        <x:is>
          <x:t xml:space="preserve">Gap 2 proportion %</x:t>
        </x:is>
      </x:c>
      <x:c r="F39" s="274" t="inlineStr">
        <x:is>
          <x:t xml:space="preserve">Y spread px</x:t>
        </x:is>
      </x:c>
      <x:c r="G39" s="274" t="inlineStr">
        <x:is>
          <x:t xml:space="preserve">Gap method</x:t>
        </x:is>
      </x:c>
      <x:c r="H39" s="274" t="inlineStr">
        <x:is>
          <x:t xml:space="preserve">Source Git blob SHA-1</x:t>
        </x:is>
      </x:c>
      <x:c r="I39" s="274" t="inlineStr">
        <x:is>
          <x:t xml:space="preserve">Source URL</x:t>
        </x:is>
      </x:c>
      <x:c r="J39" s="274" t="inlineStr">
        <x:is>
          <x:t xml:space="preserve">Interpretation</x:t>
        </x:is>
      </x:c>
      <x:c r="K39" s="233" t="n"/>
      <x:c r="L39" s="233" t="n"/>
      <x:c r="M39" s="233" t="n"/>
      <x:c r="N39" s="233" t="n"/>
      <x:c r="O39" s="233" t="n"/>
      <x:c r="P39" s="233" t="n"/>
      <x:c r="Q39" s="233" t="n"/>
    </x:row>
    <x:row r="40">
      <x:c r="A40" s="233" t="n">
        <x:v>50</x:v>
      </x:c>
      <x:c r="B40" s="233" t="n">
        <x:v>417.625</x:v>
      </x:c>
      <x:c r="C40" s="233" t="n">
        <x:v>478.154</x:v>
      </x:c>
      <x:c r="D40" s="233" t="n">
        <x:v>46.62143229524246</x:v>
      </x:c>
      <x:c r="E40" s="233" t="n">
        <x:v>53.37856770475754</x:v>
      </x:c>
      <x:c r="F40" s="233" t="n">
        <x:v>0.008000000000038199</x:v>
      </x:c>
      <x:c r="G40" s="233" t="inlineStr">
        <x:is>
          <x:t xml:space="preserve">left-to-right x gaps; proportion of total horizontal span</x:t>
        </x:is>
      </x:c>
      <x:c r="H40" s="233" t="inlineStr">
        <x:is>
          <x:t xml:space="preserve">68d3e28d8c4161fdfe91a542f5bac8e276bc441e</x:t>
        </x:is>
      </x:c>
      <x:c r="I40" s="233" t="inlineStr">
        <x:is>
          <x:t xml:space="preserve">https://github.com/scream314/cicada3301/blob/master/assets/2014/liber-primus-complete/50.jpg</x:t>
        </x:is>
      </x:c>
      <x:c r="J40" s="233" t="inlineStr">
        <x:is>
          <x:t xml:space="preserve">Repeated asymmetric spacing candidate; not a cipher claim.</x:t>
        </x:is>
      </x:c>
      <x:c r="K40" s="233" t="n"/>
      <x:c r="L40" s="233" t="n"/>
      <x:c r="M40" s="233" t="n"/>
      <x:c r="N40" s="233" t="n"/>
      <x:c r="O40" s="233" t="n"/>
      <x:c r="P40" s="233" t="n"/>
      <x:c r="Q40" s="233" t="n"/>
    </x:row>
    <x:row r="41">
      <x:c r="A41" s="233" t="n">
        <x:v>56</x:v>
      </x:c>
      <x:c r="B41" s="233" t="n">
        <x:v>196</x:v>
      </x:c>
      <x:c r="C41" s="233" t="n">
        <x:v>224.51</x:v>
      </x:c>
      <x:c r="D41" s="233" t="n">
        <x:v>46.61006872607072</x:v>
      </x:c>
      <x:c r="E41" s="233" t="n">
        <x:v>53.38993127392928</x:v>
      </x:c>
      <x:c r="F41" s="233" t="n">
        <x:v>0</x:v>
      </x:c>
      <x:c r="G41" s="233" t="inlineStr">
        <x:is>
          <x:t xml:space="preserve">left-to-right x gaps; proportion of total horizontal span</x:t>
        </x:is>
      </x:c>
      <x:c r="H41" s="233" t="inlineStr">
        <x:is>
          <x:t xml:space="preserve">819261c833837cbaa2bd200d210ca299d79031f3</x:t>
        </x:is>
      </x:c>
      <x:c r="I41" s="233" t="inlineStr">
        <x:is>
          <x:t xml:space="preserve">https://github.com/scream314/cicada3301/blob/master/assets/2014/liber-primus-complete/56.jpg</x:t>
        </x:is>
      </x:c>
      <x:c r="J41" s="233" t="inlineStr">
        <x:is>
          <x:t xml:space="preserve">Same ordering and normalized gaps as page 50.</x:t>
        </x:is>
      </x:c>
      <x:c r="K41" s="233" t="n"/>
      <x:c r="L41" s="233" t="n"/>
      <x:c r="M41" s="233" t="n"/>
      <x:c r="N41" s="233" t="n"/>
      <x:c r="O41" s="233" t="n"/>
      <x:c r="P41" s="233" t="n"/>
      <x:c r="Q41" s="233" t="n"/>
    </x:row>
    <x:row r="42">
      <x:c r="A42" s="233" t="n"/>
      <x:c r="B42" s="233" t="n"/>
      <x:c r="C42" s="233" t="n"/>
      <x:c r="D42" s="233" t="n"/>
      <x:c r="E42" s="233" t="n"/>
      <x:c r="F42" s="233" t="n"/>
      <x:c r="G42" s="233" t="n"/>
      <x:c r="H42" s="233" t="n"/>
      <x:c r="I42" s="233" t="n"/>
      <x:c r="J42" s="233" t="n"/>
      <x:c r="K42" s="233" t="n"/>
      <x:c r="L42" s="233" t="n"/>
      <x:c r="M42" s="233" t="n"/>
      <x:c r="N42" s="233" t="n"/>
      <x:c r="O42" s="233" t="n"/>
      <x:c r="P42" s="233" t="n"/>
      <x:c r="Q42" s="233" t="n"/>
    </x:row>
    <x:row r="43" s="232" customFormat="1" ht="32" customHeight="1">
      <x:c r="A43" s="274" t="inlineStr">
        <x:is>
          <x:t xml:space="preserve">Comparison</x:t>
        </x:is>
      </x:c>
      <x:c r="B43" s="274" t="inlineStr">
        <x:is>
          <x:t xml:space="preserve">det(R)</x:t>
        </x:is>
      </x:c>
      <x:c r="C43" s="274" t="inlineStr">
        <x:is>
          <x:t xml:space="preserve">Scale</x:t>
        </x:is>
      </x:c>
      <x:c r="D43" s="274" t="inlineStr">
        <x:is>
          <x:t xml:space="preserve">Translation X px</x:t>
        </x:is>
      </x:c>
      <x:c r="E43" s="274" t="inlineStr">
        <x:is>
          <x:t xml:space="preserve">Translation Y px</x:t>
        </x:is>
      </x:c>
      <x:c r="F43" s="274" t="inlineStr">
        <x:is>
          <x:t xml:space="preserve">RMS residual px</x:t>
        </x:is>
      </x:c>
      <x:c r="G43" s="274" t="inlineStr">
        <x:is>
          <x:t xml:space="preserve">Maximum residual px</x:t>
        </x:is>
      </x:c>
      <x:c r="H43" s="274" t="inlineStr">
        <x:is>
          <x:t xml:space="preserve">Permutations searched</x:t>
        </x:is>
      </x:c>
      <x:c r="I43" s="274" t="inlineStr">
        <x:is>
          <x:t xml:space="preserve">Interpretation / limits</x:t>
        </x:is>
      </x:c>
      <x:c r="J43" s="274" t="str"/>
      <x:c r="K43" s="233" t="n"/>
      <x:c r="L43" s="233" t="n"/>
      <x:c r="M43" s="233" t="n"/>
      <x:c r="N43" s="233" t="n"/>
      <x:c r="O43" s="233" t="n"/>
      <x:c r="P43" s="233" t="n"/>
      <x:c r="Q43" s="233" t="n"/>
    </x:row>
    <x:row r="44">
      <x:c r="A44" s="233" t="inlineStr">
        <x:is>
          <x:t xml:space="preserve">Page 50 → 56 three-dot same-order similarity</x:t>
        </x:is>
      </x:c>
      <x:c r="B44" s="233" t="n">
        <x:v>1</x:v>
      </x:c>
      <x:c r="C44" s="233" t="n">
        <x:v>0.4694373827648808</x:v>
      </x:c>
      <x:c r="D44" s="233" t="n">
        <x:v>937.7831051863144</x:v>
      </x:c>
      <x:c r="E44" s="233" t="n">
        <x:v>874.3360181925831</x:v>
      </x:c>
      <x:c r="F44" s="233" t="n">
        <x:v>0.02252872280710741</x:v>
      </x:c>
      <x:c r="G44" s="233" t="n">
        <x:v>0.031836207788095</x:v>
      </x:c>
      <x:c r="H44" s="233" t="n">
        <x:v>1</x:v>
      </x:c>
      <x:c r="I44" s="233" t="inlineStr">
        <x:is>
          <x:t xml:space="preserve">Same-order fit, not searched over permutations; a standard repeated ornament is a simpler explanation.</x:t>
        </x:is>
      </x:c>
      <x:c r="J44" s="233" t="str"/>
      <x:c r="K44" s="233" t="n"/>
      <x:c r="L44" s="233" t="n"/>
      <x:c r="M44" s="233" t="n"/>
      <x:c r="N44" s="233" t="n"/>
      <x:c r="O44" s="233" t="n"/>
      <x:c r="P44" s="233" t="n"/>
      <x:c r="Q44" s="233" t="n"/>
    </x:row>
    <x:row r="45">
      <x:c r="A45" s="233" t="n"/>
      <x:c r="B45" s="233" t="n"/>
      <x:c r="C45" s="233" t="n"/>
      <x:c r="D45" s="233" t="n"/>
      <x:c r="E45" s="233" t="n"/>
      <x:c r="F45" s="233" t="n"/>
      <x:c r="G45" s="233" t="n"/>
      <x:c r="H45" s="233" t="n"/>
      <x:c r="I45" s="233" t="n"/>
      <x:c r="J45" s="233" t="n"/>
      <x:c r="K45" s="233" t="n"/>
      <x:c r="L45" s="233" t="n"/>
      <x:c r="M45" s="233" t="n"/>
      <x:c r="N45" s="233" t="n"/>
      <x:c r="O45" s="233" t="n"/>
      <x:c r="P45" s="233" t="n"/>
      <x:c r="Q45" s="233" t="n"/>
    </x:row>
    <x:row r="46" s="232" customFormat="1" ht="32" customHeight="1">
      <x:c r="A46" s="274" t="inlineStr">
        <x:is>
          <x:t xml:space="preserve">Comparison</x:t>
        </x:is>
      </x:c>
      <x:c r="B46" s="274" t="inlineStr">
        <x:is>
          <x:t xml:space="preserve">Coordinates identical?</x:t>
        </x:is>
      </x:c>
      <x:c r="C46" s="274" t="inlineStr">
        <x:is>
          <x:t xml:space="preserve">Areas identical?</x:t>
        </x:is>
      </x:c>
      <x:c r="D46" s="274" t="inlineStr">
        <x:is>
          <x:t xml:space="preserve">Bounding boxes identical?</x:t>
        </x:is>
      </x:c>
      <x:c r="E46" s="274" t="inlineStr">
        <x:is>
          <x:t xml:space="preserve">N components each</x:t>
        </x:is>
      </x:c>
      <x:c r="F46" s="274" t="inlineStr">
        <x:is>
          <x:t xml:space="preserve">Status</x:t>
        </x:is>
      </x:c>
      <x:c r="G46" s="274" t="inlineStr">
        <x:is>
          <x:t xml:space="preserve">Interpretation limit</x:t>
        </x:is>
      </x:c>
      <x:c r="H46" s="274" t="str"/>
      <x:c r="I46" s="233" t="n"/>
      <x:c r="J46" s="233" t="n"/>
      <x:c r="K46" s="233" t="n"/>
      <x:c r="L46" s="233" t="n"/>
      <x:c r="M46" s="233" t="n"/>
      <x:c r="N46" s="233" t="n"/>
      <x:c r="O46" s="233" t="n"/>
      <x:c r="P46" s="233" t="n"/>
      <x:c r="Q46" s="233" t="n"/>
    </x:row>
    <x:row r="47">
      <x:c r="A47" s="233" t="inlineStr">
        <x:is>
          <x:t xml:space="preserve">Page 57 right plant group vs page 68 right plant group</x:t>
        </x:is>
      </x:c>
      <x:c r="B47" s="233" t="b">
        <x:v>1</x:v>
      </x:c>
      <x:c r="C47" s="233" t="b">
        <x:v>1</x:v>
      </x:c>
      <x:c r="D47" s="233" t="b">
        <x:v>1</x:v>
      </x:c>
      <x:c r="E47" s="233" t="n">
        <x:v>5</x:v>
      </x:c>
      <x:c r="F47" s="233" t="inlineStr">
        <x:is>
          <x:t xml:space="preserve">Reproduced from workbook records</x:t>
        </x:is>
      </x:c>
      <x:c r="G47" s="233" t="inlineStr">
        <x:is>
          <x:t xml:space="preserve">Record equality only; pixel-level crop equality / SSIM / image-difference test not performed.</x:t>
        </x:is>
      </x:c>
      <x:c r="H47" s="233" t="str"/>
      <x:c r="I47" s="233" t="n"/>
      <x:c r="J47" s="233" t="n"/>
      <x:c r="K47" s="233" t="n"/>
      <x:c r="L47" s="233" t="n"/>
      <x:c r="M47" s="233" t="n"/>
      <x:c r="N47" s="233" t="n"/>
      <x:c r="O47" s="233" t="n"/>
      <x:c r="P47" s="233" t="n"/>
      <x:c r="Q47" s="233" t="n"/>
    </x:row>
    <x:row r="48">
      <x:c r="A48" s="233" t="n"/>
      <x:c r="B48" s="233" t="n"/>
      <x:c r="C48" s="233" t="n"/>
      <x:c r="D48" s="233" t="n"/>
      <x:c r="E48" s="233" t="n"/>
      <x:c r="F48" s="233" t="n"/>
      <x:c r="G48" s="233" t="n"/>
      <x:c r="H48" s="233" t="n"/>
      <x:c r="I48" s="233" t="n"/>
      <x:c r="J48" s="233" t="n"/>
      <x:c r="K48" s="233" t="n"/>
      <x:c r="L48" s="233" t="n"/>
      <x:c r="M48" s="233" t="n"/>
      <x:c r="N48" s="233" t="n"/>
      <x:c r="O48" s="233" t="n"/>
      <x:c r="P48" s="233" t="n"/>
      <x:c r="Q48" s="233" t="n"/>
    </x:row>
    <x:row r="49">
      <x:c r="A49" s="233" t="n"/>
      <x:c r="B49" s="233" t="n"/>
      <x:c r="C49" s="233" t="n"/>
      <x:c r="D49" s="233" t="n"/>
      <x:c r="E49" s="233" t="n"/>
      <x:c r="F49" s="233" t="n"/>
      <x:c r="G49" s="233" t="n"/>
      <x:c r="H49" s="233" t="n"/>
      <x:c r="I49" s="233" t="n"/>
      <x:c r="J49" s="233" t="n"/>
      <x:c r="K49" s="233" t="n"/>
      <x:c r="L49" s="233" t="n"/>
      <x:c r="M49" s="233" t="n"/>
      <x:c r="N49" s="233" t="n"/>
      <x:c r="O49" s="233" t="n"/>
      <x:c r="P49" s="233" t="n"/>
      <x:c r="Q49" s="233" t="n"/>
    </x:row>
    <x:row r="50">
      <x:c r="A50" s="314" t="inlineStr">
        <x:is>
          <x:t xml:space="preserve">Page 39 six-dot control: all 6 five-point subsets compared with page 24 target</x:t>
        </x:is>
      </x:c>
      <x:c r="B50" s="1" t="n"/>
      <x:c r="C50" s="1" t="n"/>
      <x:c r="D50" s="1" t="n"/>
      <x:c r="E50" s="1" t="n"/>
      <x:c r="F50" s="1" t="n"/>
      <x:c r="G50" s="233" t="n"/>
      <x:c r="H50" s="233" t="n"/>
      <x:c r="I50" s="233" t="n"/>
      <x:c r="J50" s="233" t="n"/>
      <x:c r="K50" s="233" t="n"/>
      <x:c r="L50" s="233" t="n"/>
      <x:c r="M50" s="233" t="n"/>
      <x:c r="N50" s="233" t="n"/>
      <x:c r="O50" s="233" t="n"/>
      <x:c r="P50" s="233" t="n"/>
      <x:c r="Q50" s="233" t="n"/>
    </x:row>
    <x:row r="51" s="232" customFormat="1" ht="32" customHeight="1">
      <x:c r="A51" s="274" t="inlineStr">
        <x:is>
          <x:t xml:space="preserve">Five-point subset labels</x:t>
        </x:is>
      </x:c>
      <x:c r="B51" s="274" t="inlineStr">
        <x:is>
          <x:t xml:space="preserve">RMS difference of normalized sorted signature</x:t>
        </x:is>
      </x:c>
      <x:c r="C51" s="274" t="inlineStr">
        <x:is>
          <x:t xml:space="preserve">Subset RMS pair distance px</x:t>
        </x:is>
      </x:c>
      <x:c r="D51" s="274" t="inlineStr">
        <x:is>
          <x:t xml:space="preserve">Minimum raw pair distance px</x:t>
        </x:is>
      </x:c>
      <x:c r="E51" s="274" t="inlineStr">
        <x:is>
          <x:t xml:space="preserve">Maximum raw pair distance px</x:t>
        </x:is>
      </x:c>
      <x:c r="F51" s="274" t="inlineStr">
        <x:is>
          <x:t xml:space="preserve">Method / limitation</x:t>
        </x:is>
      </x:c>
      <x:c r="G51" s="233" t="n"/>
      <x:c r="H51" s="233" t="n"/>
      <x:c r="I51" s="233" t="n"/>
      <x:c r="J51" s="233" t="n"/>
      <x:c r="K51" s="233" t="n"/>
      <x:c r="L51" s="233" t="n"/>
      <x:c r="M51" s="233" t="n"/>
      <x:c r="N51" s="233" t="n"/>
      <x:c r="O51" s="233" t="n"/>
      <x:c r="P51" s="233" t="n"/>
      <x:c r="Q51" s="233" t="n"/>
    </x:row>
    <x:row r="52">
      <x:c r="A52" s="233" t="inlineStr">
        <x:is>
          <x:t xml:space="preserve">label_1; label_2; label_3; label_4; label_6</x:t>
        </x:is>
      </x:c>
      <x:c r="B52" s="233" t="n">
        <x:v>0.1533830711051005</x:v>
      </x:c>
      <x:c r="C52" s="233" t="n">
        <x:v>415.3935829261208</x:v>
      </x:c>
      <x:c r="D52" s="233" t="n">
        <x:v>55.49330432583736</x:v>
      </x:c>
      <x:c r="E52" s="233" t="n">
        <x:v>616.7196346485169</x:v>
      </x:c>
      <x:c r="F52" s="233" t="inlineStr">
        <x:is>
          <x:t xml:space="preserve">Same normalization: sort all 10 pairwise distances, divide by within-group RMS pairwise distance.</x:t>
        </x:is>
      </x:c>
      <x:c r="G52" s="233" t="n"/>
      <x:c r="H52" s="233" t="n"/>
      <x:c r="I52" s="233" t="n"/>
      <x:c r="J52" s="233" t="n"/>
      <x:c r="K52" s="233" t="n"/>
      <x:c r="L52" s="233" t="n"/>
      <x:c r="M52" s="233" t="n"/>
      <x:c r="N52" s="233" t="n"/>
      <x:c r="O52" s="233" t="n"/>
      <x:c r="P52" s="233" t="n"/>
      <x:c r="Q52" s="233" t="n"/>
    </x:row>
    <x:row r="53">
      <x:c r="A53" s="233" t="inlineStr">
        <x:is>
          <x:t xml:space="preserve">label_1; label_2; label_3; label_4; label_5</x:t>
        </x:is>
      </x:c>
      <x:c r="B53" s="233" t="n">
        <x:v>0.1633661172398345</x:v>
      </x:c>
      <x:c r="C53" s="233" t="n">
        <x:v>424.7048853462837</x:v>
      </x:c>
      <x:c r="D53" s="233" t="n">
        <x:v>55.49330432583736</x:v>
      </x:c>
      <x:c r="E53" s="233" t="n">
        <x:v>641.0519071853698</x:v>
      </x:c>
      <x:c r="F53" s="233" t="inlineStr">
        <x:is>
          <x:t xml:space="preserve">Same normalization: sort all 10 pairwise distances, divide by within-group RMS pairwise distance.</x:t>
        </x:is>
      </x:c>
      <x:c r="G53" s="233" t="n"/>
      <x:c r="H53" s="233" t="n"/>
      <x:c r="I53" s="233" t="n"/>
      <x:c r="J53" s="233" t="n"/>
      <x:c r="K53" s="233" t="n"/>
      <x:c r="L53" s="233" t="n"/>
      <x:c r="M53" s="233" t="n"/>
      <x:c r="N53" s="233" t="n"/>
      <x:c r="O53" s="233" t="n"/>
      <x:c r="P53" s="233" t="n"/>
      <x:c r="Q53" s="233" t="n"/>
    </x:row>
    <x:row r="54">
      <x:c r="A54" s="233" t="inlineStr">
        <x:is>
          <x:t xml:space="preserve">label_1; label_2; label_3; label_5; label_6</x:t>
        </x:is>
      </x:c>
      <x:c r="B54" s="233" t="n">
        <x:v>0.1707797965906037</x:v>
      </x:c>
      <x:c r="C54" s="233" t="n">
        <x:v>434.3379960201502</x:v>
      </x:c>
      <x:c r="D54" s="233" t="n">
        <x:v>52.65861571480961</x:v>
      </x:c>
      <x:c r="E54" s="233" t="n">
        <x:v>641.0519071853698</x:v>
      </x:c>
      <x:c r="F54" s="233" t="inlineStr">
        <x:is>
          <x:t xml:space="preserve">Same normalization: sort all 10 pairwise distances, divide by within-group RMS pairwise distance.</x:t>
        </x:is>
      </x:c>
      <x:c r="G54" s="233" t="n"/>
      <x:c r="H54" s="233" t="n"/>
      <x:c r="I54" s="233" t="n"/>
      <x:c r="J54" s="233" t="n"/>
      <x:c r="K54" s="233" t="n"/>
      <x:c r="L54" s="233" t="n"/>
      <x:c r="M54" s="233" t="n"/>
      <x:c r="N54" s="233" t="n"/>
      <x:c r="O54" s="233" t="n"/>
      <x:c r="P54" s="233" t="n"/>
      <x:c r="Q54" s="233" t="n"/>
    </x:row>
    <x:row r="55">
      <x:c r="A55" s="233" t="inlineStr">
        <x:is>
          <x:t xml:space="preserve">label_1; label_3; label_4; label_5; label_6</x:t>
        </x:is>
      </x:c>
      <x:c r="B55" s="233" t="n">
        <x:v>0.1864601779178631</x:v>
      </x:c>
      <x:c r="C55" s="233" t="n">
        <x:v>414.1453377426818</x:v>
      </x:c>
      <x:c r="D55" s="233" t="n">
        <x:v>52.65861571480961</x:v>
      </x:c>
      <x:c r="E55" s="233" t="n">
        <x:v>641.0519071853698</x:v>
      </x:c>
      <x:c r="F55" s="233" t="inlineStr">
        <x:is>
          <x:t xml:space="preserve">Same normalization: sort all 10 pairwise distances, divide by within-group RMS pairwise distance.</x:t>
        </x:is>
      </x:c>
      <x:c r="G55" s="233" t="n"/>
      <x:c r="H55" s="233" t="n"/>
      <x:c r="I55" s="233" t="n"/>
      <x:c r="J55" s="233" t="n"/>
      <x:c r="K55" s="233" t="n"/>
      <x:c r="L55" s="233" t="n"/>
      <x:c r="M55" s="233" t="n"/>
      <x:c r="N55" s="233" t="n"/>
      <x:c r="O55" s="233" t="n"/>
      <x:c r="P55" s="233" t="n"/>
      <x:c r="Q55" s="233" t="n"/>
    </x:row>
    <x:row r="56">
      <x:c r="A56" s="233" t="inlineStr">
        <x:is>
          <x:t xml:space="preserve">label_2; label_3; label_4; label_5; label_6</x:t>
        </x:is>
      </x:c>
      <x:c r="B56" s="233" t="n">
        <x:v>0.1928656870122024</x:v>
      </x:c>
      <x:c r="C56" s="233" t="n">
        <x:v>387.503418417438</x:v>
      </x:c>
      <x:c r="D56" s="233" t="n">
        <x:v>52.65861571480961</x:v>
      </x:c>
      <x:c r="E56" s="233" t="n">
        <x:v>585.8870016453685</x:v>
      </x:c>
      <x:c r="F56" s="233" t="inlineStr">
        <x:is>
          <x:t xml:space="preserve">Same normalization: sort all 10 pairwise distances, divide by within-group RMS pairwise distance.</x:t>
        </x:is>
      </x:c>
      <x:c r="G56" s="233" t="n"/>
      <x:c r="H56" s="233" t="n"/>
      <x:c r="I56" s="233" t="n"/>
      <x:c r="J56" s="233" t="n"/>
      <x:c r="K56" s="233" t="n"/>
      <x:c r="L56" s="233" t="n"/>
      <x:c r="M56" s="233" t="n"/>
      <x:c r="N56" s="233" t="n"/>
      <x:c r="O56" s="233" t="n"/>
      <x:c r="P56" s="233" t="n"/>
      <x:c r="Q56" s="233" t="n"/>
    </x:row>
    <x:row r="57">
      <x:c r="A57" s="233" t="inlineStr">
        <x:is>
          <x:t xml:space="preserve">label_1; label_2; label_4; label_5; label_6</x:t>
        </x:is>
      </x:c>
      <x:c r="B57" s="233" t="n">
        <x:v>0.2698508658168348</x:v>
      </x:c>
      <x:c r="C57" s="233" t="n">
        <x:v>457.9488238941116</x:v>
      </x:c>
      <x:c r="D57" s="233" t="n">
        <x:v>52.65861571480961</x:v>
      </x:c>
      <x:c r="E57" s="233" t="n">
        <x:v>641.0519071853698</x:v>
      </x:c>
      <x:c r="F57" s="233" t="inlineStr">
        <x:is>
          <x:t xml:space="preserve">Same normalization: sort all 10 pairwise distances, divide by within-group RMS pairwise distance.</x:t>
        </x:is>
      </x:c>
      <x:c r="G57" s="233" t="n"/>
      <x:c r="H57" s="233" t="n"/>
      <x:c r="I57" s="233" t="n"/>
      <x:c r="J57" s="233" t="n"/>
      <x:c r="K57" s="233" t="n"/>
      <x:c r="L57" s="233" t="n"/>
      <x:c r="M57" s="233" t="n"/>
      <x:c r="N57" s="233" t="n"/>
      <x:c r="O57" s="233" t="n"/>
      <x:c r="P57" s="233" t="n"/>
      <x:c r="Q57" s="233" t="n"/>
    </x:row>
    <x:row r="58">
      <x:c r="A58" s="233" t="n"/>
      <x:c r="B58" s="233" t="n"/>
      <x:c r="C58" s="233" t="n"/>
      <x:c r="D58" s="233" t="n"/>
      <x:c r="E58" s="233" t="n"/>
      <x:c r="F58" s="233" t="n"/>
      <x:c r="G58" s="233" t="n"/>
      <x:c r="H58" s="233" t="n"/>
      <x:c r="I58" s="233" t="n"/>
      <x:c r="J58" s="233" t="n"/>
      <x:c r="K58" s="233" t="n"/>
      <x:c r="L58" s="233" t="n"/>
      <x:c r="M58" s="233" t="n"/>
      <x:c r="N58" s="233" t="n"/>
      <x:c r="O58" s="233" t="n"/>
      <x:c r="P58" s="233" t="n"/>
      <x:c r="Q58" s="233" t="n"/>
    </x:row>
    <x:row r="59">
      <x:c r="A59" s="233" t="n"/>
      <x:c r="B59" s="233" t="n"/>
      <x:c r="C59" s="233" t="n"/>
      <x:c r="D59" s="233" t="n"/>
      <x:c r="E59" s="233" t="n"/>
      <x:c r="F59" s="233" t="n"/>
      <x:c r="G59" s="233" t="n"/>
      <x:c r="H59" s="233" t="n"/>
      <x:c r="I59" s="233" t="n"/>
      <x:c r="J59" s="233" t="n"/>
      <x:c r="K59" s="233" t="n"/>
      <x:c r="L59" s="233" t="n"/>
      <x:c r="M59" s="233" t="n"/>
      <x:c r="N59" s="233" t="n"/>
      <x:c r="O59" s="233" t="n"/>
      <x:c r="P59" s="233" t="n"/>
      <x:c r="Q59" s="233" t="n"/>
    </x:row>
    <x:row r="60">
      <x:c r="A60" s="233" t="n"/>
      <x:c r="B60" s="233" t="n"/>
      <x:c r="C60" s="233" t="n"/>
      <x:c r="D60" s="233" t="n"/>
      <x:c r="E60" s="233" t="n"/>
      <x:c r="F60" s="233" t="n"/>
      <x:c r="G60" s="233" t="n"/>
      <x:c r="H60" s="233" t="n"/>
      <x:c r="I60" s="233" t="n"/>
      <x:c r="J60" s="233" t="n"/>
      <x:c r="K60" s="233" t="n"/>
      <x:c r="L60" s="233" t="n"/>
      <x:c r="M60" s="233" t="n"/>
      <x:c r="N60" s="233" t="n"/>
      <x:c r="O60" s="233" t="n"/>
      <x:c r="P60" s="233" t="n"/>
      <x:c r="Q60" s="233" t="n"/>
    </x:row>
    <x:row r="61">
      <x:c r="A61" s="233" t="n"/>
      <x:c r="B61" s="233" t="n"/>
      <x:c r="C61" s="233" t="n"/>
      <x:c r="D61" s="233" t="n"/>
      <x:c r="E61" s="233" t="n"/>
      <x:c r="F61" s="233" t="n"/>
      <x:c r="G61" s="233" t="n"/>
      <x:c r="H61" s="233" t="n"/>
      <x:c r="I61" s="233" t="n"/>
      <x:c r="J61" s="233" t="n"/>
      <x:c r="K61" s="233" t="n"/>
      <x:c r="L61" s="233" t="n"/>
      <x:c r="M61" s="233" t="n"/>
      <x:c r="N61" s="233" t="n"/>
      <x:c r="O61" s="233" t="n"/>
      <x:c r="P61" s="233" t="n"/>
      <x:c r="Q61" s="233" t="n"/>
    </x:row>
    <x:row r="62">
      <x:c r="A62" s="233" t="n"/>
      <x:c r="B62" s="233" t="n"/>
      <x:c r="C62" s="233" t="n"/>
      <x:c r="D62" s="233" t="n"/>
      <x:c r="E62" s="233" t="n"/>
      <x:c r="F62" s="233" t="n"/>
      <x:c r="G62" s="233" t="n"/>
      <x:c r="H62" s="233" t="n"/>
      <x:c r="I62" s="233" t="n"/>
      <x:c r="J62" s="233" t="n"/>
      <x:c r="K62" s="233" t="n"/>
      <x:c r="L62" s="233" t="n"/>
      <x:c r="M62" s="233" t="n"/>
      <x:c r="N62" s="233" t="n"/>
      <x:c r="O62" s="233" t="n"/>
      <x:c r="P62" s="233" t="n"/>
      <x:c r="Q62" s="233" t="n"/>
    </x:row>
    <x:row r="63">
      <x:c r="A63" s="233" t="n"/>
      <x:c r="B63" s="233" t="n"/>
      <x:c r="C63" s="233" t="n"/>
      <x:c r="D63" s="233" t="n"/>
      <x:c r="E63" s="233" t="n"/>
      <x:c r="F63" s="233" t="n"/>
      <x:c r="G63" s="233" t="n"/>
      <x:c r="H63" s="233" t="n"/>
      <x:c r="I63" s="233" t="n"/>
      <x:c r="J63" s="233" t="n"/>
      <x:c r="K63" s="233" t="n"/>
      <x:c r="L63" s="233" t="n"/>
      <x:c r="M63" s="233" t="n"/>
      <x:c r="N63" s="233" t="n"/>
      <x:c r="O63" s="233" t="n"/>
      <x:c r="P63" s="233" t="n"/>
      <x:c r="Q63" s="233" t="n"/>
    </x:row>
    <x:row r="64">
      <x:c r="A64" s="233" t="n"/>
      <x:c r="B64" s="233" t="n"/>
      <x:c r="C64" s="233" t="n"/>
      <x:c r="D64" s="233" t="n"/>
      <x:c r="E64" s="233" t="n"/>
      <x:c r="F64" s="233" t="n"/>
      <x:c r="G64" s="233" t="n"/>
      <x:c r="H64" s="233" t="n"/>
      <x:c r="I64" s="233" t="n"/>
      <x:c r="J64" s="233" t="n"/>
      <x:c r="K64" s="233" t="n"/>
      <x:c r="L64" s="233" t="n"/>
      <x:c r="M64" s="233" t="n"/>
      <x:c r="N64" s="233" t="n"/>
      <x:c r="O64" s="233" t="n"/>
      <x:c r="P64" s="233" t="n"/>
      <x:c r="Q64" s="233" t="n"/>
    </x:row>
    <x:row r="65">
      <x:c r="A65" s="233" t="n"/>
      <x:c r="B65" s="233" t="n"/>
      <x:c r="C65" s="233" t="n"/>
      <x:c r="D65" s="233" t="n"/>
      <x:c r="E65" s="233" t="n"/>
      <x:c r="F65" s="233" t="n"/>
      <x:c r="G65" s="233" t="n"/>
      <x:c r="H65" s="233" t="n"/>
      <x:c r="I65" s="233" t="n"/>
      <x:c r="J65" s="233" t="n"/>
      <x:c r="K65" s="233" t="n"/>
      <x:c r="L65" s="233" t="n"/>
      <x:c r="M65" s="233" t="n"/>
      <x:c r="N65" s="233" t="n"/>
      <x:c r="O65" s="233" t="n"/>
      <x:c r="P65" s="233" t="n"/>
      <x:c r="Q65" s="233" t="n"/>
    </x:row>
    <x:row r="66">
      <x:c r="A66" s="233" t="n"/>
      <x:c r="B66" s="233" t="n"/>
      <x:c r="C66" s="233" t="n"/>
      <x:c r="D66" s="233" t="n"/>
      <x:c r="E66" s="233" t="n"/>
      <x:c r="F66" s="233" t="n"/>
      <x:c r="G66" s="233" t="n"/>
      <x:c r="H66" s="233" t="n"/>
      <x:c r="I66" s="233" t="n"/>
      <x:c r="J66" s="233" t="n"/>
      <x:c r="K66" s="233" t="n"/>
      <x:c r="L66" s="233" t="n"/>
      <x:c r="M66" s="233" t="n"/>
      <x:c r="N66" s="233" t="n"/>
      <x:c r="O66" s="233" t="n"/>
      <x:c r="P66" s="233" t="n"/>
      <x:c r="Q66" s="233" t="n"/>
    </x:row>
    <x:row r="67">
      <x:c r="A67" s="233" t="n"/>
      <x:c r="B67" s="233" t="n"/>
      <x:c r="C67" s="233" t="n"/>
      <x:c r="D67" s="233" t="n"/>
      <x:c r="E67" s="233" t="n"/>
      <x:c r="F67" s="233" t="n"/>
      <x:c r="G67" s="233" t="n"/>
      <x:c r="H67" s="233" t="n"/>
      <x:c r="I67" s="233" t="n"/>
      <x:c r="J67" s="233" t="n"/>
      <x:c r="K67" s="233" t="n"/>
      <x:c r="L67" s="233" t="n"/>
      <x:c r="M67" s="233" t="n"/>
      <x:c r="N67" s="233" t="n"/>
      <x:c r="O67" s="233" t="n"/>
      <x:c r="P67" s="233" t="n"/>
      <x:c r="Q67" s="233" t="n"/>
    </x:row>
    <x:row r="68">
      <x:c r="A68" s="233" t="n"/>
      <x:c r="B68" s="233" t="n"/>
      <x:c r="C68" s="233" t="n"/>
      <x:c r="D68" s="233" t="n"/>
      <x:c r="E68" s="233" t="n"/>
      <x:c r="F68" s="233" t="n"/>
      <x:c r="G68" s="233" t="n"/>
      <x:c r="H68" s="233" t="n"/>
      <x:c r="I68" s="233" t="n"/>
      <x:c r="J68" s="233" t="n"/>
      <x:c r="K68" s="233" t="n"/>
      <x:c r="L68" s="233" t="n"/>
      <x:c r="M68" s="233" t="n"/>
      <x:c r="N68" s="233" t="n"/>
      <x:c r="O68" s="233" t="n"/>
      <x:c r="P68" s="233" t="n"/>
      <x:c r="Q68" s="233" t="n"/>
    </x:row>
    <x:row r="69">
      <x:c r="A69" s="233" t="n"/>
      <x:c r="B69" s="233" t="n"/>
      <x:c r="C69" s="233" t="n"/>
      <x:c r="D69" s="233" t="n"/>
      <x:c r="E69" s="233" t="n"/>
      <x:c r="F69" s="233" t="n"/>
      <x:c r="G69" s="233" t="n"/>
      <x:c r="H69" s="233" t="n"/>
      <x:c r="I69" s="233" t="n"/>
      <x:c r="J69" s="233" t="n"/>
      <x:c r="K69" s="233" t="n"/>
      <x:c r="L69" s="233" t="n"/>
      <x:c r="M69" s="233" t="n"/>
      <x:c r="N69" s="233" t="n"/>
      <x:c r="O69" s="233" t="n"/>
      <x:c r="P69" s="233" t="n"/>
      <x:c r="Q69" s="233" t="n"/>
    </x:row>
    <x:row r="70">
      <x:c r="A70" s="233" t="n"/>
      <x:c r="B70" s="233" t="n"/>
      <x:c r="C70" s="233" t="n"/>
      <x:c r="D70" s="233" t="n"/>
      <x:c r="E70" s="233" t="n"/>
      <x:c r="F70" s="233" t="n"/>
      <x:c r="G70" s="233" t="n"/>
      <x:c r="H70" s="233" t="n"/>
      <x:c r="I70" s="233" t="n"/>
      <x:c r="J70" s="233" t="n"/>
      <x:c r="K70" s="233" t="n"/>
      <x:c r="L70" s="233" t="n"/>
      <x:c r="M70" s="233" t="n"/>
      <x:c r="N70" s="233" t="n"/>
      <x:c r="O70" s="233" t="n"/>
      <x:c r="P70" s="233" t="n"/>
      <x:c r="Q70" s="233" t="n"/>
    </x:row>
    <x:row r="71">
      <x:c r="A71" s="233" t="n"/>
      <x:c r="B71" s="233" t="n"/>
      <x:c r="C71" s="233" t="n"/>
      <x:c r="D71" s="233" t="n"/>
      <x:c r="E71" s="233" t="n"/>
      <x:c r="F71" s="233" t="n"/>
      <x:c r="G71" s="233" t="n"/>
      <x:c r="H71" s="233" t="n"/>
      <x:c r="I71" s="233" t="n"/>
      <x:c r="J71" s="233" t="n"/>
      <x:c r="K71" s="233" t="n"/>
      <x:c r="L71" s="233" t="n"/>
      <x:c r="M71" s="233" t="n"/>
      <x:c r="N71" s="233" t="n"/>
      <x:c r="O71" s="233" t="n"/>
      <x:c r="P71" s="233" t="n"/>
      <x:c r="Q71" s="233" t="n"/>
    </x:row>
    <x:row r="72">
      <x:c r="A72" s="233" t="n"/>
      <x:c r="B72" s="233" t="n"/>
      <x:c r="C72" s="233" t="n"/>
      <x:c r="D72" s="233" t="n"/>
      <x:c r="E72" s="233" t="n"/>
      <x:c r="F72" s="233" t="n"/>
      <x:c r="G72" s="233" t="n"/>
      <x:c r="H72" s="233" t="n"/>
      <x:c r="I72" s="233" t="n"/>
      <x:c r="J72" s="233" t="n"/>
      <x:c r="K72" s="233" t="n"/>
      <x:c r="L72" s="233" t="n"/>
      <x:c r="M72" s="233" t="n"/>
      <x:c r="N72" s="233" t="n"/>
      <x:c r="O72" s="233" t="n"/>
      <x:c r="P72" s="233" t="n"/>
      <x:c r="Q72" s="233" t="n"/>
    </x:row>
    <x:row r="73">
      <x:c r="A73" s="233" t="n"/>
      <x:c r="B73" s="233" t="n"/>
      <x:c r="C73" s="233" t="n"/>
      <x:c r="D73" s="233" t="n"/>
      <x:c r="E73" s="233" t="n"/>
      <x:c r="F73" s="233" t="n"/>
      <x:c r="G73" s="233" t="n"/>
      <x:c r="H73" s="233" t="n"/>
      <x:c r="I73" s="233" t="n"/>
      <x:c r="J73" s="233" t="n"/>
      <x:c r="K73" s="233" t="n"/>
      <x:c r="L73" s="233" t="n"/>
      <x:c r="M73" s="233" t="n"/>
      <x:c r="N73" s="233" t="n"/>
      <x:c r="O73" s="233" t="n"/>
      <x:c r="P73" s="233" t="n"/>
      <x:c r="Q73" s="233" t="n"/>
    </x:row>
    <x:row r="74">
      <x:c r="A74" s="233" t="n"/>
      <x:c r="B74" s="233" t="n"/>
      <x:c r="C74" s="233" t="n"/>
      <x:c r="D74" s="233" t="n"/>
      <x:c r="E74" s="233" t="n"/>
      <x:c r="F74" s="233" t="n"/>
      <x:c r="G74" s="233" t="n"/>
      <x:c r="H74" s="233" t="n"/>
      <x:c r="I74" s="233" t="n"/>
      <x:c r="J74" s="233" t="n"/>
      <x:c r="K74" s="233" t="n"/>
      <x:c r="L74" s="233" t="n"/>
      <x:c r="M74" s="233" t="n"/>
      <x:c r="N74" s="233" t="n"/>
      <x:c r="O74" s="233" t="n"/>
      <x:c r="P74" s="233" t="n"/>
      <x:c r="Q74" s="233" t="n"/>
    </x:row>
    <x:row r="75">
      <x:c r="A75" s="233" t="n"/>
      <x:c r="B75" s="233" t="n"/>
      <x:c r="C75" s="233" t="n"/>
      <x:c r="D75" s="233" t="n"/>
      <x:c r="E75" s="233" t="n"/>
      <x:c r="F75" s="233" t="n"/>
      <x:c r="G75" s="233" t="n"/>
      <x:c r="H75" s="233" t="n"/>
      <x:c r="I75" s="233" t="n"/>
      <x:c r="J75" s="233" t="n"/>
      <x:c r="K75" s="233" t="n"/>
      <x:c r="L75" s="233" t="n"/>
      <x:c r="M75" s="233" t="n"/>
      <x:c r="N75" s="233" t="n"/>
      <x:c r="O75" s="233" t="n"/>
      <x:c r="P75" s="233" t="n"/>
      <x:c r="Q75" s="233" t="n"/>
    </x:row>
    <x:row r="76">
      <x:c r="A76" s="233" t="n"/>
      <x:c r="B76" s="233" t="n"/>
      <x:c r="C76" s="233" t="n"/>
      <x:c r="D76" s="233" t="n"/>
      <x:c r="E76" s="233" t="n"/>
      <x:c r="F76" s="233" t="n"/>
      <x:c r="G76" s="233" t="n"/>
      <x:c r="H76" s="233" t="n"/>
      <x:c r="I76" s="233" t="n"/>
      <x:c r="J76" s="233" t="n"/>
      <x:c r="K76" s="233" t="n"/>
      <x:c r="L76" s="233" t="n"/>
      <x:c r="M76" s="233" t="n"/>
      <x:c r="N76" s="233" t="n"/>
      <x:c r="O76" s="233" t="n"/>
      <x:c r="P76" s="233" t="n"/>
      <x:c r="Q76" s="233" t="n"/>
    </x:row>
    <x:row r="77">
      <x:c r="A77" s="233" t="n"/>
      <x:c r="B77" s="233" t="n"/>
      <x:c r="C77" s="233" t="n"/>
      <x:c r="D77" s="233" t="n"/>
      <x:c r="E77" s="233" t="n"/>
      <x:c r="F77" s="233" t="n"/>
      <x:c r="G77" s="233" t="n"/>
      <x:c r="H77" s="233" t="n"/>
      <x:c r="I77" s="233" t="n"/>
      <x:c r="J77" s="233" t="n"/>
      <x:c r="K77" s="233" t="n"/>
      <x:c r="L77" s="233" t="n"/>
      <x:c r="M77" s="233" t="n"/>
      <x:c r="N77" s="233" t="n"/>
      <x:c r="O77" s="233" t="n"/>
      <x:c r="P77" s="233" t="n"/>
      <x:c r="Q77" s="233" t="n"/>
    </x:row>
    <x:row r="78">
      <x:c r="A78" s="233" t="n"/>
      <x:c r="B78" s="233" t="n"/>
      <x:c r="C78" s="233" t="n"/>
      <x:c r="D78" s="233" t="n"/>
      <x:c r="E78" s="233" t="n"/>
      <x:c r="F78" s="233" t="n"/>
      <x:c r="G78" s="233" t="n"/>
      <x:c r="H78" s="233" t="n"/>
      <x:c r="I78" s="233" t="n"/>
      <x:c r="J78" s="233" t="n"/>
      <x:c r="K78" s="233" t="n"/>
      <x:c r="L78" s="233" t="n"/>
      <x:c r="M78" s="233" t="n"/>
      <x:c r="N78" s="233" t="n"/>
      <x:c r="O78" s="233" t="n"/>
      <x:c r="P78" s="233" t="n"/>
      <x:c r="Q78" s="233" t="n"/>
    </x:row>
    <x:row r="79">
      <x:c r="A79" s="233" t="n"/>
      <x:c r="B79" s="233" t="n"/>
      <x:c r="C79" s="233" t="n"/>
      <x:c r="D79" s="233" t="n"/>
      <x:c r="E79" s="233" t="n"/>
      <x:c r="F79" s="233" t="n"/>
      <x:c r="G79" s="233" t="n"/>
      <x:c r="H79" s="233" t="n"/>
      <x:c r="I79" s="233" t="n"/>
      <x:c r="J79" s="233" t="n"/>
      <x:c r="K79" s="233" t="n"/>
      <x:c r="L79" s="233" t="n"/>
      <x:c r="M79" s="233" t="n"/>
      <x:c r="N79" s="233" t="n"/>
      <x:c r="O79" s="233" t="n"/>
      <x:c r="P79" s="233" t="n"/>
      <x:c r="Q79" s="233" t="n"/>
    </x:row>
    <x:row r="80">
      <x:c r="A80" s="233" t="n"/>
      <x:c r="B80" s="233" t="n"/>
      <x:c r="C80" s="233" t="n"/>
      <x:c r="D80" s="233" t="n"/>
      <x:c r="E80" s="233" t="n"/>
      <x:c r="F80" s="233" t="n"/>
      <x:c r="G80" s="233" t="n"/>
      <x:c r="H80" s="233" t="n"/>
      <x:c r="I80" s="233" t="n"/>
      <x:c r="J80" s="233" t="n"/>
      <x:c r="K80" s="233" t="n"/>
      <x:c r="L80" s="233" t="n"/>
      <x:c r="M80" s="233" t="n"/>
      <x:c r="N80" s="233" t="n"/>
      <x:c r="O80" s="233" t="n"/>
      <x:c r="P80" s="233" t="n"/>
      <x:c r="Q80" s="233" t="n"/>
    </x:row>
  </x:sheetData>
  <x:mergeCells>
    <x:mergeCell ref="A2:Q2"/>
    <x:mergeCell ref="A1:Q1"/>
    <x:mergeCell ref="A50:F50"/>
    <x:mergeCell ref="A38:J38"/>
  </x:mergeCells>
  <x:pageMargins left="0.7" right="0.7" top="0.75" bottom="0.75" header="0.3" footer="0.3"/>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Null-distribution status and historical audit — v1.2</x:t>
        </x:is>
      </x:c>
      <x:c r="B1" s="1" t="n"/>
      <x:c r="C1" s="1" t="n"/>
      <x:c r="D1" s="1" t="n"/>
      <x:c r="E1" s="1" t="n"/>
      <x:c r="F1" s="1" t="n"/>
      <x:c r="G1" s="1" t="n"/>
    </x:row>
    <x:row r="2" s="232" customFormat="1" ht="36" customHeight="1">
      <x:c r="A2" s="312" t="inlineStr">
        <x:is>
          <x:t xml:space="preserve">No inferential p-value is endorsed in v1.2. Historical values are retained to document why the prior null procedure is not appropriate for the current question.</x:t>
        </x:is>
      </x:c>
      <x:c r="B2" s="1" t="n"/>
      <x:c r="C2" s="1" t="n"/>
      <x:c r="D2" s="1" t="n"/>
      <x:c r="E2" s="1" t="n"/>
      <x:c r="F2" s="1" t="n"/>
      <x:c r="G2" s="1" t="n"/>
    </x:row>
    <x:row r="4" s="232" customFormat="1" ht="32" customHeight="1">
      <x:c r="A4" s="274" t="inlineStr">
        <x:is>
          <x:t xml:space="preserve">Record ID</x:t>
        </x:is>
      </x:c>
      <x:c r="B4" s="274" t="inlineStr">
        <x:is>
          <x:t xml:space="preserve">Null / control question</x:t>
        </x:is>
      </x:c>
      <x:c r="C4" s="274" t="inlineStr">
        <x:is>
          <x:t xml:space="preserve">Status</x:t>
        </x:is>
      </x:c>
      <x:c r="D4" s="274" t="inlineStr">
        <x:is>
          <x:t xml:space="preserve">Observed or historic result</x:t>
        </x:is>
      </x:c>
      <x:c r="E4" s="274" t="inlineStr">
        <x:is>
          <x:t xml:space="preserve">Provenance</x:t>
        </x:is>
      </x:c>
      <x:c r="F4" s="274" t="inlineStr">
        <x:is>
          <x:t xml:space="preserve">Decision</x:t>
        </x:is>
      </x:c>
      <x:c r="G4" s="274" t="inlineStr">
        <x:is>
          <x:t xml:space="preserve">Reason / next step</x:t>
        </x:is>
      </x:c>
    </x:row>
    <x:row r="5" s="232" customFormat="1" ht="24" customHeight="1">
      <x:c r="A5" s="234" t="inlineStr">
        <x:is>
          <x:t xml:space="preserve">NULL-01</x:t>
        </x:is>
      </x:c>
      <x:c r="B5" s="234" t="inlineStr">
        <x:is>
          <x:t xml:space="preserve">Historical geometry null in v1.0</x:t>
        </x:is>
      </x:c>
      <x:c r="C5" s="234" t="inlineStr">
        <x:is>
          <x:t xml:space="preserve">Historic record</x:t>
        </x:is>
      </x:c>
      <x:c r="D5" s="234" t="inlineStr">
        <x:is>
          <x:t xml:space="preserve">250,000 simulated random-pair comparisons; 0 hits; historic empirical p=(0+1)/(250000+1)=0.000003999984; Bonferroni ×3 ≈0.000012.</x:t>
        </x:is>
      </x:c>
      <x:c r="E5" s="234" t="inlineStr">
        <x:is>
          <x:t xml:space="preserve">Historical report only</x:t>
        </x:is>
      </x:c>
      <x:c r="F5" s="234" t="inlineStr">
        <x:is>
          <x:t xml:space="preserve">Do NOT use as manuscript-specific significance.</x:t>
        </x:is>
      </x:c>
      <x:c r="G5" s="234" t="inlineStr">
        <x:is>
          <x:t xml:space="preserve">Synthetic random points in a rectangular region do not approximate the actual distribution of dot clusters, page layout, reused artwork, detection thresholds, or target-selection process.</x:t>
        </x:is>
      </x:c>
    </x:row>
    <x:row r="6" s="232" customFormat="1" ht="24" customHeight="1">
      <x:c r="A6" s="234" t="inlineStr">
        <x:is>
          <x:t xml:space="preserve">NULL-02</x:t>
        </x:is>
      </x:c>
      <x:c r="B6" s="234" t="inlineStr">
        <x:is>
          <x:t xml:space="preserve">v0.2 script default comparison count</x:t>
        </x:is>
      </x:c>
      <x:c r="C6" s="234" t="inlineStr">
        <x:is>
          <x:t xml:space="preserve">Reproducibility gap</x:t>
        </x:is>
      </x:c>
      <x:c r="D6" s="234" t="inlineStr">
        <x:is>
          <x:t xml:space="preserve">Available script default specifies 60,000 random pair comparisons, not the 250,000 in the historic sheet. The separate historical config/run file was not recovered in this audit.</x:t>
        </x:is>
      </x:c>
      <x:c r="E6" s="234" t="inlineStr">
        <x:is>
          <x:t xml:space="preserve">measure_constellations_v0_2.py defaults</x:t>
        </x:is>
      </x:c>
      <x:c r="F6" s="234" t="inlineStr">
        <x:is>
          <x:t xml:space="preserve">Do not cite historical p as reproduced.</x:t>
        </x:is>
      </x:c>
      <x:c r="G6" s="234" t="inlineStr">
        <x:is>
          <x:t xml:space="preserve">Reconstruct and version the old run only for the audit trail; not for inference.</x:t>
        </x:is>
      </x:c>
    </x:row>
    <x:row r="7" s="232" customFormat="1" ht="24" customHeight="1">
      <x:c r="A7" s="234" t="inlineStr">
        <x:is>
          <x:t xml:space="preserve">NULL-03</x:t>
        </x:is>
      </x:c>
      <x:c r="B7" s="234" t="inlineStr">
        <x:is>
          <x:t xml:space="preserve">Manuscript-empirical null</x:t>
        </x:is>
      </x:c>
      <x:c r="C7" s="234" t="inlineStr">
        <x:is>
          <x:t xml:space="preserve">Not run</x:t>
        </x:is>
      </x:c>
      <x:c r="D7" s="234" t="inlineStr">
        <x:is>
          <x:t xml:space="preserve">No corpus-wide detector output or fully reviewed real dot-cluster table available in the current runtime.</x:t>
        </x:is>
      </x:c>
      <x:c r="E7" s="234" t="inlineStr">
        <x:is>
          <x:t xml:space="preserve">No empirical reference distribution built.</x:t>
        </x:is>
      </x:c>
      <x:c r="F7" s="234" t="inlineStr">
        <x:is>
          <x:t xml:space="preserve">Defer p-value.</x:t>
        </x:is>
      </x:c>
      <x:c r="G7" s="234" t="inlineStr">
        <x:is>
          <x:t xml:space="preserve">Retrieve all source scans, freeze detector parameters, detect candidates with rejected components retained, collapse copied-artwork families, then compare target against comparable clusters.</x:t>
        </x:is>
      </x:c>
    </x:row>
    <x:row r="8" s="232" customFormat="1" ht="24" customHeight="1">
      <x:c r="A8" s="234" t="inlineStr">
        <x:is>
          <x:t xml:space="preserve">NULL-04</x:t>
        </x:is>
      </x:c>
      <x:c r="B8" s="234" t="inlineStr">
        <x:is>
          <x:t xml:space="preserve">Multiplicity</x:t>
        </x:is>
      </x:c>
      <x:c r="C8" s="234" t="inlineStr">
        <x:is>
          <x:t xml:space="preserve">Unadjusted in geometric fit only</x:t>
        </x:is>
      </x:c>
      <x:c r="D8" s="234" t="inlineStr">
        <x:is>
          <x:t xml:space="preserve">For each of three page pairs × two determinant classes, 120 correspondence permutations were searched: 720 similarity fits. This is only the pilot transform search, not all prior visual hypotheses or a corpus-wide search.</x:t>
        </x:is>
      </x:c>
      <x:c r="E8" s="234" t="inlineStr">
        <x:is>
          <x:t xml:space="preserve">Geometry Refit v1.2</x:t>
        </x:is>
      </x:c>
      <x:c r="F8" s="234" t="inlineStr">
        <x:is>
          <x:t xml:space="preserve">Best in-sample residual is optimistically selected and is not a p-value.</x:t>
        </x:is>
      </x:c>
      <x:c r="G8" s="234" t="inlineStr">
        <x:is>
          <x:t xml:space="preserve">Null simulation must rerun the same complete selection pipeline on every null replicate and adjust for the complete family of searches.</x:t>
        </x:is>
      </x:c>
    </x:row>
    <x:row r="9" s="232" customFormat="1" ht="24" customHeight="1">
      <x:c r="A9" s="234" t="inlineStr">
        <x:is>
          <x:t xml:space="preserve">NULL-05</x:t>
        </x:is>
      </x:c>
      <x:c r="B9" s="234" t="inlineStr">
        <x:is>
          <x:t xml:space="preserve">Page 39 control</x:t>
        </x:is>
      </x:c>
      <x:c r="C9" s="234" t="inlineStr">
        <x:is>
          <x:t xml:space="preserve">Descriptive control only</x:t>
        </x:is>
      </x:c>
      <x:c r="D9" s="234" t="inlineStr">
        <x:is>
          <x:t xml:space="preserve">Six five-point subsets were compared; closest normalized signature RMS distance to page 24 = 0.153383.</x:t>
        </x:is>
      </x:c>
      <x:c r="E9" s="234" t="inlineStr">
        <x:is>
          <x:t xml:space="preserve">Auxiliary Controls v1.2</x:t>
        </x:is>
      </x:c>
      <x:c r="F9" s="234" t="inlineStr">
        <x:is>
          <x:t xml:space="preserve">One six-dot group cannot establish a meaningful empirical tail probability.</x:t>
        </x:is>
      </x:c>
      <x:c r="G9" s="234" t="inlineStr">
        <x:is>
          <x:t xml:space="preserve">Include all detected clusters and similarly constrained subsets from the manuscript.</x:t>
        </x:is>
      </x:c>
    </x:row>
  </x:sheetData>
  <x:mergeCells>
    <x:mergeCell ref="A2:G2"/>
    <x:mergeCell ref="A1:G1"/>
  </x:mergeCells>
  <x:pageMargins left="0.7" right="0.7" top="0.75" bottom="0.75" header="0.3" footer="0.3"/>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s>
  <x:sheetData>
    <x:row r="1" s="232" customFormat="1" ht="28" customHeight="1">
      <x:c r="A1" s="311" t="inlineStr">
        <x:is>
          <x:t xml:space="preserve">Source integrity and decoder cross-check — v1.2</x:t>
        </x:is>
      </x:c>
      <x:c r="B1" s="1" t="n"/>
      <x:c r="C1" s="1" t="n"/>
      <x:c r="D1" s="1" t="n"/>
      <x:c r="E1" s="1" t="n"/>
      <x:c r="F1" s="1" t="n"/>
      <x:c r="G1" s="1" t="n"/>
      <x:c r="H1" s="1" t="n"/>
      <x:c r="I1" s="1" t="n"/>
      <x:c r="J1" s="1" t="n"/>
    </x:row>
    <x:row r="2" s="232" customFormat="1" ht="36" customHeight="1">
      <x:c r="A2" s="312" t="inlineStr">
        <x:is>
          <x:t xml:space="preserve">Current GitHub blob IDs were queried through the public repository connector on 2026-10-10 and match v1.1. Source JPEG bytes were not available as local files in the analysis runtime, so Pillow/libjpeg vs custom-decoder pixels were not compared.</x:t>
        </x:is>
      </x:c>
      <x:c r="B2" s="1" t="n"/>
      <x:c r="C2" s="1" t="n"/>
      <x:c r="D2" s="1" t="n"/>
      <x:c r="E2" s="1" t="n"/>
      <x:c r="F2" s="1" t="n"/>
      <x:c r="G2" s="1" t="n"/>
      <x:c r="H2" s="1" t="n"/>
      <x:c r="I2" s="1" t="n"/>
      <x:c r="J2" s="1" t="n"/>
    </x:row>
    <x:row r="4" s="232" customFormat="1" ht="32" customHeight="1">
      <x:c r="A4" s="274" t="inlineStr">
        <x:is>
          <x:t xml:space="preserve">Page</x:t>
        </x:is>
      </x:c>
      <x:c r="B4" s="274" t="inlineStr">
        <x:is>
          <x:t xml:space="preserve">Original source URL</x:t>
        </x:is>
      </x:c>
      <x:c r="C4" s="274" t="inlineStr">
        <x:is>
          <x:t xml:space="preserve">GitHub blob SHA-1 (current)</x:t>
        </x:is>
      </x:c>
      <x:c r="D4" s="274" t="inlineStr">
        <x:is>
          <x:t xml:space="preserve">v1.1 Git blob SHA-1</x:t>
        </x:is>
      </x:c>
      <x:c r="E4" s="274" t="inlineStr">
        <x:is>
          <x:t xml:space="preserve">Match</x:t>
        </x:is>
      </x:c>
      <x:c r="F4" s="274" t="inlineStr">
        <x:is>
          <x:t xml:space="preserve">Recorded byte length</x:t>
        </x:is>
      </x:c>
      <x:c r="G4" s="274" t="inlineStr">
        <x:is>
          <x:t xml:space="preserve">Recorded width px</x:t>
        </x:is>
      </x:c>
      <x:c r="H4" s="274" t="inlineStr">
        <x:is>
          <x:t xml:space="preserve">Recorded height px</x:t>
        </x:is>
      </x:c>
      <x:c r="I4" s="274" t="inlineStr">
        <x:is>
          <x:t xml:space="preserve">Independent local pixel cross-check</x:t>
        </x:is>
      </x:c>
      <x:c r="J4" s="274" t="inlineStr">
        <x:is>
          <x:t xml:space="preserve">Interpretation / limitation</x:t>
        </x:is>
      </x:c>
    </x:row>
    <x:row r="5" s="232" customFormat="1" ht="24" customHeight="1">
      <x:c r="A5" s="234" t="n">
        <x:v>24</x:v>
      </x:c>
      <x:c r="B5" s="234" t="inlineStr">
        <x:is>
          <x:t xml:space="preserve">https://github.com/scream314/cicada3301/blob/master/assets/2014/liber-primus-complete/24.jpg</x:t>
        </x:is>
      </x:c>
      <x:c r="C5" s="234" t="inlineStr">
        <x:is>
          <x:t xml:space="preserve">2b4e09dbad1a9c602a2919864b1a84f49d7ff501</x:t>
        </x:is>
      </x:c>
      <x:c r="D5" s="234" t="inlineStr">
        <x:is>
          <x:t xml:space="preserve">2b4e09dbad1a9c602a2919864b1a84f49d7ff501</x:t>
        </x:is>
      </x:c>
      <x:c r="E5" s="234" t="b">
        <x:v>1</x:v>
      </x:c>
      <x:c r="F5" s="234" t="n">
        <x:v>580968</x:v>
      </x:c>
      <x:c r="G5" s="234" t="n">
        <x:v>2400</x:v>
      </x:c>
      <x:c r="H5" s="234" t="n">
        <x:v>3600</x:v>
      </x:c>
      <x:c r="I5" s="234" t="inlineStr">
        <x:is>
          <x:t xml:space="preserve">Not decoded locally in v1.2</x:t>
        </x:is>
      </x:c>
      <x:c r="J5" s="234" t="inlineStr">
        <x:is>
          <x:t xml:space="preserve">Current public Git blob IDs match v1.1; matching object ID does not equal a new independent raster comparison.</x:t>
        </x:is>
      </x:c>
    </x:row>
    <x:row r="6" s="232" customFormat="1" ht="24" customHeight="1">
      <x:c r="A6" s="234" t="n">
        <x:v>39</x:v>
      </x:c>
      <x:c r="B6" s="234" t="inlineStr">
        <x:is>
          <x:t xml:space="preserve">https://github.com/scream314/cicada3301/blob/master/assets/2014/liber-primus-complete/39.jpg</x:t>
        </x:is>
      </x:c>
      <x:c r="C6" s="234" t="inlineStr">
        <x:is>
          <x:t xml:space="preserve">0270e099f35a00dc24a9dc673ce13d4a0a843802</x:t>
        </x:is>
      </x:c>
      <x:c r="D6" s="234" t="inlineStr">
        <x:is>
          <x:t xml:space="preserve">0270e099f35a00dc24a9dc673ce13d4a0a843802</x:t>
        </x:is>
      </x:c>
      <x:c r="E6" s="234" t="b">
        <x:v>1</x:v>
      </x:c>
      <x:c r="F6" s="234" t="n">
        <x:v>512143</x:v>
      </x:c>
      <x:c r="G6" s="234" t="n">
        <x:v>2400</x:v>
      </x:c>
      <x:c r="H6" s="234" t="n">
        <x:v>3600</x:v>
      </x:c>
      <x:c r="I6" s="234" t="inlineStr">
        <x:is>
          <x:t xml:space="preserve">Not decoded locally in v1.2</x:t>
        </x:is>
      </x:c>
      <x:c r="J6" s="234" t="inlineStr">
        <x:is>
          <x:t xml:space="preserve">Current public Git blob IDs match v1.1; matching object ID does not equal a new independent raster comparison.</x:t>
        </x:is>
      </x:c>
    </x:row>
    <x:row r="7" s="232" customFormat="1" ht="24" customHeight="1">
      <x:c r="A7" s="234" t="n">
        <x:v>40</x:v>
      </x:c>
      <x:c r="B7" s="234" t="inlineStr">
        <x:is>
          <x:t xml:space="preserve">https://github.com/scream314/cicada3301/blob/master/assets/2014/liber-primus-complete/40.jpg</x:t>
        </x:is>
      </x:c>
      <x:c r="C7" s="234" t="inlineStr">
        <x:is>
          <x:t xml:space="preserve">feee4eed2a4f6d66456ff5a977f43c7ef297f8eb</x:t>
        </x:is>
      </x:c>
      <x:c r="D7" s="234" t="inlineStr">
        <x:is>
          <x:t xml:space="preserve">feee4eed2a4f6d66456ff5a977f43c7ef297f8eb</x:t>
        </x:is>
      </x:c>
      <x:c r="E7" s="234" t="b">
        <x:v>1</x:v>
      </x:c>
      <x:c r="F7" s="234" t="n">
        <x:v>484095</x:v>
      </x:c>
      <x:c r="G7" s="234" t="n">
        <x:v>2400</x:v>
      </x:c>
      <x:c r="H7" s="234" t="n">
        <x:v>3600</x:v>
      </x:c>
      <x:c r="I7" s="234" t="inlineStr">
        <x:is>
          <x:t xml:space="preserve">Not decoded locally in v1.2</x:t>
        </x:is>
      </x:c>
      <x:c r="J7" s="234" t="inlineStr">
        <x:is>
          <x:t xml:space="preserve">Current public Git blob IDs match v1.1; matching object ID does not equal a new independent raster comparison.</x:t>
        </x:is>
      </x:c>
    </x:row>
    <x:row r="8" s="232" customFormat="1" ht="24" customHeight="1">
      <x:c r="A8" s="234" t="n">
        <x:v>50</x:v>
      </x:c>
      <x:c r="B8" s="234" t="inlineStr">
        <x:is>
          <x:t xml:space="preserve">https://github.com/scream314/cicada3301/blob/master/assets/2014/liber-primus-complete/50.jpg</x:t>
        </x:is>
      </x:c>
      <x:c r="C8" s="234" t="inlineStr">
        <x:is>
          <x:t xml:space="preserve">68d3e28d8c4161fdfe91a542f5bac8e276bc441e</x:t>
        </x:is>
      </x:c>
      <x:c r="D8" s="234" t="inlineStr">
        <x:is>
          <x:t xml:space="preserve">68d3e28d8c4161fdfe91a542f5bac8e276bc441e</x:t>
        </x:is>
      </x:c>
      <x:c r="E8" s="234" t="b">
        <x:v>1</x:v>
      </x:c>
      <x:c r="F8" s="234" t="n">
        <x:v>525652</x:v>
      </x:c>
      <x:c r="G8" s="234" t="n">
        <x:v>2400</x:v>
      </x:c>
      <x:c r="H8" s="234" t="n">
        <x:v>3600</x:v>
      </x:c>
      <x:c r="I8" s="234" t="inlineStr">
        <x:is>
          <x:t xml:space="preserve">Not decoded locally in v1.2</x:t>
        </x:is>
      </x:c>
      <x:c r="J8" s="234" t="inlineStr">
        <x:is>
          <x:t xml:space="preserve">Current public Git blob IDs match v1.1; matching object ID does not equal a new independent raster comparison.</x:t>
        </x:is>
      </x:c>
    </x:row>
    <x:row r="9" s="232" customFormat="1" ht="24" customHeight="1">
      <x:c r="A9" s="234" t="n">
        <x:v>56</x:v>
      </x:c>
      <x:c r="B9" s="234" t="inlineStr">
        <x:is>
          <x:t xml:space="preserve">https://github.com/scream314/cicada3301/blob/master/assets/2014/liber-primus-complete/56.jpg</x:t>
        </x:is>
      </x:c>
      <x:c r="C9" s="234" t="inlineStr">
        <x:is>
          <x:t xml:space="preserve">819261c833837cbaa2bd200d210ca299d79031f3</x:t>
        </x:is>
      </x:c>
      <x:c r="D9" s="234" t="inlineStr">
        <x:is>
          <x:t xml:space="preserve">819261c833837cbaa2bd200d210ca299d79031f3</x:t>
        </x:is>
      </x:c>
      <x:c r="E9" s="234" t="b">
        <x:v>1</x:v>
      </x:c>
      <x:c r="F9" s="234" t="n">
        <x:v>541379</x:v>
      </x:c>
      <x:c r="G9" s="234" t="n">
        <x:v>2400</x:v>
      </x:c>
      <x:c r="H9" s="234" t="n">
        <x:v>3600</x:v>
      </x:c>
      <x:c r="I9" s="234" t="inlineStr">
        <x:is>
          <x:t xml:space="preserve">Not decoded locally in v1.2</x:t>
        </x:is>
      </x:c>
      <x:c r="J9" s="234" t="inlineStr">
        <x:is>
          <x:t xml:space="preserve">Current public Git blob IDs match v1.1; matching object ID does not equal a new independent raster comparison.</x:t>
        </x:is>
      </x:c>
    </x:row>
    <x:row r="10" s="232" customFormat="1" ht="24" customHeight="1">
      <x:c r="A10" s="234" t="n">
        <x:v>57</x:v>
      </x:c>
      <x:c r="B10" s="234" t="inlineStr">
        <x:is>
          <x:t xml:space="preserve">https://github.com/scream314/cicada3301/blob/master/assets/2014/liber-primus-complete/57.jpg</x:t>
        </x:is>
      </x:c>
      <x:c r="C10" s="234" t="inlineStr">
        <x:is>
          <x:t xml:space="preserve">83f661b6107587c5d153d6dea3f6bf03090a70bc</x:t>
        </x:is>
      </x:c>
      <x:c r="D10" s="234" t="inlineStr">
        <x:is>
          <x:t xml:space="preserve">83f661b6107587c5d153d6dea3f6bf03090a70bc</x:t>
        </x:is>
      </x:c>
      <x:c r="E10" s="234" t="b">
        <x:v>1</x:v>
      </x:c>
      <x:c r="F10" s="234" t="n">
        <x:v>746355</x:v>
      </x:c>
      <x:c r="G10" s="234" t="n">
        <x:v>2400</x:v>
      </x:c>
      <x:c r="H10" s="234" t="n">
        <x:v>3600</x:v>
      </x:c>
      <x:c r="I10" s="234" t="inlineStr">
        <x:is>
          <x:t xml:space="preserve">Not decoded locally in v1.2</x:t>
        </x:is>
      </x:c>
      <x:c r="J10" s="234" t="inlineStr">
        <x:is>
          <x:t xml:space="preserve">Current public Git blob IDs match v1.1; matching object ID does not equal a new independent raster comparison.</x:t>
        </x:is>
      </x:c>
    </x:row>
    <x:row r="11" s="232" customFormat="1" ht="24" customHeight="1">
      <x:c r="A11" s="234" t="n">
        <x:v>68</x:v>
      </x:c>
      <x:c r="B11" s="234" t="inlineStr">
        <x:is>
          <x:t xml:space="preserve">https://github.com/scream314/cicada3301/blob/master/assets/2014/liber-primus-complete/68.jpg</x:t>
        </x:is>
      </x:c>
      <x:c r="C11" s="234" t="inlineStr">
        <x:is>
          <x:t xml:space="preserve">701e47789abf4401d61420ff938c2b72aa03ad2c</x:t>
        </x:is>
      </x:c>
      <x:c r="D11" s="234" t="inlineStr">
        <x:is>
          <x:t xml:space="preserve">701e47789abf4401d61420ff938c2b72aa03ad2c</x:t>
        </x:is>
      </x:c>
      <x:c r="E11" s="234" t="b">
        <x:v>1</x:v>
      </x:c>
      <x:c r="F11" s="234" t="n">
        <x:v>661727</x:v>
      </x:c>
      <x:c r="G11" s="234" t="n">
        <x:v>2400</x:v>
      </x:c>
      <x:c r="H11" s="234" t="n">
        <x:v>3600</x:v>
      </x:c>
      <x:c r="I11" s="234" t="inlineStr">
        <x:is>
          <x:t xml:space="preserve">Not decoded locally in v1.2</x:t>
        </x:is>
      </x:c>
      <x:c r="J11" s="234" t="inlineStr">
        <x:is>
          <x:t xml:space="preserve">Current public Git blob IDs match v1.1; matching object ID does not equal a new independent raster comparison.</x:t>
        </x:is>
      </x:c>
    </x:row>
    <x:row r="12" s="232" customFormat="1" ht="24" customHeight="1">
      <x:c r="A12" s="234" t="n">
        <x:v>73</x:v>
      </x:c>
      <x:c r="B12" s="234" t="inlineStr">
        <x:is>
          <x:t xml:space="preserve">https://github.com/scream314/cicada3301/blob/master/assets/2014/liber-primus-complete/73.jpg</x:t>
        </x:is>
      </x:c>
      <x:c r="C12" s="234" t="inlineStr">
        <x:is>
          <x:t xml:space="preserve">afa3428764199ddf590baf0c055c8caedc079cb1</x:t>
        </x:is>
      </x:c>
      <x:c r="D12" s="234" t="inlineStr">
        <x:is>
          <x:t xml:space="preserve">afa3428764199ddf590baf0c055c8caedc079cb1</x:t>
        </x:is>
      </x:c>
      <x:c r="E12" s="234" t="b">
        <x:v>1</x:v>
      </x:c>
      <x:c r="F12" s="234" t="n">
        <x:v>389813</x:v>
      </x:c>
      <x:c r="G12" s="234" t="n">
        <x:v>2400</x:v>
      </x:c>
      <x:c r="H12" s="234" t="n">
        <x:v>3600</x:v>
      </x:c>
      <x:c r="I12" s="234" t="inlineStr">
        <x:is>
          <x:t xml:space="preserve">Not decoded locally in v1.2</x:t>
        </x:is>
      </x:c>
      <x:c r="J12" s="234" t="inlineStr">
        <x:is>
          <x:t xml:space="preserve">Current public Git blob IDs match v1.1; matching object ID does not equal a new independent raster comparison.</x:t>
        </x:is>
      </x:c>
    </x:row>
  </x:sheetData>
  <x:mergeCells>
    <x:mergeCell ref="A1:J1"/>
    <x:mergeCell ref="A2:J2"/>
  </x:mergeCells>
  <x:pageMargins left="0.7" right="0.7" top="0.75" bottom="0.75" header="0.3" footer="0.3"/>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 min="8" max="8" width="16" style="232" customWidth="1"/>
    <x:col min="9" max="9" width="16" style="232" customWidth="1"/>
    <x:col min="10" max="10" width="16" style="232" customWidth="1"/>
    <x:col min="11" max="11" width="16" style="232" customWidth="1"/>
  </x:cols>
  <x:sheetData>
    <x:row r="1" s="232" customFormat="1" ht="28" customHeight="1">
      <x:c r="A1" s="311" t="inlineStr">
        <x:is>
          <x:t xml:space="preserve">Experiment log — v1.2</x:t>
        </x:is>
      </x:c>
      <x:c r="B1" s="1" t="n"/>
      <x:c r="C1" s="1" t="n"/>
      <x:c r="D1" s="1" t="n"/>
      <x:c r="E1" s="1" t="n"/>
      <x:c r="F1" s="1" t="n"/>
      <x:c r="G1" s="1" t="n"/>
      <x:c r="H1" s="1" t="n"/>
      <x:c r="I1" s="1" t="n"/>
      <x:c r="J1" s="1" t="n"/>
      <x:c r="K1" s="1" t="n"/>
    </x:row>
    <x:row r="2" s="232" customFormat="1" ht="36" customHeight="1">
      <x:c r="A2" s="312" t="inlineStr">
        <x:is>
          <x:t xml:space="preserve">Date stamped 2026-10-10. “PASS” applies only to the described subtask; it does not imply the entire hypothesis was independently validated.</x:t>
        </x:is>
      </x:c>
      <x:c r="B2" s="1" t="n"/>
      <x:c r="C2" s="1" t="n"/>
      <x:c r="D2" s="1" t="n"/>
      <x:c r="E2" s="1" t="n"/>
      <x:c r="F2" s="1" t="n"/>
      <x:c r="G2" s="1" t="n"/>
      <x:c r="H2" s="1" t="n"/>
      <x:c r="I2" s="1" t="n"/>
      <x:c r="J2" s="1" t="n"/>
      <x:c r="K2" s="1" t="n"/>
    </x:row>
    <x:row r="4" s="232" customFormat="1" ht="32" customHeight="1">
      <x:c r="A4" s="274" t="inlineStr">
        <x:is>
          <x:t xml:space="preserve">Experiment ID</x:t>
        </x:is>
      </x:c>
      <x:c r="B4" s="274" t="inlineStr">
        <x:is>
          <x:t xml:space="preserve">Date</x:t>
        </x:is>
      </x:c>
      <x:c r="C4" s="274" t="inlineStr">
        <x:is>
          <x:t xml:space="preserve">Research question</x:t>
        </x:is>
      </x:c>
      <x:c r="D4" s="274" t="inlineStr">
        <x:is>
          <x:t xml:space="preserve">Hypothesis</x:t>
        </x:is>
      </x:c>
      <x:c r="E4" s="274" t="inlineStr">
        <x:is>
          <x:t xml:space="preserve">Method / parameters</x:t>
        </x:is>
      </x:c>
      <x:c r="F4" s="274" t="inlineStr">
        <x:is>
          <x:t xml:space="preserve">Sample size</x:t>
        </x:is>
      </x:c>
      <x:c r="G4" s="274" t="inlineStr">
        <x:is>
          <x:t xml:space="preserve">Actual result</x:t>
        </x:is>
      </x:c>
      <x:c r="H4" s="274" t="inlineStr">
        <x:is>
          <x:t xml:space="preserve">Status</x:t>
        </x:is>
      </x:c>
      <x:c r="I4" s="274" t="inlineStr">
        <x:is>
          <x:t xml:space="preserve">Limitations</x:t>
        </x:is>
      </x:c>
      <x:c r="J4" s="274" t="inlineStr">
        <x:is>
          <x:t xml:space="preserve">Decision</x:t>
        </x:is>
      </x:c>
      <x:c r="K4" s="274" t="inlineStr">
        <x:is>
          <x:t xml:space="preserve">Next action</x:t>
        </x:is>
      </x:c>
    </x:row>
    <x:row r="5" s="232" customFormat="1" ht="24" customHeight="1">
      <x:c r="A5" s="234" t="inlineStr">
        <x:is>
          <x:t xml:space="preserve">EXP-2026-10-10-01</x:t>
        </x:is>
      </x:c>
      <x:c r="B5" s="234" t="inlineStr">
        <x:is>
          <x:t xml:space="preserve">2026-10-10</x:t>
        </x:is>
      </x:c>
      <x:c r="C5" s="234" t="inlineStr">
        <x:is>
          <x:t xml:space="preserve">Recover source artifacts</x:t>
        </x:is>
      </x:c>
      <x:c r="D5" s="234" t="inlineStr">
        <x:is>
          <x:t xml:space="preserve">v1.1 workbook and extraction code available in Library</x:t>
        </x:is>
      </x:c>
      <x:c r="E5" s="234" t="inlineStr">
        <x:is>
          <x:t xml:space="preserve">Library materialization; artifact_tool open</x:t>
        </x:is>
      </x:c>
      <x:c r="F5" s="234" t="inlineStr">
        <x:is>
          <x:t xml:space="preserve">Workbook / script</x:t>
        </x:is>
      </x:c>
      <x:c r="G5" s="234" t="inlineStr">
        <x:is>
          <x:t xml:space="preserve">Workbook opens; 19 pre-existing sheets present</x:t>
        </x:is>
      </x:c>
      <x:c r="H5" s="234" t="inlineStr">
        <x:is>
          <x:t xml:space="preserve">PASS</x:t>
        </x:is>
      </x:c>
      <x:c r="I5" s="234" t="inlineStr">
        <x:is>
          <x:t xml:space="preserve">Workbook SHA-256 logged; do not alter old rows</x:t>
        </x:is>
      </x:c>
      <x:c r="J5" s="234" t="inlineStr">
        <x:is>
          <x:t xml:space="preserve">Retain</x:t>
        </x:is>
      </x:c>
      <x:c r="K5" s="234" t="inlineStr">
        <x:is>
          <x:t xml:space="preserve">Append new sheets only.</x:t>
        </x:is>
      </x:c>
    </x:row>
    <x:row r="6" s="232" customFormat="1" ht="24" customHeight="1">
      <x:c r="A6" s="234" t="inlineStr">
        <x:is>
          <x:t xml:space="preserve">EXP-2026-10-10-02</x:t>
        </x:is>
      </x:c>
      <x:c r="B6" s="234" t="inlineStr">
        <x:is>
          <x:t xml:space="preserve">2026-10-10</x:t>
        </x:is>
      </x:c>
      <x:c r="C6" s="234" t="inlineStr">
        <x:is>
          <x:t xml:space="preserve">Check source object provenance</x:t>
        </x:is>
      </x:c>
      <x:c r="D6" s="234" t="inlineStr">
        <x:is>
          <x:t xml:space="preserve">Current GitHub blob IDs equal recorded IDs for eight pilot pages</x:t>
        </x:is>
      </x:c>
      <x:c r="E6" s="234" t="inlineStr">
        <x:is>
          <x:t xml:space="preserve">Public GitHub connector lookup; compare returned SHA to v1.1 records</x:t>
        </x:is>
      </x:c>
      <x:c r="F6" s="234" t="inlineStr">
        <x:is>
          <x:t xml:space="preserve">pages 24,39,40,50,56,57,68,73</x:t>
        </x:is>
      </x:c>
      <x:c r="G6" s="234" t="inlineStr">
        <x:is>
          <x:t xml:space="preserve">8/8 IDs match</x:t>
        </x:is>
      </x:c>
      <x:c r="H6" s="234" t="inlineStr">
        <x:is>
          <x:t xml:space="preserve">PASS for source object IDs only</x:t>
        </x:is>
      </x:c>
      <x:c r="I6" s="234" t="inlineStr">
        <x:is>
          <x:t xml:space="preserve">No source image bytes decoded locally</x:t>
        </x:is>
      </x:c>
      <x:c r="J6" s="234" t="inlineStr">
        <x:is>
          <x:t xml:space="preserve">Retain</x:t>
        </x:is>
      </x:c>
      <x:c r="K6" s="234" t="inlineStr">
        <x:is>
          <x:t xml:space="preserve">Local pixel cross-check remains needed.</x:t>
        </x:is>
      </x:c>
    </x:row>
    <x:row r="7" s="232" customFormat="1" ht="24" customHeight="1">
      <x:c r="A7" s="234" t="inlineStr">
        <x:is>
          <x:t xml:space="preserve">EXP-2026-10-10-03</x:t>
        </x:is>
      </x:c>
      <x:c r="B7" s="234" t="inlineStr">
        <x:is>
          <x:t xml:space="preserve">2026-10-10</x:t>
        </x:is>
      </x:c>
      <x:c r="C7" s="234" t="inlineStr">
        <x:is>
          <x:t xml:space="preserve">Audit target centroid rows</x:t>
        </x:is>
      </x:c>
      <x:c r="D7" s="234" t="inlineStr">
        <x:is>
          <x:t xml:space="preserve">All required per-row provenance is present and coordinate arithmetic is consistent</x:t>
        </x:is>
      </x:c>
      <x:c r="E7" s="234" t="inlineStr">
        <x:is>
          <x:t xml:space="preserve">Stored v1.1 fields, bbox, normalized coordinates and ROI containment</x:t>
        </x:is>
      </x:c>
      <x:c r="F7" s="234" t="inlineStr">
        <x:is>
          <x:t xml:space="preserve">15 target centroids</x:t>
        </x:is>
      </x:c>
      <x:c r="G7" s="234" t="inlineStr">
        <x:is>
          <x:t xml:space="preserve">No completeness/ROI/bbox/normalization issues above tolerance</x:t>
        </x:is>
      </x:c>
      <x:c r="H7" s="234" t="inlineStr">
        <x:is>
          <x:t xml:space="preserve">PASS as workbook consistency audit</x:t>
        </x:is>
      </x:c>
      <x:c r="I7" s="234" t="inlineStr">
        <x:is>
          <x:t xml:space="preserve">Measurements not freshly extracted from source pixels</x:t>
        </x:is>
      </x:c>
      <x:c r="J7" s="234" t="inlineStr">
        <x:is>
          <x:t xml:space="preserve">Retain</x:t>
        </x:is>
      </x:c>
      <x:c r="K7" s="234" t="inlineStr">
        <x:is>
          <x:t xml:space="preserve">Recover custom JS decoder source and/or remeasure with Pillow.</x:t>
        </x:is>
      </x:c>
    </x:row>
    <x:row r="8" s="232" customFormat="1" ht="24" customHeight="1">
      <x:c r="A8" s="234" t="inlineStr">
        <x:is>
          <x:t xml:space="preserve">EXP-2026-10-10-04</x:t>
        </x:is>
      </x:c>
      <x:c r="B8" s="234" t="inlineStr">
        <x:is>
          <x:t xml:space="preserve">2026-10-10</x:t>
        </x:is>
      </x:c>
      <x:c r="C8" s="234" t="inlineStr">
        <x:is>
          <x:t xml:space="preserve">Refit 5-dot target geometry</x:t>
        </x:is>
      </x:c>
      <x:c r="D8" s="234" t="inlineStr">
        <x:is>
          <x:t xml:space="preserve">Pairs fit near rotation/reflection copies when each has five observed points</x:t>
        </x:is>
      </x:c>
      <x:c r="E8" s="234" t="inlineStr">
        <x:is>
          <x:t xml:space="preserve">Similarity least-squares; all 120 target permutations × det ±1; x,y are source pixels</x:t>
        </x:is>
      </x:c>
      <x:c r="F8" s="234" t="inlineStr">
        <x:is>
          <x:t xml:space="preserve">3 pairs; 720 fits</x:t>
        </x:is>
      </x:c>
      <x:c r="G8" s="234" t="inlineStr">
        <x:is>
          <x:t xml:space="preserve">Best RMS: 24→40 0.031138; 24→73 0.206429; 40→73 0.231805 px</x:t>
        </x:is>
      </x:c>
      <x:c r="H8" s="234" t="inlineStr">
        <x:is>
          <x:t xml:space="preserve">PASS for arithmetic on stored coordinates</x:t>
        </x:is>
      </x:c>
      <x:c r="I8" s="234" t="inlineStr">
        <x:is>
          <x:t xml:space="preserve">Selection optimized over 120 mappings/model; in-sample residual is not a p-value</x:t>
        </x:is>
      </x:c>
      <x:c r="J8" s="234" t="inlineStr">
        <x:is>
          <x:t xml:space="preserve">Retain descriptive geometry only</x:t>
        </x:is>
      </x:c>
      <x:c r="K8" s="234" t="inlineStr">
        <x:is>
          <x:t xml:space="preserve">Compare with actual full corpus and realistic null.</x:t>
        </x:is>
      </x:c>
    </x:row>
    <x:row r="9" s="232" customFormat="1" ht="24" customHeight="1">
      <x:c r="A9" s="234" t="inlineStr">
        <x:is>
          <x:t xml:space="preserve">EXP-2026-10-10-12</x:t>
        </x:is>
      </x:c>
      <x:c r="B9" s="234" t="inlineStr">
        <x:is>
          <x:t xml:space="preserve">2026-10-10</x:t>
        </x:is>
      </x:c>
      <x:c r="C9" s="234" t="inlineStr">
        <x:is>
          <x:t xml:space="preserve">Reconcile stored transformation rows</x:t>
        </x:is>
      </x:c>
      <x:c r="D9" s="234" t="inlineStr">
        <x:is>
          <x:t xml:space="preserve">Same transformation and coordinates should give the same in-sample residual</x:t>
        </x:is>
      </x:c>
      <x:c r="E9" s="234" t="inlineStr">
        <x:is>
          <x:t xml:space="preserve">Refit from Pixel Centroids v1.1 numeric cells and compare the best model per pair with Pixel Transform Fits v1.1</x:t>
        </x:is>
      </x:c>
      <x:c r="F9" s="234" t="inlineStr">
        <x:is>
          <x:t xml:space="preserve">3 best-model pairs</x:t>
        </x:is>
      </x:c>
      <x:c r="G9" s="234" t="inlineStr">
        <x:is>
          <x:t xml:space="preserve">Mappings/model classes agree; RMS deltas: 24→40 -0.000001381 px; 24→73 0.000242609 px; 40→73 0.000256023 px</x:t>
        </x:is>
      </x:c>
      <x:c r="H9" s="234" t="inlineStr">
        <x:is>
          <x:t xml:space="preserve">PARTIAL / unresolved</x:t>
        </x:is>
      </x:c>
      <x:c r="I9" s="234" t="inlineStr">
        <x:is>
          <x:t xml:space="preserve">Possible higher precision or input/calculation variation; exact cause not confirmed</x:t>
        </x:is>
      </x:c>
      <x:c r="J9" s="234" t="inlineStr">
        <x:is>
          <x:t xml:space="preserve">Retain both numbers</x:t>
        </x:is>
      </x:c>
      <x:c r="K9" s="234" t="inlineStr">
        <x:is>
          <x:t xml:space="preserve">Check full precision original centroid outputs and prior fit implementation.</x:t>
        </x:is>
      </x:c>
    </x:row>
    <x:row r="10" s="232" customFormat="1" ht="24" customHeight="1">
      <x:c r="A10" s="234" t="inlineStr">
        <x:is>
          <x:t xml:space="preserve">EXP-2026-10-10-05</x:t>
        </x:is>
      </x:c>
      <x:c r="B10" s="234" t="inlineStr">
        <x:is>
          <x:t xml:space="preserve">2026-10-10</x:t>
        </x:is>
      </x:c>
      <x:c r="C10" s="234" t="inlineStr">
        <x:is>
          <x:t xml:space="preserve">Recompute distance signatures</x:t>
        </x:is>
      </x:c>
      <x:c r="D10" s="234" t="inlineStr">
        <x:is>
          <x:t xml:space="preserve">Invariant shape signatures should be comparable under a common normalization</x:t>
        </x:is>
      </x:c>
      <x:c r="E10" s="234" t="inlineStr">
        <x:is>
          <x:t xml:space="preserve">Sort all 10 pair distances; divide by each group RMS pair distance</x:t>
        </x:is>
      </x:c>
      <x:c r="F10" s="234" t="inlineStr">
        <x:is>
          <x:t xml:space="preserve">3 page-pairs</x:t>
        </x:is>
      </x:c>
      <x:c r="G10" s="234" t="inlineStr">
        <x:is>
          <x:t xml:space="preserve">RMS signature differences: 24–40 0.00006365; 24–73 0.00048502; 40–73 0.00053060</x:t>
        </x:is>
      </x:c>
      <x:c r="H10" s="234" t="inlineStr">
        <x:is>
          <x:t xml:space="preserve">PASS for arithmetic on stored coordinates</x:t>
        </x:is>
      </x:c>
      <x:c r="I10" s="234" t="inlineStr">
        <x:is>
          <x:t xml:space="preserve">Not evidence of cipher, exact-copy artwork not proven by signature alone</x:t>
        </x:is>
      </x:c>
      <x:c r="J10" s="234" t="inlineStr">
        <x:is>
          <x:t xml:space="preserve">Retain</x:t>
        </x:is>
      </x:c>
      <x:c r="K10" s="234" t="inlineStr">
        <x:is>
          <x:t xml:space="preserve">Add repeated-cluster deduplication before null.</x:t>
        </x:is>
      </x:c>
    </x:row>
    <x:row r="11" s="232" customFormat="1" ht="24" customHeight="1">
      <x:c r="A11" s="234" t="inlineStr">
        <x:is>
          <x:t xml:space="preserve">EXP-2026-10-10-06</x:t>
        </x:is>
      </x:c>
      <x:c r="B11" s="234" t="inlineStr">
        <x:is>
          <x:t xml:space="preserve">2026-10-10</x:t>
        </x:is>
      </x:c>
      <x:c r="C11" s="234" t="inlineStr">
        <x:is>
          <x:t xml:space="preserve">Threshold sensitivity audit</x:t>
        </x:is>
      </x:c>
      <x:c r="D11" s="234" t="inlineStr">
        <x:is>
          <x:t xml:space="preserve">Centroid placements should be stable under nearby luma cutoffs</x:t>
        </x:is>
      </x:c>
      <x:c r="E11" s="234" t="inlineStr">
        <x:is>
          <x:t xml:space="preserve">Compare T=40/60/80/100 records per point</x:t>
        </x:is>
      </x:c>
      <x:c r="F11" s="234" t="inlineStr">
        <x:is>
          <x:t xml:space="preserve">60 rows; 15 points</x:t>
        </x:is>
      </x:c>
      <x:c r="G11" s="234" t="inlineStr">
        <x:is>
          <x:t xml:space="preserve">Maximum shift from T60 0.173612 px; median of per-dot maximum shifts 0.050990 px</x:t>
        </x:is>
      </x:c>
      <x:c r="H11" s="234" t="inlineStr">
        <x:is>
          <x:t xml:space="preserve">PASS for recorded sensitivity data</x:t>
        </x:is>
      </x:c>
      <x:c r="I11" s="234" t="inlineStr">
        <x:is>
          <x:t xml:space="preserve">Threshold records are attributed to the JS decoder but that source was not recovered</x:t>
        </x:is>
      </x:c>
      <x:c r="J11" s="234" t="inlineStr">
        <x:is>
          <x:t xml:space="preserve">Retain as internal sensitivity check</x:t>
        </x:is>
      </x:c>
      <x:c r="K11" s="234" t="inlineStr">
        <x:is>
          <x:t xml:space="preserve">Validate extraction via independent known decoder.</x:t>
        </x:is>
      </x:c>
    </x:row>
    <x:row r="12" s="232" customFormat="1" ht="24" customHeight="1">
      <x:c r="A12" s="234" t="inlineStr">
        <x:is>
          <x:t xml:space="preserve">EXP-2026-10-10-07</x:t>
        </x:is>
      </x:c>
      <x:c r="B12" s="234" t="inlineStr">
        <x:is>
          <x:t xml:space="preserve">2026-10-10</x:t>
        </x:is>
      </x:c>
      <x:c r="C12" s="234" t="inlineStr">
        <x:is>
          <x:t xml:space="preserve">Three-dot and other controls</x:t>
        </x:is>
      </x:c>
      <x:c r="D12" s="234" t="inlineStr">
        <x:is>
          <x:t xml:space="preserve">The 50/56 rows share a scaled spacing design; plant 57/68 data should be checked as reuse; page 39 subsets provide a local comparison</x:t>
        </x:is>
      </x:c>
      <x:c r="E12" s="234" t="inlineStr">
        <x:is>
          <x:t xml:space="preserve">Common gap proportions and RMS-normalized pairwise signature</x:t>
        </x:is>
      </x:c>
      <x:c r="F12" s="234" t="inlineStr">
        <x:is>
          <x:t xml:space="preserve">2 three-dot groups; 2 plant groups; 6 p39 subsets</x:t>
        </x:is>
      </x:c>
      <x:c r="G12" s="234" t="inlineStr">
        <x:is>
          <x:t xml:space="preserve">50 gap shares 46.621432/53.378568%; 56 46.610069/53.389931%; p57/68 coordinates+area+bboxes equal=True; best p39 subset signature diff 0.153383</x:t>
        </x:is>
      </x:c>
      <x:c r="H12" s="234" t="inlineStr">
        <x:is>
          <x:t xml:space="preserve">PASS for math on workbook rows</x:t>
        </x:is>
      </x:c>
      <x:c r="I12" s="234" t="inlineStr">
        <x:is>
          <x:t xml:space="preserve">No pixel-exact comparison and no corpus-representative null</x:t>
        </x:is>
      </x:c>
      <x:c r="J12" s="234" t="inlineStr">
        <x:is>
          <x:t xml:space="preserve">Retain as controls, not cipher result</x:t>
        </x:is>
      </x:c>
      <x:c r="K12" s="234" t="inlineStr">
        <x:is>
          <x:t xml:space="preserve">Pixel-difference p57/p68; full corpus candidates.</x:t>
        </x:is>
      </x:c>
    </x:row>
    <x:row r="13" s="232" customFormat="1" ht="24" customHeight="1">
      <x:c r="A13" s="234" t="inlineStr">
        <x:is>
          <x:t xml:space="preserve">EXP-2026-10-10-08</x:t>
        </x:is>
      </x:c>
      <x:c r="B13" s="234" t="inlineStr">
        <x:is>
          <x:t xml:space="preserve">2026-10-10</x:t>
        </x:is>
      </x:c>
      <x:c r="C13" s="234" t="inlineStr">
        <x:is>
          <x:t xml:space="preserve">Independent decoder cross-check</x:t>
        </x:is>
      </x:c>
      <x:c r="D13" s="234" t="inlineStr">
        <x:is>
          <x:t xml:space="preserve">Standard Pillow/libjpeg output should be compared with the reported custom JS decoder output</x:t>
        </x:is>
      </x:c>
      <x:c r="E13" s="234" t="inlineStr">
        <x:is>
          <x:t xml:space="preserve">Attempted local source image retrieval; available Python script inspected</x:t>
        </x:is>
      </x:c>
      <x:c r="F13" s="234" t="inlineStr">
        <x:is>
          <x:t xml:space="preserve">8 pilot source images</x:t>
        </x:is>
      </x:c>
      <x:c r="G13" s="234" t="inlineStr">
        <x:is>
          <x:t xml:space="preserve">Source Git IDs verified, but local JPEG files and JS decoder source unavailable for pixelwise comparison</x:t>
        </x:is>
      </x:c>
      <x:c r="H13" s="234" t="inlineStr">
        <x:is>
          <x:t xml:space="preserve">BLOCKED / unresolved</x:t>
        </x:is>
      </x:c>
      <x:c r="I13" s="234" t="inlineStr">
        <x:is>
          <x:t xml:space="preserve">Synthetic self-test validates toy circles only and is not image-decoder validation</x:t>
        </x:is>
      </x:c>
      <x:c r="J13" s="234" t="inlineStr">
        <x:is>
          <x:t xml:space="preserve">Defer</x:t>
        </x:is>
      </x:c>
      <x:c r="K13" s="234" t="inlineStr">
        <x:is>
          <x:t xml:space="preserve">Obtain decoder implementation + local source bytes.</x:t>
        </x:is>
      </x:c>
    </x:row>
    <x:row r="14" s="232" customFormat="1" ht="24" customHeight="1">
      <x:c r="A14" s="234" t="inlineStr">
        <x:is>
          <x:t xml:space="preserve">EXP-2026-10-10-09</x:t>
        </x:is>
      </x:c>
      <x:c r="B14" s="234" t="inlineStr">
        <x:is>
          <x:t xml:space="preserve">2026-10-10</x:t>
        </x:is>
      </x:c>
      <x:c r="C14" s="234" t="inlineStr">
        <x:is>
          <x:t xml:space="preserve">Manuscript-wide dot detection</x:t>
        </x:is>
      </x:c>
      <x:c r="D14" s="234" t="inlineStr">
        <x:is>
          <x:t xml:space="preserve">Find comparable dot clusters across all 00–74 scans with rejected candidates retained</x:t>
        </x:is>
      </x:c>
      <x:c r="E14" s="234" t="inlineStr">
        <x:is>
          <x:t xml:space="preserve">Current Python tool only has three pilot ROIs; source JPEGs not available locally</x:t>
        </x:is>
      </x:c>
      <x:c r="F14" s="234" t="inlineStr">
        <x:is>
          <x:t xml:space="preserve">0 new whole-corpus pages processed</x:t>
        </x:is>
      </x:c>
      <x:c r="G14" s="234" t="inlineStr">
        <x:is>
          <x:t xml:space="preserve">No corpus-wide candidates produced in v1.2</x:t>
        </x:is>
      </x:c>
      <x:c r="H14" s="234" t="inlineStr">
        <x:is>
          <x:t xml:space="preserve">NOT RUN</x:t>
        </x:is>
      </x:c>
      <x:c r="I14" s="234" t="inlineStr">
        <x:is>
          <x:t xml:space="preserve">Cannot count clusters, estimate corpus prevalence, or calculate empirical tail probability</x:t>
        </x:is>
      </x:c>
      <x:c r="J14" s="234" t="inlineStr">
        <x:is>
          <x:t xml:space="preserve">Defer</x:t>
        </x:is>
      </x:c>
      <x:c r="K14" s="234" t="inlineStr">
        <x:is>
          <x:t xml:space="preserve">Rework detector and run over source bytes in full coverage batches.</x:t>
        </x:is>
      </x:c>
    </x:row>
    <x:row r="15" s="232" customFormat="1" ht="24" customHeight="1">
      <x:c r="A15" s="234" t="inlineStr">
        <x:is>
          <x:t xml:space="preserve">EXP-2026-10-10-10</x:t>
        </x:is>
      </x:c>
      <x:c r="B15" s="234" t="inlineStr">
        <x:is>
          <x:t xml:space="preserve">2026-10-10</x:t>
        </x:is>
      </x:c>
      <x:c r="C15" s="234" t="inlineStr">
        <x:is>
          <x:t xml:space="preserve">Empirical null distribution</x:t>
        </x:is>
      </x:c>
      <x:c r="D15" s="234" t="inlineStr">
        <x:is>
          <x:t xml:space="preserve">Target should be unusual relative to comparable real manuscript clusters</x:t>
        </x:is>
      </x:c>
      <x:c r="E15" s="234" t="inlineStr">
        <x:is>
          <x:t xml:space="preserve">Historical synthetic point null rejected; no empirical clusters table</x:t>
        </x:is>
      </x:c>
      <x:c r="F15" s="234" t="inlineStr">
        <x:is>
          <x:t xml:space="preserve">No suitable null sample</x:t>
        </x:is>
      </x:c>
      <x:c r="G15" s="234" t="inlineStr">
        <x:is>
          <x:t xml:space="preserve">No inferential p-value computed</x:t>
        </x:is>
      </x:c>
      <x:c r="H15" s="234" t="inlineStr">
        <x:is>
          <x:t xml:space="preserve">DEFERRED</x:t>
        </x:is>
      </x:c>
      <x:c r="I15" s="234" t="inlineStr">
        <x:is>
          <x:t xml:space="preserve">Multiplicity, reuse of artwork and post-hoc target selection remain unmodeled</x:t>
        </x:is>
      </x:c>
      <x:c r="J15" s="234" t="inlineStr">
        <x:is>
          <x:t xml:space="preserve">Defer</x:t>
        </x:is>
      </x:c>
      <x:c r="K15" s="234" t="inlineStr">
        <x:is>
          <x:t xml:space="preserve">Predefine pipeline and run matched empirical null with full search reproduced.</x:t>
        </x:is>
      </x:c>
    </x:row>
    <x:row r="16" s="232" customFormat="1" ht="24" customHeight="1">
      <x:c r="A16" s="234" t="inlineStr">
        <x:is>
          <x:t xml:space="preserve">EXP-2026-10-10-11</x:t>
        </x:is>
      </x:c>
      <x:c r="B16" s="234" t="inlineStr">
        <x:is>
          <x:t xml:space="preserve">2026-10-10</x:t>
        </x:is>
      </x:c>
      <x:c r="C16" s="234" t="inlineStr">
        <x:is>
          <x:t xml:space="preserve">Cipher correlation tests</x:t>
        </x:is>
      </x:c>
      <x:c r="D16" s="234" t="inlineStr">
        <x:is>
          <x:t xml:space="preserve">Only a geometry signal that survives realistic null should be linked to runes/text</x:t>
        </x:is>
      </x:c>
      <x:c r="E16" s="234" t="inlineStr">
        <x:is>
          <x:t xml:space="preserve">No predeclared dot-to-rune or page-text hypothesis tested</x:t>
        </x:is>
      </x:c>
      <x:c r="F16" s="234" t="inlineStr">
        <x:is>
          <x:t xml:space="preserve">0 valid hypothesis tests</x:t>
        </x:is>
      </x:c>
      <x:c r="G16" s="234" t="inlineStr">
        <x:is>
          <x:t xml:space="preserve">No reproducible text/cipher connection established</x:t>
        </x:is>
      </x:c>
      <x:c r="H16" s="234" t="inlineStr">
        <x:is>
          <x:t xml:space="preserve">DEFERRED</x:t>
        </x:is>
      </x:c>
      <x:c r="I16" s="234" t="inlineStr">
        <x:is>
          <x:t xml:space="preserve">Avoid arbitrary mappings and selective reporting</x:t>
        </x:is>
      </x:c>
      <x:c r="J16" s="234" t="inlineStr">
        <x:is>
          <x:t xml:space="preserve">Defer</x:t>
        </x:is>
      </x:c>
      <x:c r="K16" s="234" t="inlineStr">
        <x:is>
          <x:t xml:space="preserve">After geometry survives null, pre-register a mapping and hold-out prediction.</x:t>
        </x:is>
      </x:c>
    </x:row>
  </x:sheetData>
  <x:mergeCells>
    <x:mergeCell ref="A2:K2"/>
    <x:mergeCell ref="A1:K1"/>
  </x:mergeCells>
  <x:pageMargins left="0.7" right="0.7" top="0.75" bottom="0.75" header="0.3" footer="0.3"/>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s>
  <x:sheetData>
    <x:row r="1" s="232" customFormat="1" ht="28" customHeight="1">
      <x:c r="A1" s="311" t="inlineStr">
        <x:is>
          <x:t xml:space="preserve">Source coverage audit — v1.2</x:t>
        </x:is>
      </x:c>
      <x:c r="B1" s="1" t="n"/>
      <x:c r="C1" s="1" t="n"/>
      <x:c r="D1" s="1" t="n"/>
      <x:c r="E1" s="1" t="n"/>
      <x:c r="F1" s="1" t="n"/>
    </x:row>
    <x:row r="2" s="232" customFormat="1" ht="36" customHeight="1">
      <x:c r="A2" s="312" t="inlineStr">
        <x:is>
          <x:t xml:space="preserve">The repository naming convention referenced in the project is 00.jpg–74.jpg (75 pages). Eight selected pilot/control page objects were hash-checked here; “not verified” means not rechecked in this run, not that a file is absent from the repository.</x:t>
        </x:is>
      </x:c>
      <x:c r="B2" s="1" t="n"/>
      <x:c r="C2" s="1" t="n"/>
      <x:c r="D2" s="1" t="n"/>
      <x:c r="E2" s="1" t="n"/>
      <x:c r="F2" s="1" t="n"/>
    </x:row>
    <x:row r="4" s="232" customFormat="1" ht="32" customHeight="1">
      <x:c r="A4" s="274" t="inlineStr">
        <x:is>
          <x:t xml:space="preserve">Page index</x:t>
        </x:is>
      </x:c>
      <x:c r="B4" s="274" t="inlineStr">
        <x:is>
          <x:t xml:space="preserve">Expected filename</x:t>
        </x:is>
      </x:c>
      <x:c r="C4" s="274" t="inlineStr">
        <x:is>
          <x:t xml:space="preserve">Source path</x:t>
        </x:is>
      </x:c>
      <x:c r="D4" s="274" t="inlineStr">
        <x:is>
          <x:t xml:space="preserve">Coverage status this turn</x:t>
        </x:is>
      </x:c>
      <x:c r="E4" s="274" t="inlineStr">
        <x:is>
          <x:t xml:space="preserve">Verified Git blob SHA-1</x:t>
        </x:is>
      </x:c>
      <x:c r="F4" s="274" t="inlineStr">
        <x:is>
          <x:t xml:space="preserve">Measurement status</x:t>
        </x:is>
      </x:c>
    </x:row>
    <x:row r="5" s="232" customFormat="1" ht="24" customHeight="1">
      <x:c r="A5" s="234" t="n">
        <x:v>0</x:v>
      </x:c>
      <x:c r="B5" s="234" t="inlineStr">
        <x:is>
          <x:t xml:space="preserve">00.jpg</x:t>
        </x:is>
      </x:c>
      <x:c r="C5" s="234" t="inlineStr">
        <x:is>
          <x:t xml:space="preserve">https://github.com/scream314/cicada3301/blob/master/assets/2014/liber-primus-complete/00.jpg</x:t>
        </x:is>
      </x:c>
      <x:c r="D5" s="234" t="inlineStr">
        <x:is>
          <x:t xml:space="preserve">Not newly source-hash-verified in v1.2</x:t>
        </x:is>
      </x:c>
      <x:c r="E5" s="234" t="n"/>
      <x:c r="F5" s="234" t="inlineStr">
        <x:is>
          <x:t xml:space="preserve">No corpus-wide extraction performed</x:t>
        </x:is>
      </x:c>
    </x:row>
    <x:row r="6" s="232" customFormat="1" ht="24" customHeight="1">
      <x:c r="A6" s="234" t="n">
        <x:v>1</x:v>
      </x:c>
      <x:c r="B6" s="234" t="inlineStr">
        <x:is>
          <x:t xml:space="preserve">01.jpg</x:t>
        </x:is>
      </x:c>
      <x:c r="C6" s="234" t="inlineStr">
        <x:is>
          <x:t xml:space="preserve">https://github.com/scream314/cicada3301/blob/master/assets/2014/liber-primus-complete/01.jpg</x:t>
        </x:is>
      </x:c>
      <x:c r="D6" s="234" t="inlineStr">
        <x:is>
          <x:t xml:space="preserve">Not newly source-hash-verified in v1.2</x:t>
        </x:is>
      </x:c>
      <x:c r="E6" s="234" t="n"/>
      <x:c r="F6" s="234" t="inlineStr">
        <x:is>
          <x:t xml:space="preserve">No corpus-wide extraction performed</x:t>
        </x:is>
      </x:c>
    </x:row>
    <x:row r="7" s="232" customFormat="1" ht="24" customHeight="1">
      <x:c r="A7" s="234" t="n">
        <x:v>2</x:v>
      </x:c>
      <x:c r="B7" s="234" t="inlineStr">
        <x:is>
          <x:t xml:space="preserve">02.jpg</x:t>
        </x:is>
      </x:c>
      <x:c r="C7" s="234" t="inlineStr">
        <x:is>
          <x:t xml:space="preserve">https://github.com/scream314/cicada3301/blob/master/assets/2014/liber-primus-complete/02.jpg</x:t>
        </x:is>
      </x:c>
      <x:c r="D7" s="234" t="inlineStr">
        <x:is>
          <x:t xml:space="preserve">Not newly source-hash-verified in v1.2</x:t>
        </x:is>
      </x:c>
      <x:c r="E7" s="234" t="n"/>
      <x:c r="F7" s="234" t="inlineStr">
        <x:is>
          <x:t xml:space="preserve">No corpus-wide extraction performed</x:t>
        </x:is>
      </x:c>
    </x:row>
    <x:row r="8" s="232" customFormat="1" ht="24" customHeight="1">
      <x:c r="A8" s="234" t="n">
        <x:v>3</x:v>
      </x:c>
      <x:c r="B8" s="234" t="inlineStr">
        <x:is>
          <x:t xml:space="preserve">03.jpg</x:t>
        </x:is>
      </x:c>
      <x:c r="C8" s="234" t="inlineStr">
        <x:is>
          <x:t xml:space="preserve">https://github.com/scream314/cicada3301/blob/master/assets/2014/liber-primus-complete/03.jpg</x:t>
        </x:is>
      </x:c>
      <x:c r="D8" s="234" t="inlineStr">
        <x:is>
          <x:t xml:space="preserve">Not newly source-hash-verified in v1.2</x:t>
        </x:is>
      </x:c>
      <x:c r="E8" s="234" t="n"/>
      <x:c r="F8" s="234" t="inlineStr">
        <x:is>
          <x:t xml:space="preserve">No corpus-wide extraction performed</x:t>
        </x:is>
      </x:c>
    </x:row>
    <x:row r="9" s="232" customFormat="1" ht="24" customHeight="1">
      <x:c r="A9" s="234" t="n">
        <x:v>4</x:v>
      </x:c>
      <x:c r="B9" s="234" t="inlineStr">
        <x:is>
          <x:t xml:space="preserve">04.jpg</x:t>
        </x:is>
      </x:c>
      <x:c r="C9" s="234" t="inlineStr">
        <x:is>
          <x:t xml:space="preserve">https://github.com/scream314/cicada3301/blob/master/assets/2014/liber-primus-complete/04.jpg</x:t>
        </x:is>
      </x:c>
      <x:c r="D9" s="234" t="inlineStr">
        <x:is>
          <x:t xml:space="preserve">Not newly source-hash-verified in v1.2</x:t>
        </x:is>
      </x:c>
      <x:c r="E9" s="234" t="n"/>
      <x:c r="F9" s="234" t="inlineStr">
        <x:is>
          <x:t xml:space="preserve">No corpus-wide extraction performed</x:t>
        </x:is>
      </x:c>
    </x:row>
    <x:row r="10" s="232" customFormat="1" ht="24" customHeight="1">
      <x:c r="A10" s="234" t="n">
        <x:v>5</x:v>
      </x:c>
      <x:c r="B10" s="234" t="inlineStr">
        <x:is>
          <x:t xml:space="preserve">05.jpg</x:t>
        </x:is>
      </x:c>
      <x:c r="C10" s="234" t="inlineStr">
        <x:is>
          <x:t xml:space="preserve">https://github.com/scream314/cicada3301/blob/master/assets/2014/liber-primus-complete/05.jpg</x:t>
        </x:is>
      </x:c>
      <x:c r="D10" s="234" t="inlineStr">
        <x:is>
          <x:t xml:space="preserve">Not newly source-hash-verified in v1.2</x:t>
        </x:is>
      </x:c>
      <x:c r="E10" s="234" t="n"/>
      <x:c r="F10" s="234" t="inlineStr">
        <x:is>
          <x:t xml:space="preserve">No corpus-wide extraction performed</x:t>
        </x:is>
      </x:c>
    </x:row>
    <x:row r="11" s="232" customFormat="1" ht="24" customHeight="1">
      <x:c r="A11" s="234" t="n">
        <x:v>6</x:v>
      </x:c>
      <x:c r="B11" s="234" t="inlineStr">
        <x:is>
          <x:t xml:space="preserve">06.jpg</x:t>
        </x:is>
      </x:c>
      <x:c r="C11" s="234" t="inlineStr">
        <x:is>
          <x:t xml:space="preserve">https://github.com/scream314/cicada3301/blob/master/assets/2014/liber-primus-complete/06.jpg</x:t>
        </x:is>
      </x:c>
      <x:c r="D11" s="234" t="inlineStr">
        <x:is>
          <x:t xml:space="preserve">Not newly source-hash-verified in v1.2</x:t>
        </x:is>
      </x:c>
      <x:c r="E11" s="234" t="n"/>
      <x:c r="F11" s="234" t="inlineStr">
        <x:is>
          <x:t xml:space="preserve">No corpus-wide extraction performed</x:t>
        </x:is>
      </x:c>
    </x:row>
    <x:row r="12" s="232" customFormat="1" ht="24" customHeight="1">
      <x:c r="A12" s="234" t="n">
        <x:v>7</x:v>
      </x:c>
      <x:c r="B12" s="234" t="inlineStr">
        <x:is>
          <x:t xml:space="preserve">07.jpg</x:t>
        </x:is>
      </x:c>
      <x:c r="C12" s="234" t="inlineStr">
        <x:is>
          <x:t xml:space="preserve">https://github.com/scream314/cicada3301/blob/master/assets/2014/liber-primus-complete/07.jpg</x:t>
        </x:is>
      </x:c>
      <x:c r="D12" s="234" t="inlineStr">
        <x:is>
          <x:t xml:space="preserve">Not newly source-hash-verified in v1.2</x:t>
        </x:is>
      </x:c>
      <x:c r="E12" s="234" t="n"/>
      <x:c r="F12" s="234" t="inlineStr">
        <x:is>
          <x:t xml:space="preserve">No corpus-wide extraction performed</x:t>
        </x:is>
      </x:c>
    </x:row>
    <x:row r="13" s="232" customFormat="1" ht="24" customHeight="1">
      <x:c r="A13" s="234" t="n">
        <x:v>8</x:v>
      </x:c>
      <x:c r="B13" s="234" t="inlineStr">
        <x:is>
          <x:t xml:space="preserve">08.jpg</x:t>
        </x:is>
      </x:c>
      <x:c r="C13" s="234" t="inlineStr">
        <x:is>
          <x:t xml:space="preserve">https://github.com/scream314/cicada3301/blob/master/assets/2014/liber-primus-complete/08.jpg</x:t>
        </x:is>
      </x:c>
      <x:c r="D13" s="234" t="inlineStr">
        <x:is>
          <x:t xml:space="preserve">Not newly source-hash-verified in v1.2</x:t>
        </x:is>
      </x:c>
      <x:c r="E13" s="234" t="n"/>
      <x:c r="F13" s="234" t="inlineStr">
        <x:is>
          <x:t xml:space="preserve">No corpus-wide extraction performed</x:t>
        </x:is>
      </x:c>
    </x:row>
    <x:row r="14" s="232" customFormat="1" ht="24" customHeight="1">
      <x:c r="A14" s="234" t="n">
        <x:v>9</x:v>
      </x:c>
      <x:c r="B14" s="234" t="inlineStr">
        <x:is>
          <x:t xml:space="preserve">09.jpg</x:t>
        </x:is>
      </x:c>
      <x:c r="C14" s="234" t="inlineStr">
        <x:is>
          <x:t xml:space="preserve">https://github.com/scream314/cicada3301/blob/master/assets/2014/liber-primus-complete/09.jpg</x:t>
        </x:is>
      </x:c>
      <x:c r="D14" s="234" t="inlineStr">
        <x:is>
          <x:t xml:space="preserve">Not newly source-hash-verified in v1.2</x:t>
        </x:is>
      </x:c>
      <x:c r="E14" s="234" t="n"/>
      <x:c r="F14" s="234" t="inlineStr">
        <x:is>
          <x:t xml:space="preserve">No corpus-wide extraction performed</x:t>
        </x:is>
      </x:c>
    </x:row>
    <x:row r="15" s="232" customFormat="1" ht="24" customHeight="1">
      <x:c r="A15" s="234" t="n">
        <x:v>10</x:v>
      </x:c>
      <x:c r="B15" s="234" t="inlineStr">
        <x:is>
          <x:t xml:space="preserve">10.jpg</x:t>
        </x:is>
      </x:c>
      <x:c r="C15" s="234" t="inlineStr">
        <x:is>
          <x:t xml:space="preserve">https://github.com/scream314/cicada3301/blob/master/assets/2014/liber-primus-complete/10.jpg</x:t>
        </x:is>
      </x:c>
      <x:c r="D15" s="234" t="inlineStr">
        <x:is>
          <x:t xml:space="preserve">Not newly source-hash-verified in v1.2</x:t>
        </x:is>
      </x:c>
      <x:c r="E15" s="234" t="n"/>
      <x:c r="F15" s="234" t="inlineStr">
        <x:is>
          <x:t xml:space="preserve">No corpus-wide extraction performed</x:t>
        </x:is>
      </x:c>
    </x:row>
    <x:row r="16" s="232" customFormat="1" ht="24" customHeight="1">
      <x:c r="A16" s="234" t="n">
        <x:v>11</x:v>
      </x:c>
      <x:c r="B16" s="234" t="inlineStr">
        <x:is>
          <x:t xml:space="preserve">11.jpg</x:t>
        </x:is>
      </x:c>
      <x:c r="C16" s="234" t="inlineStr">
        <x:is>
          <x:t xml:space="preserve">https://github.com/scream314/cicada3301/blob/master/assets/2014/liber-primus-complete/11.jpg</x:t>
        </x:is>
      </x:c>
      <x:c r="D16" s="234" t="inlineStr">
        <x:is>
          <x:t xml:space="preserve">Not newly source-hash-verified in v1.2</x:t>
        </x:is>
      </x:c>
      <x:c r="E16" s="234" t="n"/>
      <x:c r="F16" s="234" t="inlineStr">
        <x:is>
          <x:t xml:space="preserve">No corpus-wide extraction performed</x:t>
        </x:is>
      </x:c>
    </x:row>
    <x:row r="17" s="232" customFormat="1" ht="24" customHeight="1">
      <x:c r="A17" s="234" t="n">
        <x:v>12</x:v>
      </x:c>
      <x:c r="B17" s="234" t="inlineStr">
        <x:is>
          <x:t xml:space="preserve">12.jpg</x:t>
        </x:is>
      </x:c>
      <x:c r="C17" s="234" t="inlineStr">
        <x:is>
          <x:t xml:space="preserve">https://github.com/scream314/cicada3301/blob/master/assets/2014/liber-primus-complete/12.jpg</x:t>
        </x:is>
      </x:c>
      <x:c r="D17" s="234" t="inlineStr">
        <x:is>
          <x:t xml:space="preserve">Not newly source-hash-verified in v1.2</x:t>
        </x:is>
      </x:c>
      <x:c r="E17" s="234" t="n"/>
      <x:c r="F17" s="234" t="inlineStr">
        <x:is>
          <x:t xml:space="preserve">No corpus-wide extraction performed</x:t>
        </x:is>
      </x:c>
    </x:row>
    <x:row r="18" s="232" customFormat="1" ht="24" customHeight="1">
      <x:c r="A18" s="234" t="n">
        <x:v>13</x:v>
      </x:c>
      <x:c r="B18" s="234" t="inlineStr">
        <x:is>
          <x:t xml:space="preserve">13.jpg</x:t>
        </x:is>
      </x:c>
      <x:c r="C18" s="234" t="inlineStr">
        <x:is>
          <x:t xml:space="preserve">https://github.com/scream314/cicada3301/blob/master/assets/2014/liber-primus-complete/13.jpg</x:t>
        </x:is>
      </x:c>
      <x:c r="D18" s="234" t="inlineStr">
        <x:is>
          <x:t xml:space="preserve">Not newly source-hash-verified in v1.2</x:t>
        </x:is>
      </x:c>
      <x:c r="E18" s="234" t="n"/>
      <x:c r="F18" s="234" t="inlineStr">
        <x:is>
          <x:t xml:space="preserve">No corpus-wide extraction performed</x:t>
        </x:is>
      </x:c>
    </x:row>
    <x:row r="19" s="232" customFormat="1" ht="24" customHeight="1">
      <x:c r="A19" s="234" t="n">
        <x:v>14</x:v>
      </x:c>
      <x:c r="B19" s="234" t="inlineStr">
        <x:is>
          <x:t xml:space="preserve">14.jpg</x:t>
        </x:is>
      </x:c>
      <x:c r="C19" s="234" t="inlineStr">
        <x:is>
          <x:t xml:space="preserve">https://github.com/scream314/cicada3301/blob/master/assets/2014/liber-primus-complete/14.jpg</x:t>
        </x:is>
      </x:c>
      <x:c r="D19" s="234" t="inlineStr">
        <x:is>
          <x:t xml:space="preserve">Not newly source-hash-verified in v1.2</x:t>
        </x:is>
      </x:c>
      <x:c r="E19" s="234" t="n"/>
      <x:c r="F19" s="234" t="inlineStr">
        <x:is>
          <x:t xml:space="preserve">No corpus-wide extraction performed</x:t>
        </x:is>
      </x:c>
    </x:row>
    <x:row r="20" s="232" customFormat="1" ht="24" customHeight="1">
      <x:c r="A20" s="234" t="n">
        <x:v>15</x:v>
      </x:c>
      <x:c r="B20" s="234" t="inlineStr">
        <x:is>
          <x:t xml:space="preserve">15.jpg</x:t>
        </x:is>
      </x:c>
      <x:c r="C20" s="234" t="inlineStr">
        <x:is>
          <x:t xml:space="preserve">https://github.com/scream314/cicada3301/blob/master/assets/2014/liber-primus-complete/15.jpg</x:t>
        </x:is>
      </x:c>
      <x:c r="D20" s="234" t="inlineStr">
        <x:is>
          <x:t xml:space="preserve">Not newly source-hash-verified in v1.2</x:t>
        </x:is>
      </x:c>
      <x:c r="E20" s="234" t="n"/>
      <x:c r="F20" s="234" t="inlineStr">
        <x:is>
          <x:t xml:space="preserve">No corpus-wide extraction performed</x:t>
        </x:is>
      </x:c>
    </x:row>
    <x:row r="21" s="232" customFormat="1" ht="24" customHeight="1">
      <x:c r="A21" s="234" t="n">
        <x:v>16</x:v>
      </x:c>
      <x:c r="B21" s="234" t="inlineStr">
        <x:is>
          <x:t xml:space="preserve">16.jpg</x:t>
        </x:is>
      </x:c>
      <x:c r="C21" s="234" t="inlineStr">
        <x:is>
          <x:t xml:space="preserve">https://github.com/scream314/cicada3301/blob/master/assets/2014/liber-primus-complete/16.jpg</x:t>
        </x:is>
      </x:c>
      <x:c r="D21" s="234" t="inlineStr">
        <x:is>
          <x:t xml:space="preserve">Not newly source-hash-verified in v1.2</x:t>
        </x:is>
      </x:c>
      <x:c r="E21" s="234" t="n"/>
      <x:c r="F21" s="234" t="inlineStr">
        <x:is>
          <x:t xml:space="preserve">No corpus-wide extraction performed</x:t>
        </x:is>
      </x:c>
    </x:row>
    <x:row r="22" s="232" customFormat="1" ht="24" customHeight="1">
      <x:c r="A22" s="234" t="n">
        <x:v>17</x:v>
      </x:c>
      <x:c r="B22" s="234" t="inlineStr">
        <x:is>
          <x:t xml:space="preserve">17.jpg</x:t>
        </x:is>
      </x:c>
      <x:c r="C22" s="234" t="inlineStr">
        <x:is>
          <x:t xml:space="preserve">https://github.com/scream314/cicada3301/blob/master/assets/2014/liber-primus-complete/17.jpg</x:t>
        </x:is>
      </x:c>
      <x:c r="D22" s="234" t="inlineStr">
        <x:is>
          <x:t xml:space="preserve">Not newly source-hash-verified in v1.2</x:t>
        </x:is>
      </x:c>
      <x:c r="E22" s="234" t="n"/>
      <x:c r="F22" s="234" t="inlineStr">
        <x:is>
          <x:t xml:space="preserve">No corpus-wide extraction performed</x:t>
        </x:is>
      </x:c>
    </x:row>
    <x:row r="23" s="232" customFormat="1" ht="24" customHeight="1">
      <x:c r="A23" s="234" t="n">
        <x:v>18</x:v>
      </x:c>
      <x:c r="B23" s="234" t="inlineStr">
        <x:is>
          <x:t xml:space="preserve">18.jpg</x:t>
        </x:is>
      </x:c>
      <x:c r="C23" s="234" t="inlineStr">
        <x:is>
          <x:t xml:space="preserve">https://github.com/scream314/cicada3301/blob/master/assets/2014/liber-primus-complete/18.jpg</x:t>
        </x:is>
      </x:c>
      <x:c r="D23" s="234" t="inlineStr">
        <x:is>
          <x:t xml:space="preserve">Not newly source-hash-verified in v1.2</x:t>
        </x:is>
      </x:c>
      <x:c r="E23" s="234" t="n"/>
      <x:c r="F23" s="234" t="inlineStr">
        <x:is>
          <x:t xml:space="preserve">No corpus-wide extraction performed</x:t>
        </x:is>
      </x:c>
    </x:row>
    <x:row r="24" s="232" customFormat="1" ht="24" customHeight="1">
      <x:c r="A24" s="234" t="n">
        <x:v>19</x:v>
      </x:c>
      <x:c r="B24" s="234" t="inlineStr">
        <x:is>
          <x:t xml:space="preserve">19.jpg</x:t>
        </x:is>
      </x:c>
      <x:c r="C24" s="234" t="inlineStr">
        <x:is>
          <x:t xml:space="preserve">https://github.com/scream314/cicada3301/blob/master/assets/2014/liber-primus-complete/19.jpg</x:t>
        </x:is>
      </x:c>
      <x:c r="D24" s="234" t="inlineStr">
        <x:is>
          <x:t xml:space="preserve">Not newly source-hash-verified in v1.2</x:t>
        </x:is>
      </x:c>
      <x:c r="E24" s="234" t="n"/>
      <x:c r="F24" s="234" t="inlineStr">
        <x:is>
          <x:t xml:space="preserve">No corpus-wide extraction performed</x:t>
        </x:is>
      </x:c>
    </x:row>
    <x:row r="25" s="232" customFormat="1" ht="24" customHeight="1">
      <x:c r="A25" s="234" t="n">
        <x:v>20</x:v>
      </x:c>
      <x:c r="B25" s="234" t="inlineStr">
        <x:is>
          <x:t xml:space="preserve">20.jpg</x:t>
        </x:is>
      </x:c>
      <x:c r="C25" s="234" t="inlineStr">
        <x:is>
          <x:t xml:space="preserve">https://github.com/scream314/cicada3301/blob/master/assets/2014/liber-primus-complete/20.jpg</x:t>
        </x:is>
      </x:c>
      <x:c r="D25" s="234" t="inlineStr">
        <x:is>
          <x:t xml:space="preserve">Not newly source-hash-verified in v1.2</x:t>
        </x:is>
      </x:c>
      <x:c r="E25" s="234" t="n"/>
      <x:c r="F25" s="234" t="inlineStr">
        <x:is>
          <x:t xml:space="preserve">No corpus-wide extraction performed</x:t>
        </x:is>
      </x:c>
    </x:row>
    <x:row r="26" s="232" customFormat="1" ht="24" customHeight="1">
      <x:c r="A26" s="234" t="n">
        <x:v>21</x:v>
      </x:c>
      <x:c r="B26" s="234" t="inlineStr">
        <x:is>
          <x:t xml:space="preserve">21.jpg</x:t>
        </x:is>
      </x:c>
      <x:c r="C26" s="234" t="inlineStr">
        <x:is>
          <x:t xml:space="preserve">https://github.com/scream314/cicada3301/blob/master/assets/2014/liber-primus-complete/21.jpg</x:t>
        </x:is>
      </x:c>
      <x:c r="D26" s="234" t="inlineStr">
        <x:is>
          <x:t xml:space="preserve">Not newly source-hash-verified in v1.2</x:t>
        </x:is>
      </x:c>
      <x:c r="E26" s="234" t="n"/>
      <x:c r="F26" s="234" t="inlineStr">
        <x:is>
          <x:t xml:space="preserve">No corpus-wide extraction performed</x:t>
        </x:is>
      </x:c>
    </x:row>
    <x:row r="27" s="232" customFormat="1" ht="24" customHeight="1">
      <x:c r="A27" s="234" t="n">
        <x:v>22</x:v>
      </x:c>
      <x:c r="B27" s="234" t="inlineStr">
        <x:is>
          <x:t xml:space="preserve">22.jpg</x:t>
        </x:is>
      </x:c>
      <x:c r="C27" s="234" t="inlineStr">
        <x:is>
          <x:t xml:space="preserve">https://github.com/scream314/cicada3301/blob/master/assets/2014/liber-primus-complete/22.jpg</x:t>
        </x:is>
      </x:c>
      <x:c r="D27" s="234" t="inlineStr">
        <x:is>
          <x:t xml:space="preserve">Not newly source-hash-verified in v1.2</x:t>
        </x:is>
      </x:c>
      <x:c r="E27" s="234" t="n"/>
      <x:c r="F27" s="234" t="inlineStr">
        <x:is>
          <x:t xml:space="preserve">No corpus-wide extraction performed</x:t>
        </x:is>
      </x:c>
    </x:row>
    <x:row r="28" s="232" customFormat="1" ht="24" customHeight="1">
      <x:c r="A28" s="234" t="n">
        <x:v>23</x:v>
      </x:c>
      <x:c r="B28" s="234" t="inlineStr">
        <x:is>
          <x:t xml:space="preserve">23.jpg</x:t>
        </x:is>
      </x:c>
      <x:c r="C28" s="234" t="inlineStr">
        <x:is>
          <x:t xml:space="preserve">https://github.com/scream314/cicada3301/blob/master/assets/2014/liber-primus-complete/23.jpg</x:t>
        </x:is>
      </x:c>
      <x:c r="D28" s="234" t="inlineStr">
        <x:is>
          <x:t xml:space="preserve">Not newly source-hash-verified in v1.2</x:t>
        </x:is>
      </x:c>
      <x:c r="E28" s="234" t="n"/>
      <x:c r="F28" s="234" t="inlineStr">
        <x:is>
          <x:t xml:space="preserve">No corpus-wide extraction performed</x:t>
        </x:is>
      </x:c>
    </x:row>
    <x:row r="29" s="232" customFormat="1" ht="24" customHeight="1">
      <x:c r="A29" s="234" t="n">
        <x:v>24</x:v>
      </x:c>
      <x:c r="B29" s="234" t="inlineStr">
        <x:is>
          <x:t xml:space="preserve">24.jpg</x:t>
        </x:is>
      </x:c>
      <x:c r="C29" s="234" t="inlineStr">
        <x:is>
          <x:t xml:space="preserve">https://github.com/scream314/cicada3301/blob/master/assets/2014/liber-primus-complete/24.jpg</x:t>
        </x:is>
      </x:c>
      <x:c r="D29" s="234" t="inlineStr">
        <x:is>
          <x:t xml:space="preserve">Source Git blob ID queried and matched v1.1</x:t>
        </x:is>
      </x:c>
      <x:c r="E29" s="234" t="inlineStr">
        <x:is>
          <x:t xml:space="preserve">2b4e09dbad1a9c602a2919864b1a84f49d7ff501</x:t>
        </x:is>
      </x:c>
      <x:c r="F29" s="234" t="inlineStr">
        <x:is>
          <x:t xml:space="preserve">Pixelwise re-decoding still pending</x:t>
        </x:is>
      </x:c>
    </x:row>
    <x:row r="30" s="232" customFormat="1" ht="24" customHeight="1">
      <x:c r="A30" s="234" t="n">
        <x:v>25</x:v>
      </x:c>
      <x:c r="B30" s="234" t="inlineStr">
        <x:is>
          <x:t xml:space="preserve">25.jpg</x:t>
        </x:is>
      </x:c>
      <x:c r="C30" s="234" t="inlineStr">
        <x:is>
          <x:t xml:space="preserve">https://github.com/scream314/cicada3301/blob/master/assets/2014/liber-primus-complete/25.jpg</x:t>
        </x:is>
      </x:c>
      <x:c r="D30" s="234" t="inlineStr">
        <x:is>
          <x:t xml:space="preserve">Not newly source-hash-verified in v1.2</x:t>
        </x:is>
      </x:c>
      <x:c r="E30" s="234" t="n"/>
      <x:c r="F30" s="234" t="inlineStr">
        <x:is>
          <x:t xml:space="preserve">No corpus-wide extraction performed</x:t>
        </x:is>
      </x:c>
    </x:row>
    <x:row r="31" s="232" customFormat="1" ht="24" customHeight="1">
      <x:c r="A31" s="234" t="n">
        <x:v>26</x:v>
      </x:c>
      <x:c r="B31" s="234" t="inlineStr">
        <x:is>
          <x:t xml:space="preserve">26.jpg</x:t>
        </x:is>
      </x:c>
      <x:c r="C31" s="234" t="inlineStr">
        <x:is>
          <x:t xml:space="preserve">https://github.com/scream314/cicada3301/blob/master/assets/2014/liber-primus-complete/26.jpg</x:t>
        </x:is>
      </x:c>
      <x:c r="D31" s="234" t="inlineStr">
        <x:is>
          <x:t xml:space="preserve">Not newly source-hash-verified in v1.2</x:t>
        </x:is>
      </x:c>
      <x:c r="E31" s="234" t="n"/>
      <x:c r="F31" s="234" t="inlineStr">
        <x:is>
          <x:t xml:space="preserve">No corpus-wide extraction performed</x:t>
        </x:is>
      </x:c>
    </x:row>
    <x:row r="32" s="232" customFormat="1" ht="24" customHeight="1">
      <x:c r="A32" s="234" t="n">
        <x:v>27</x:v>
      </x:c>
      <x:c r="B32" s="234" t="inlineStr">
        <x:is>
          <x:t xml:space="preserve">27.jpg</x:t>
        </x:is>
      </x:c>
      <x:c r="C32" s="234" t="inlineStr">
        <x:is>
          <x:t xml:space="preserve">https://github.com/scream314/cicada3301/blob/master/assets/2014/liber-primus-complete/27.jpg</x:t>
        </x:is>
      </x:c>
      <x:c r="D32" s="234" t="inlineStr">
        <x:is>
          <x:t xml:space="preserve">Not newly source-hash-verified in v1.2</x:t>
        </x:is>
      </x:c>
      <x:c r="E32" s="234" t="n"/>
      <x:c r="F32" s="234" t="inlineStr">
        <x:is>
          <x:t xml:space="preserve">No corpus-wide extraction performed</x:t>
        </x:is>
      </x:c>
    </x:row>
    <x:row r="33" s="232" customFormat="1" ht="24" customHeight="1">
      <x:c r="A33" s="234" t="n">
        <x:v>28</x:v>
      </x:c>
      <x:c r="B33" s="234" t="inlineStr">
        <x:is>
          <x:t xml:space="preserve">28.jpg</x:t>
        </x:is>
      </x:c>
      <x:c r="C33" s="234" t="inlineStr">
        <x:is>
          <x:t xml:space="preserve">https://github.com/scream314/cicada3301/blob/master/assets/2014/liber-primus-complete/28.jpg</x:t>
        </x:is>
      </x:c>
      <x:c r="D33" s="234" t="inlineStr">
        <x:is>
          <x:t xml:space="preserve">Not newly source-hash-verified in v1.2</x:t>
        </x:is>
      </x:c>
      <x:c r="E33" s="234" t="n"/>
      <x:c r="F33" s="234" t="inlineStr">
        <x:is>
          <x:t xml:space="preserve">No corpus-wide extraction performed</x:t>
        </x:is>
      </x:c>
    </x:row>
    <x:row r="34" s="232" customFormat="1" ht="24" customHeight="1">
      <x:c r="A34" s="234" t="n">
        <x:v>29</x:v>
      </x:c>
      <x:c r="B34" s="234" t="inlineStr">
        <x:is>
          <x:t xml:space="preserve">29.jpg</x:t>
        </x:is>
      </x:c>
      <x:c r="C34" s="234" t="inlineStr">
        <x:is>
          <x:t xml:space="preserve">https://github.com/scream314/cicada3301/blob/master/assets/2014/liber-primus-complete/29.jpg</x:t>
        </x:is>
      </x:c>
      <x:c r="D34" s="234" t="inlineStr">
        <x:is>
          <x:t xml:space="preserve">Not newly source-hash-verified in v1.2</x:t>
        </x:is>
      </x:c>
      <x:c r="E34" s="234" t="n"/>
      <x:c r="F34" s="234" t="inlineStr">
        <x:is>
          <x:t xml:space="preserve">No corpus-wide extraction performed</x:t>
        </x:is>
      </x:c>
    </x:row>
    <x:row r="35" s="232" customFormat="1" ht="24" customHeight="1">
      <x:c r="A35" s="234" t="n">
        <x:v>30</x:v>
      </x:c>
      <x:c r="B35" s="234" t="inlineStr">
        <x:is>
          <x:t xml:space="preserve">30.jpg</x:t>
        </x:is>
      </x:c>
      <x:c r="C35" s="234" t="inlineStr">
        <x:is>
          <x:t xml:space="preserve">https://github.com/scream314/cicada3301/blob/master/assets/2014/liber-primus-complete/30.jpg</x:t>
        </x:is>
      </x:c>
      <x:c r="D35" s="234" t="inlineStr">
        <x:is>
          <x:t xml:space="preserve">Not newly source-hash-verified in v1.2</x:t>
        </x:is>
      </x:c>
      <x:c r="E35" s="234" t="n"/>
      <x:c r="F35" s="234" t="inlineStr">
        <x:is>
          <x:t xml:space="preserve">No corpus-wide extraction performed</x:t>
        </x:is>
      </x:c>
    </x:row>
    <x:row r="36" s="232" customFormat="1" ht="24" customHeight="1">
      <x:c r="A36" s="234" t="n">
        <x:v>31</x:v>
      </x:c>
      <x:c r="B36" s="234" t="inlineStr">
        <x:is>
          <x:t xml:space="preserve">31.jpg</x:t>
        </x:is>
      </x:c>
      <x:c r="C36" s="234" t="inlineStr">
        <x:is>
          <x:t xml:space="preserve">https://github.com/scream314/cicada3301/blob/master/assets/2014/liber-primus-complete/31.jpg</x:t>
        </x:is>
      </x:c>
      <x:c r="D36" s="234" t="inlineStr">
        <x:is>
          <x:t xml:space="preserve">Not newly source-hash-verified in v1.2</x:t>
        </x:is>
      </x:c>
      <x:c r="E36" s="234" t="n"/>
      <x:c r="F36" s="234" t="inlineStr">
        <x:is>
          <x:t xml:space="preserve">No corpus-wide extraction performed</x:t>
        </x:is>
      </x:c>
    </x:row>
    <x:row r="37" s="232" customFormat="1" ht="24" customHeight="1">
      <x:c r="A37" s="234" t="n">
        <x:v>32</x:v>
      </x:c>
      <x:c r="B37" s="234" t="inlineStr">
        <x:is>
          <x:t xml:space="preserve">32.jpg</x:t>
        </x:is>
      </x:c>
      <x:c r="C37" s="234" t="inlineStr">
        <x:is>
          <x:t xml:space="preserve">https://github.com/scream314/cicada3301/blob/master/assets/2014/liber-primus-complete/32.jpg</x:t>
        </x:is>
      </x:c>
      <x:c r="D37" s="234" t="inlineStr">
        <x:is>
          <x:t xml:space="preserve">Not newly source-hash-verified in v1.2</x:t>
        </x:is>
      </x:c>
      <x:c r="E37" s="234" t="n"/>
      <x:c r="F37" s="234" t="inlineStr">
        <x:is>
          <x:t xml:space="preserve">No corpus-wide extraction performed</x:t>
        </x:is>
      </x:c>
    </x:row>
    <x:row r="38" s="232" customFormat="1" ht="24" customHeight="1">
      <x:c r="A38" s="234" t="n">
        <x:v>33</x:v>
      </x:c>
      <x:c r="B38" s="234" t="inlineStr">
        <x:is>
          <x:t xml:space="preserve">33.jpg</x:t>
        </x:is>
      </x:c>
      <x:c r="C38" s="234" t="inlineStr">
        <x:is>
          <x:t xml:space="preserve">https://github.com/scream314/cicada3301/blob/master/assets/2014/liber-primus-complete/33.jpg</x:t>
        </x:is>
      </x:c>
      <x:c r="D38" s="234" t="inlineStr">
        <x:is>
          <x:t xml:space="preserve">Not newly source-hash-verified in v1.2</x:t>
        </x:is>
      </x:c>
      <x:c r="E38" s="234" t="n"/>
      <x:c r="F38" s="234" t="inlineStr">
        <x:is>
          <x:t xml:space="preserve">No corpus-wide extraction performed</x:t>
        </x:is>
      </x:c>
    </x:row>
    <x:row r="39" s="232" customFormat="1" ht="24" customHeight="1">
      <x:c r="A39" s="234" t="n">
        <x:v>34</x:v>
      </x:c>
      <x:c r="B39" s="234" t="inlineStr">
        <x:is>
          <x:t xml:space="preserve">34.jpg</x:t>
        </x:is>
      </x:c>
      <x:c r="C39" s="234" t="inlineStr">
        <x:is>
          <x:t xml:space="preserve">https://github.com/scream314/cicada3301/blob/master/assets/2014/liber-primus-complete/34.jpg</x:t>
        </x:is>
      </x:c>
      <x:c r="D39" s="234" t="inlineStr">
        <x:is>
          <x:t xml:space="preserve">Not newly source-hash-verified in v1.2</x:t>
        </x:is>
      </x:c>
      <x:c r="E39" s="234" t="n"/>
      <x:c r="F39" s="234" t="inlineStr">
        <x:is>
          <x:t xml:space="preserve">No corpus-wide extraction performed</x:t>
        </x:is>
      </x:c>
    </x:row>
    <x:row r="40" s="232" customFormat="1" ht="24" customHeight="1">
      <x:c r="A40" s="234" t="n">
        <x:v>35</x:v>
      </x:c>
      <x:c r="B40" s="234" t="inlineStr">
        <x:is>
          <x:t xml:space="preserve">35.jpg</x:t>
        </x:is>
      </x:c>
      <x:c r="C40" s="234" t="inlineStr">
        <x:is>
          <x:t xml:space="preserve">https://github.com/scream314/cicada3301/blob/master/assets/2014/liber-primus-complete/35.jpg</x:t>
        </x:is>
      </x:c>
      <x:c r="D40" s="234" t="inlineStr">
        <x:is>
          <x:t xml:space="preserve">Not newly source-hash-verified in v1.2</x:t>
        </x:is>
      </x:c>
      <x:c r="E40" s="234" t="n"/>
      <x:c r="F40" s="234" t="inlineStr">
        <x:is>
          <x:t xml:space="preserve">No corpus-wide extraction performed</x:t>
        </x:is>
      </x:c>
    </x:row>
    <x:row r="41" s="232" customFormat="1" ht="24" customHeight="1">
      <x:c r="A41" s="234" t="n">
        <x:v>36</x:v>
      </x:c>
      <x:c r="B41" s="234" t="inlineStr">
        <x:is>
          <x:t xml:space="preserve">36.jpg</x:t>
        </x:is>
      </x:c>
      <x:c r="C41" s="234" t="inlineStr">
        <x:is>
          <x:t xml:space="preserve">https://github.com/scream314/cicada3301/blob/master/assets/2014/liber-primus-complete/36.jpg</x:t>
        </x:is>
      </x:c>
      <x:c r="D41" s="234" t="inlineStr">
        <x:is>
          <x:t xml:space="preserve">Not newly source-hash-verified in v1.2</x:t>
        </x:is>
      </x:c>
      <x:c r="E41" s="234" t="n"/>
      <x:c r="F41" s="234" t="inlineStr">
        <x:is>
          <x:t xml:space="preserve">No corpus-wide extraction performed</x:t>
        </x:is>
      </x:c>
    </x:row>
    <x:row r="42" s="232" customFormat="1" ht="24" customHeight="1">
      <x:c r="A42" s="234" t="n">
        <x:v>37</x:v>
      </x:c>
      <x:c r="B42" s="234" t="inlineStr">
        <x:is>
          <x:t xml:space="preserve">37.jpg</x:t>
        </x:is>
      </x:c>
      <x:c r="C42" s="234" t="inlineStr">
        <x:is>
          <x:t xml:space="preserve">https://github.com/scream314/cicada3301/blob/master/assets/2014/liber-primus-complete/37.jpg</x:t>
        </x:is>
      </x:c>
      <x:c r="D42" s="234" t="inlineStr">
        <x:is>
          <x:t xml:space="preserve">Not newly source-hash-verified in v1.2</x:t>
        </x:is>
      </x:c>
      <x:c r="E42" s="234" t="n"/>
      <x:c r="F42" s="234" t="inlineStr">
        <x:is>
          <x:t xml:space="preserve">No corpus-wide extraction performed</x:t>
        </x:is>
      </x:c>
    </x:row>
    <x:row r="43" s="232" customFormat="1" ht="24" customHeight="1">
      <x:c r="A43" s="234" t="n">
        <x:v>38</x:v>
      </x:c>
      <x:c r="B43" s="234" t="inlineStr">
        <x:is>
          <x:t xml:space="preserve">38.jpg</x:t>
        </x:is>
      </x:c>
      <x:c r="C43" s="234" t="inlineStr">
        <x:is>
          <x:t xml:space="preserve">https://github.com/scream314/cicada3301/blob/master/assets/2014/liber-primus-complete/38.jpg</x:t>
        </x:is>
      </x:c>
      <x:c r="D43" s="234" t="inlineStr">
        <x:is>
          <x:t xml:space="preserve">Not newly source-hash-verified in v1.2</x:t>
        </x:is>
      </x:c>
      <x:c r="E43" s="234" t="n"/>
      <x:c r="F43" s="234" t="inlineStr">
        <x:is>
          <x:t xml:space="preserve">No corpus-wide extraction performed</x:t>
        </x:is>
      </x:c>
    </x:row>
    <x:row r="44" s="232" customFormat="1" ht="24" customHeight="1">
      <x:c r="A44" s="234" t="n">
        <x:v>39</x:v>
      </x:c>
      <x:c r="B44" s="234" t="inlineStr">
        <x:is>
          <x:t xml:space="preserve">39.jpg</x:t>
        </x:is>
      </x:c>
      <x:c r="C44" s="234" t="inlineStr">
        <x:is>
          <x:t xml:space="preserve">https://github.com/scream314/cicada3301/blob/master/assets/2014/liber-primus-complete/39.jpg</x:t>
        </x:is>
      </x:c>
      <x:c r="D44" s="234" t="inlineStr">
        <x:is>
          <x:t xml:space="preserve">Source Git blob ID queried and matched v1.1</x:t>
        </x:is>
      </x:c>
      <x:c r="E44" s="234" t="inlineStr">
        <x:is>
          <x:t xml:space="preserve">0270e099f35a00dc24a9dc673ce13d4a0a843802</x:t>
        </x:is>
      </x:c>
      <x:c r="F44" s="234" t="inlineStr">
        <x:is>
          <x:t xml:space="preserve">Pixelwise re-decoding still pending</x:t>
        </x:is>
      </x:c>
    </x:row>
    <x:row r="45" s="232" customFormat="1" ht="24" customHeight="1">
      <x:c r="A45" s="234" t="n">
        <x:v>40</x:v>
      </x:c>
      <x:c r="B45" s="234" t="inlineStr">
        <x:is>
          <x:t xml:space="preserve">40.jpg</x:t>
        </x:is>
      </x:c>
      <x:c r="C45" s="234" t="inlineStr">
        <x:is>
          <x:t xml:space="preserve">https://github.com/scream314/cicada3301/blob/master/assets/2014/liber-primus-complete/40.jpg</x:t>
        </x:is>
      </x:c>
      <x:c r="D45" s="234" t="inlineStr">
        <x:is>
          <x:t xml:space="preserve">Source Git blob ID queried and matched v1.1</x:t>
        </x:is>
      </x:c>
      <x:c r="E45" s="234" t="inlineStr">
        <x:is>
          <x:t xml:space="preserve">feee4eed2a4f6d66456ff5a977f43c7ef297f8eb</x:t>
        </x:is>
      </x:c>
      <x:c r="F45" s="234" t="inlineStr">
        <x:is>
          <x:t xml:space="preserve">Pixelwise re-decoding still pending</x:t>
        </x:is>
      </x:c>
    </x:row>
    <x:row r="46" s="232" customFormat="1" ht="24" customHeight="1">
      <x:c r="A46" s="234" t="n">
        <x:v>41</x:v>
      </x:c>
      <x:c r="B46" s="234" t="inlineStr">
        <x:is>
          <x:t xml:space="preserve">41.jpg</x:t>
        </x:is>
      </x:c>
      <x:c r="C46" s="234" t="inlineStr">
        <x:is>
          <x:t xml:space="preserve">https://github.com/scream314/cicada3301/blob/master/assets/2014/liber-primus-complete/41.jpg</x:t>
        </x:is>
      </x:c>
      <x:c r="D46" s="234" t="inlineStr">
        <x:is>
          <x:t xml:space="preserve">Not newly source-hash-verified in v1.2</x:t>
        </x:is>
      </x:c>
      <x:c r="E46" s="234" t="n"/>
      <x:c r="F46" s="234" t="inlineStr">
        <x:is>
          <x:t xml:space="preserve">No corpus-wide extraction performed</x:t>
        </x:is>
      </x:c>
    </x:row>
    <x:row r="47" s="232" customFormat="1" ht="24" customHeight="1">
      <x:c r="A47" s="234" t="n">
        <x:v>42</x:v>
      </x:c>
      <x:c r="B47" s="234" t="inlineStr">
        <x:is>
          <x:t xml:space="preserve">42.jpg</x:t>
        </x:is>
      </x:c>
      <x:c r="C47" s="234" t="inlineStr">
        <x:is>
          <x:t xml:space="preserve">https://github.com/scream314/cicada3301/blob/master/assets/2014/liber-primus-complete/42.jpg</x:t>
        </x:is>
      </x:c>
      <x:c r="D47" s="234" t="inlineStr">
        <x:is>
          <x:t xml:space="preserve">Not newly source-hash-verified in v1.2</x:t>
        </x:is>
      </x:c>
      <x:c r="E47" s="234" t="n"/>
      <x:c r="F47" s="234" t="inlineStr">
        <x:is>
          <x:t xml:space="preserve">No corpus-wide extraction performed</x:t>
        </x:is>
      </x:c>
    </x:row>
    <x:row r="48" s="232" customFormat="1" ht="24" customHeight="1">
      <x:c r="A48" s="234" t="n">
        <x:v>43</x:v>
      </x:c>
      <x:c r="B48" s="234" t="inlineStr">
        <x:is>
          <x:t xml:space="preserve">43.jpg</x:t>
        </x:is>
      </x:c>
      <x:c r="C48" s="234" t="inlineStr">
        <x:is>
          <x:t xml:space="preserve">https://github.com/scream314/cicada3301/blob/master/assets/2014/liber-primus-complete/43.jpg</x:t>
        </x:is>
      </x:c>
      <x:c r="D48" s="234" t="inlineStr">
        <x:is>
          <x:t xml:space="preserve">Not newly source-hash-verified in v1.2</x:t>
        </x:is>
      </x:c>
      <x:c r="E48" s="234" t="n"/>
      <x:c r="F48" s="234" t="inlineStr">
        <x:is>
          <x:t xml:space="preserve">No corpus-wide extraction performed</x:t>
        </x:is>
      </x:c>
    </x:row>
    <x:row r="49" s="232" customFormat="1" ht="24" customHeight="1">
      <x:c r="A49" s="234" t="n">
        <x:v>44</x:v>
      </x:c>
      <x:c r="B49" s="234" t="inlineStr">
        <x:is>
          <x:t xml:space="preserve">44.jpg</x:t>
        </x:is>
      </x:c>
      <x:c r="C49" s="234" t="inlineStr">
        <x:is>
          <x:t xml:space="preserve">https://github.com/scream314/cicada3301/blob/master/assets/2014/liber-primus-complete/44.jpg</x:t>
        </x:is>
      </x:c>
      <x:c r="D49" s="234" t="inlineStr">
        <x:is>
          <x:t xml:space="preserve">Not newly source-hash-verified in v1.2</x:t>
        </x:is>
      </x:c>
      <x:c r="E49" s="234" t="n"/>
      <x:c r="F49" s="234" t="inlineStr">
        <x:is>
          <x:t xml:space="preserve">No corpus-wide extraction performed</x:t>
        </x:is>
      </x:c>
    </x:row>
    <x:row r="50" s="232" customFormat="1" ht="24" customHeight="1">
      <x:c r="A50" s="234" t="n">
        <x:v>45</x:v>
      </x:c>
      <x:c r="B50" s="234" t="inlineStr">
        <x:is>
          <x:t xml:space="preserve">45.jpg</x:t>
        </x:is>
      </x:c>
      <x:c r="C50" s="234" t="inlineStr">
        <x:is>
          <x:t xml:space="preserve">https://github.com/scream314/cicada3301/blob/master/assets/2014/liber-primus-complete/45.jpg</x:t>
        </x:is>
      </x:c>
      <x:c r="D50" s="234" t="inlineStr">
        <x:is>
          <x:t xml:space="preserve">Not newly source-hash-verified in v1.2</x:t>
        </x:is>
      </x:c>
      <x:c r="E50" s="234" t="n"/>
      <x:c r="F50" s="234" t="inlineStr">
        <x:is>
          <x:t xml:space="preserve">No corpus-wide extraction performed</x:t>
        </x:is>
      </x:c>
    </x:row>
    <x:row r="51" s="232" customFormat="1" ht="24" customHeight="1">
      <x:c r="A51" s="234" t="n">
        <x:v>46</x:v>
      </x:c>
      <x:c r="B51" s="234" t="inlineStr">
        <x:is>
          <x:t xml:space="preserve">46.jpg</x:t>
        </x:is>
      </x:c>
      <x:c r="C51" s="234" t="inlineStr">
        <x:is>
          <x:t xml:space="preserve">https://github.com/scream314/cicada3301/blob/master/assets/2014/liber-primus-complete/46.jpg</x:t>
        </x:is>
      </x:c>
      <x:c r="D51" s="234" t="inlineStr">
        <x:is>
          <x:t xml:space="preserve">Not newly source-hash-verified in v1.2</x:t>
        </x:is>
      </x:c>
      <x:c r="E51" s="234" t="n"/>
      <x:c r="F51" s="234" t="inlineStr">
        <x:is>
          <x:t xml:space="preserve">No corpus-wide extraction performed</x:t>
        </x:is>
      </x:c>
    </x:row>
    <x:row r="52" s="232" customFormat="1" ht="24" customHeight="1">
      <x:c r="A52" s="234" t="n">
        <x:v>47</x:v>
      </x:c>
      <x:c r="B52" s="234" t="inlineStr">
        <x:is>
          <x:t xml:space="preserve">47.jpg</x:t>
        </x:is>
      </x:c>
      <x:c r="C52" s="234" t="inlineStr">
        <x:is>
          <x:t xml:space="preserve">https://github.com/scream314/cicada3301/blob/master/assets/2014/liber-primus-complete/47.jpg</x:t>
        </x:is>
      </x:c>
      <x:c r="D52" s="234" t="inlineStr">
        <x:is>
          <x:t xml:space="preserve">Not newly source-hash-verified in v1.2</x:t>
        </x:is>
      </x:c>
      <x:c r="E52" s="234" t="n"/>
      <x:c r="F52" s="234" t="inlineStr">
        <x:is>
          <x:t xml:space="preserve">No corpus-wide extraction performed</x:t>
        </x:is>
      </x:c>
    </x:row>
    <x:row r="53" s="232" customFormat="1" ht="24" customHeight="1">
      <x:c r="A53" s="234" t="n">
        <x:v>48</x:v>
      </x:c>
      <x:c r="B53" s="234" t="inlineStr">
        <x:is>
          <x:t xml:space="preserve">48.jpg</x:t>
        </x:is>
      </x:c>
      <x:c r="C53" s="234" t="inlineStr">
        <x:is>
          <x:t xml:space="preserve">https://github.com/scream314/cicada3301/blob/master/assets/2014/liber-primus-complete/48.jpg</x:t>
        </x:is>
      </x:c>
      <x:c r="D53" s="234" t="inlineStr">
        <x:is>
          <x:t xml:space="preserve">Not newly source-hash-verified in v1.2</x:t>
        </x:is>
      </x:c>
      <x:c r="E53" s="234" t="n"/>
      <x:c r="F53" s="234" t="inlineStr">
        <x:is>
          <x:t xml:space="preserve">No corpus-wide extraction performed</x:t>
        </x:is>
      </x:c>
    </x:row>
    <x:row r="54" s="232" customFormat="1" ht="24" customHeight="1">
      <x:c r="A54" s="234" t="n">
        <x:v>49</x:v>
      </x:c>
      <x:c r="B54" s="234" t="inlineStr">
        <x:is>
          <x:t xml:space="preserve">49.jpg</x:t>
        </x:is>
      </x:c>
      <x:c r="C54" s="234" t="inlineStr">
        <x:is>
          <x:t xml:space="preserve">https://github.com/scream314/cicada3301/blob/master/assets/2014/liber-primus-complete/49.jpg</x:t>
        </x:is>
      </x:c>
      <x:c r="D54" s="234" t="inlineStr">
        <x:is>
          <x:t xml:space="preserve">Not newly source-hash-verified in v1.2</x:t>
        </x:is>
      </x:c>
      <x:c r="E54" s="234" t="n"/>
      <x:c r="F54" s="234" t="inlineStr">
        <x:is>
          <x:t xml:space="preserve">No corpus-wide extraction performed</x:t>
        </x:is>
      </x:c>
    </x:row>
    <x:row r="55" s="232" customFormat="1" ht="24" customHeight="1">
      <x:c r="A55" s="234" t="n">
        <x:v>50</x:v>
      </x:c>
      <x:c r="B55" s="234" t="inlineStr">
        <x:is>
          <x:t xml:space="preserve">50.jpg</x:t>
        </x:is>
      </x:c>
      <x:c r="C55" s="234" t="inlineStr">
        <x:is>
          <x:t xml:space="preserve">https://github.com/scream314/cicada3301/blob/master/assets/2014/liber-primus-complete/50.jpg</x:t>
        </x:is>
      </x:c>
      <x:c r="D55" s="234" t="inlineStr">
        <x:is>
          <x:t xml:space="preserve">Source Git blob ID queried and matched v1.1</x:t>
        </x:is>
      </x:c>
      <x:c r="E55" s="234" t="inlineStr">
        <x:is>
          <x:t xml:space="preserve">68d3e28d8c4161fdfe91a542f5bac8e276bc441e</x:t>
        </x:is>
      </x:c>
      <x:c r="F55" s="234" t="inlineStr">
        <x:is>
          <x:t xml:space="preserve">Pixelwise re-decoding still pending</x:t>
        </x:is>
      </x:c>
    </x:row>
    <x:row r="56" s="232" customFormat="1" ht="24" customHeight="1">
      <x:c r="A56" s="234" t="n">
        <x:v>51</x:v>
      </x:c>
      <x:c r="B56" s="234" t="inlineStr">
        <x:is>
          <x:t xml:space="preserve">51.jpg</x:t>
        </x:is>
      </x:c>
      <x:c r="C56" s="234" t="inlineStr">
        <x:is>
          <x:t xml:space="preserve">https://github.com/scream314/cicada3301/blob/master/assets/2014/liber-primus-complete/51.jpg</x:t>
        </x:is>
      </x:c>
      <x:c r="D56" s="234" t="inlineStr">
        <x:is>
          <x:t xml:space="preserve">Not newly source-hash-verified in v1.2</x:t>
        </x:is>
      </x:c>
      <x:c r="E56" s="234" t="n"/>
      <x:c r="F56" s="234" t="inlineStr">
        <x:is>
          <x:t xml:space="preserve">No corpus-wide extraction performed</x:t>
        </x:is>
      </x:c>
    </x:row>
    <x:row r="57" s="232" customFormat="1" ht="24" customHeight="1">
      <x:c r="A57" s="234" t="n">
        <x:v>52</x:v>
      </x:c>
      <x:c r="B57" s="234" t="inlineStr">
        <x:is>
          <x:t xml:space="preserve">52.jpg</x:t>
        </x:is>
      </x:c>
      <x:c r="C57" s="234" t="inlineStr">
        <x:is>
          <x:t xml:space="preserve">https://github.com/scream314/cicada3301/blob/master/assets/2014/liber-primus-complete/52.jpg</x:t>
        </x:is>
      </x:c>
      <x:c r="D57" s="234" t="inlineStr">
        <x:is>
          <x:t xml:space="preserve">Not newly source-hash-verified in v1.2</x:t>
        </x:is>
      </x:c>
      <x:c r="E57" s="234" t="n"/>
      <x:c r="F57" s="234" t="inlineStr">
        <x:is>
          <x:t xml:space="preserve">No corpus-wide extraction performed</x:t>
        </x:is>
      </x:c>
    </x:row>
    <x:row r="58" s="232" customFormat="1" ht="24" customHeight="1">
      <x:c r="A58" s="234" t="n">
        <x:v>53</x:v>
      </x:c>
      <x:c r="B58" s="234" t="inlineStr">
        <x:is>
          <x:t xml:space="preserve">53.jpg</x:t>
        </x:is>
      </x:c>
      <x:c r="C58" s="234" t="inlineStr">
        <x:is>
          <x:t xml:space="preserve">https://github.com/scream314/cicada3301/blob/master/assets/2014/liber-primus-complete/53.jpg</x:t>
        </x:is>
      </x:c>
      <x:c r="D58" s="234" t="inlineStr">
        <x:is>
          <x:t xml:space="preserve">Not newly source-hash-verified in v1.2</x:t>
        </x:is>
      </x:c>
      <x:c r="E58" s="234" t="n"/>
      <x:c r="F58" s="234" t="inlineStr">
        <x:is>
          <x:t xml:space="preserve">No corpus-wide extraction performed</x:t>
        </x:is>
      </x:c>
    </x:row>
    <x:row r="59" s="232" customFormat="1" ht="24" customHeight="1">
      <x:c r="A59" s="234" t="n">
        <x:v>54</x:v>
      </x:c>
      <x:c r="B59" s="234" t="inlineStr">
        <x:is>
          <x:t xml:space="preserve">54.jpg</x:t>
        </x:is>
      </x:c>
      <x:c r="C59" s="234" t="inlineStr">
        <x:is>
          <x:t xml:space="preserve">https://github.com/scream314/cicada3301/blob/master/assets/2014/liber-primus-complete/54.jpg</x:t>
        </x:is>
      </x:c>
      <x:c r="D59" s="234" t="inlineStr">
        <x:is>
          <x:t xml:space="preserve">Not newly source-hash-verified in v1.2</x:t>
        </x:is>
      </x:c>
      <x:c r="E59" s="234" t="n"/>
      <x:c r="F59" s="234" t="inlineStr">
        <x:is>
          <x:t xml:space="preserve">No corpus-wide extraction performed</x:t>
        </x:is>
      </x:c>
    </x:row>
    <x:row r="60" s="232" customFormat="1" ht="24" customHeight="1">
      <x:c r="A60" s="234" t="n">
        <x:v>55</x:v>
      </x:c>
      <x:c r="B60" s="234" t="inlineStr">
        <x:is>
          <x:t xml:space="preserve">55.jpg</x:t>
        </x:is>
      </x:c>
      <x:c r="C60" s="234" t="inlineStr">
        <x:is>
          <x:t xml:space="preserve">https://github.com/scream314/cicada3301/blob/master/assets/2014/liber-primus-complete/55.jpg</x:t>
        </x:is>
      </x:c>
      <x:c r="D60" s="234" t="inlineStr">
        <x:is>
          <x:t xml:space="preserve">Not newly source-hash-verified in v1.2</x:t>
        </x:is>
      </x:c>
      <x:c r="E60" s="234" t="n"/>
      <x:c r="F60" s="234" t="inlineStr">
        <x:is>
          <x:t xml:space="preserve">No corpus-wide extraction performed</x:t>
        </x:is>
      </x:c>
    </x:row>
    <x:row r="61" s="232" customFormat="1" ht="24" customHeight="1">
      <x:c r="A61" s="234" t="n">
        <x:v>56</x:v>
      </x:c>
      <x:c r="B61" s="234" t="inlineStr">
        <x:is>
          <x:t xml:space="preserve">56.jpg</x:t>
        </x:is>
      </x:c>
      <x:c r="C61" s="234" t="inlineStr">
        <x:is>
          <x:t xml:space="preserve">https://github.com/scream314/cicada3301/blob/master/assets/2014/liber-primus-complete/56.jpg</x:t>
        </x:is>
      </x:c>
      <x:c r="D61" s="234" t="inlineStr">
        <x:is>
          <x:t xml:space="preserve">Source Git blob ID queried and matched v1.1</x:t>
        </x:is>
      </x:c>
      <x:c r="E61" s="234" t="inlineStr">
        <x:is>
          <x:t xml:space="preserve">819261c833837cbaa2bd200d210ca299d79031f3</x:t>
        </x:is>
      </x:c>
      <x:c r="F61" s="234" t="inlineStr">
        <x:is>
          <x:t xml:space="preserve">Pixelwise re-decoding still pending</x:t>
        </x:is>
      </x:c>
    </x:row>
    <x:row r="62" s="232" customFormat="1" ht="24" customHeight="1">
      <x:c r="A62" s="234" t="n">
        <x:v>57</x:v>
      </x:c>
      <x:c r="B62" s="234" t="inlineStr">
        <x:is>
          <x:t xml:space="preserve">57.jpg</x:t>
        </x:is>
      </x:c>
      <x:c r="C62" s="234" t="inlineStr">
        <x:is>
          <x:t xml:space="preserve">https://github.com/scream314/cicada3301/blob/master/assets/2014/liber-primus-complete/57.jpg</x:t>
        </x:is>
      </x:c>
      <x:c r="D62" s="234" t="inlineStr">
        <x:is>
          <x:t xml:space="preserve">Source Git blob ID queried and matched v1.1</x:t>
        </x:is>
      </x:c>
      <x:c r="E62" s="234" t="inlineStr">
        <x:is>
          <x:t xml:space="preserve">83f661b6107587c5d153d6dea3f6bf03090a70bc</x:t>
        </x:is>
      </x:c>
      <x:c r="F62" s="234" t="inlineStr">
        <x:is>
          <x:t xml:space="preserve">Pixelwise re-decoding still pending</x:t>
        </x:is>
      </x:c>
    </x:row>
    <x:row r="63" s="232" customFormat="1" ht="24" customHeight="1">
      <x:c r="A63" s="234" t="n">
        <x:v>58</x:v>
      </x:c>
      <x:c r="B63" s="234" t="inlineStr">
        <x:is>
          <x:t xml:space="preserve">58.jpg</x:t>
        </x:is>
      </x:c>
      <x:c r="C63" s="234" t="inlineStr">
        <x:is>
          <x:t xml:space="preserve">https://github.com/scream314/cicada3301/blob/master/assets/2014/liber-primus-complete/58.jpg</x:t>
        </x:is>
      </x:c>
      <x:c r="D63" s="234" t="inlineStr">
        <x:is>
          <x:t xml:space="preserve">Not newly source-hash-verified in v1.2</x:t>
        </x:is>
      </x:c>
      <x:c r="E63" s="234" t="n"/>
      <x:c r="F63" s="234" t="inlineStr">
        <x:is>
          <x:t xml:space="preserve">No corpus-wide extraction performed</x:t>
        </x:is>
      </x:c>
    </x:row>
    <x:row r="64" s="232" customFormat="1" ht="24" customHeight="1">
      <x:c r="A64" s="234" t="n">
        <x:v>59</x:v>
      </x:c>
      <x:c r="B64" s="234" t="inlineStr">
        <x:is>
          <x:t xml:space="preserve">59.jpg</x:t>
        </x:is>
      </x:c>
      <x:c r="C64" s="234" t="inlineStr">
        <x:is>
          <x:t xml:space="preserve">https://github.com/scream314/cicada3301/blob/master/assets/2014/liber-primus-complete/59.jpg</x:t>
        </x:is>
      </x:c>
      <x:c r="D64" s="234" t="inlineStr">
        <x:is>
          <x:t xml:space="preserve">Not newly source-hash-verified in v1.2</x:t>
        </x:is>
      </x:c>
      <x:c r="E64" s="234" t="n"/>
      <x:c r="F64" s="234" t="inlineStr">
        <x:is>
          <x:t xml:space="preserve">No corpus-wide extraction performed</x:t>
        </x:is>
      </x:c>
    </x:row>
    <x:row r="65" s="232" customFormat="1" ht="24" customHeight="1">
      <x:c r="A65" s="234" t="n">
        <x:v>60</x:v>
      </x:c>
      <x:c r="B65" s="234" t="inlineStr">
        <x:is>
          <x:t xml:space="preserve">60.jpg</x:t>
        </x:is>
      </x:c>
      <x:c r="C65" s="234" t="inlineStr">
        <x:is>
          <x:t xml:space="preserve">https://github.com/scream314/cicada3301/blob/master/assets/2014/liber-primus-complete/60.jpg</x:t>
        </x:is>
      </x:c>
      <x:c r="D65" s="234" t="inlineStr">
        <x:is>
          <x:t xml:space="preserve">Not newly source-hash-verified in v1.2</x:t>
        </x:is>
      </x:c>
      <x:c r="E65" s="234" t="n"/>
      <x:c r="F65" s="234" t="inlineStr">
        <x:is>
          <x:t xml:space="preserve">No corpus-wide extraction performed</x:t>
        </x:is>
      </x:c>
    </x:row>
    <x:row r="66" s="232" customFormat="1" ht="24" customHeight="1">
      <x:c r="A66" s="234" t="n">
        <x:v>61</x:v>
      </x:c>
      <x:c r="B66" s="234" t="inlineStr">
        <x:is>
          <x:t xml:space="preserve">61.jpg</x:t>
        </x:is>
      </x:c>
      <x:c r="C66" s="234" t="inlineStr">
        <x:is>
          <x:t xml:space="preserve">https://github.com/scream314/cicada3301/blob/master/assets/2014/liber-primus-complete/61.jpg</x:t>
        </x:is>
      </x:c>
      <x:c r="D66" s="234" t="inlineStr">
        <x:is>
          <x:t xml:space="preserve">Not newly source-hash-verified in v1.2</x:t>
        </x:is>
      </x:c>
      <x:c r="E66" s="234" t="n"/>
      <x:c r="F66" s="234" t="inlineStr">
        <x:is>
          <x:t xml:space="preserve">No corpus-wide extraction performed</x:t>
        </x:is>
      </x:c>
    </x:row>
    <x:row r="67" s="232" customFormat="1" ht="24" customHeight="1">
      <x:c r="A67" s="234" t="n">
        <x:v>62</x:v>
      </x:c>
      <x:c r="B67" s="234" t="inlineStr">
        <x:is>
          <x:t xml:space="preserve">62.jpg</x:t>
        </x:is>
      </x:c>
      <x:c r="C67" s="234" t="inlineStr">
        <x:is>
          <x:t xml:space="preserve">https://github.com/scream314/cicada3301/blob/master/assets/2014/liber-primus-complete/62.jpg</x:t>
        </x:is>
      </x:c>
      <x:c r="D67" s="234" t="inlineStr">
        <x:is>
          <x:t xml:space="preserve">Not newly source-hash-verified in v1.2</x:t>
        </x:is>
      </x:c>
      <x:c r="E67" s="234" t="n"/>
      <x:c r="F67" s="234" t="inlineStr">
        <x:is>
          <x:t xml:space="preserve">No corpus-wide extraction performed</x:t>
        </x:is>
      </x:c>
    </x:row>
    <x:row r="68" s="232" customFormat="1" ht="24" customHeight="1">
      <x:c r="A68" s="234" t="n">
        <x:v>63</x:v>
      </x:c>
      <x:c r="B68" s="234" t="inlineStr">
        <x:is>
          <x:t xml:space="preserve">63.jpg</x:t>
        </x:is>
      </x:c>
      <x:c r="C68" s="234" t="inlineStr">
        <x:is>
          <x:t xml:space="preserve">https://github.com/scream314/cicada3301/blob/master/assets/2014/liber-primus-complete/63.jpg</x:t>
        </x:is>
      </x:c>
      <x:c r="D68" s="234" t="inlineStr">
        <x:is>
          <x:t xml:space="preserve">Not newly source-hash-verified in v1.2</x:t>
        </x:is>
      </x:c>
      <x:c r="E68" s="234" t="n"/>
      <x:c r="F68" s="234" t="inlineStr">
        <x:is>
          <x:t xml:space="preserve">No corpus-wide extraction performed</x:t>
        </x:is>
      </x:c>
    </x:row>
    <x:row r="69" s="232" customFormat="1" ht="24" customHeight="1">
      <x:c r="A69" s="234" t="n">
        <x:v>64</x:v>
      </x:c>
      <x:c r="B69" s="234" t="inlineStr">
        <x:is>
          <x:t xml:space="preserve">64.jpg</x:t>
        </x:is>
      </x:c>
      <x:c r="C69" s="234" t="inlineStr">
        <x:is>
          <x:t xml:space="preserve">https://github.com/scream314/cicada3301/blob/master/assets/2014/liber-primus-complete/64.jpg</x:t>
        </x:is>
      </x:c>
      <x:c r="D69" s="234" t="inlineStr">
        <x:is>
          <x:t xml:space="preserve">Not newly source-hash-verified in v1.2</x:t>
        </x:is>
      </x:c>
      <x:c r="E69" s="234" t="n"/>
      <x:c r="F69" s="234" t="inlineStr">
        <x:is>
          <x:t xml:space="preserve">No corpus-wide extraction performed</x:t>
        </x:is>
      </x:c>
    </x:row>
    <x:row r="70" s="232" customFormat="1" ht="24" customHeight="1">
      <x:c r="A70" s="234" t="n">
        <x:v>65</x:v>
      </x:c>
      <x:c r="B70" s="234" t="inlineStr">
        <x:is>
          <x:t xml:space="preserve">65.jpg</x:t>
        </x:is>
      </x:c>
      <x:c r="C70" s="234" t="inlineStr">
        <x:is>
          <x:t xml:space="preserve">https://github.com/scream314/cicada3301/blob/master/assets/2014/liber-primus-complete/65.jpg</x:t>
        </x:is>
      </x:c>
      <x:c r="D70" s="234" t="inlineStr">
        <x:is>
          <x:t xml:space="preserve">Not newly source-hash-verified in v1.2</x:t>
        </x:is>
      </x:c>
      <x:c r="E70" s="234" t="n"/>
      <x:c r="F70" s="234" t="inlineStr">
        <x:is>
          <x:t xml:space="preserve">No corpus-wide extraction performed</x:t>
        </x:is>
      </x:c>
    </x:row>
    <x:row r="71" s="232" customFormat="1" ht="24" customHeight="1">
      <x:c r="A71" s="234" t="n">
        <x:v>66</x:v>
      </x:c>
      <x:c r="B71" s="234" t="inlineStr">
        <x:is>
          <x:t xml:space="preserve">66.jpg</x:t>
        </x:is>
      </x:c>
      <x:c r="C71" s="234" t="inlineStr">
        <x:is>
          <x:t xml:space="preserve">https://github.com/scream314/cicada3301/blob/master/assets/2014/liber-primus-complete/66.jpg</x:t>
        </x:is>
      </x:c>
      <x:c r="D71" s="234" t="inlineStr">
        <x:is>
          <x:t xml:space="preserve">Not newly source-hash-verified in v1.2</x:t>
        </x:is>
      </x:c>
      <x:c r="E71" s="234" t="n"/>
      <x:c r="F71" s="234" t="inlineStr">
        <x:is>
          <x:t xml:space="preserve">No corpus-wide extraction performed</x:t>
        </x:is>
      </x:c>
    </x:row>
    <x:row r="72" s="232" customFormat="1" ht="24" customHeight="1">
      <x:c r="A72" s="234" t="n">
        <x:v>67</x:v>
      </x:c>
      <x:c r="B72" s="234" t="inlineStr">
        <x:is>
          <x:t xml:space="preserve">67.jpg</x:t>
        </x:is>
      </x:c>
      <x:c r="C72" s="234" t="inlineStr">
        <x:is>
          <x:t xml:space="preserve">https://github.com/scream314/cicada3301/blob/master/assets/2014/liber-primus-complete/67.jpg</x:t>
        </x:is>
      </x:c>
      <x:c r="D72" s="234" t="inlineStr">
        <x:is>
          <x:t xml:space="preserve">Not newly source-hash-verified in v1.2</x:t>
        </x:is>
      </x:c>
      <x:c r="E72" s="234" t="n"/>
      <x:c r="F72" s="234" t="inlineStr">
        <x:is>
          <x:t xml:space="preserve">No corpus-wide extraction performed</x:t>
        </x:is>
      </x:c>
    </x:row>
    <x:row r="73" s="232" customFormat="1" ht="24" customHeight="1">
      <x:c r="A73" s="234" t="n">
        <x:v>68</x:v>
      </x:c>
      <x:c r="B73" s="234" t="inlineStr">
        <x:is>
          <x:t xml:space="preserve">68.jpg</x:t>
        </x:is>
      </x:c>
      <x:c r="C73" s="234" t="inlineStr">
        <x:is>
          <x:t xml:space="preserve">https://github.com/scream314/cicada3301/blob/master/assets/2014/liber-primus-complete/68.jpg</x:t>
        </x:is>
      </x:c>
      <x:c r="D73" s="234" t="inlineStr">
        <x:is>
          <x:t xml:space="preserve">Source Git blob ID queried and matched v1.1</x:t>
        </x:is>
      </x:c>
      <x:c r="E73" s="234" t="inlineStr">
        <x:is>
          <x:t xml:space="preserve">701e47789abf4401d61420ff938c2b72aa03ad2c</x:t>
        </x:is>
      </x:c>
      <x:c r="F73" s="234" t="inlineStr">
        <x:is>
          <x:t xml:space="preserve">Pixelwise re-decoding still pending</x:t>
        </x:is>
      </x:c>
    </x:row>
    <x:row r="74" s="232" customFormat="1" ht="24" customHeight="1">
      <x:c r="A74" s="234" t="n">
        <x:v>69</x:v>
      </x:c>
      <x:c r="B74" s="234" t="inlineStr">
        <x:is>
          <x:t xml:space="preserve">69.jpg</x:t>
        </x:is>
      </x:c>
      <x:c r="C74" s="234" t="inlineStr">
        <x:is>
          <x:t xml:space="preserve">https://github.com/scream314/cicada3301/blob/master/assets/2014/liber-primus-complete/69.jpg</x:t>
        </x:is>
      </x:c>
      <x:c r="D74" s="234" t="inlineStr">
        <x:is>
          <x:t xml:space="preserve">Not newly source-hash-verified in v1.2</x:t>
        </x:is>
      </x:c>
      <x:c r="E74" s="234" t="n"/>
      <x:c r="F74" s="234" t="inlineStr">
        <x:is>
          <x:t xml:space="preserve">No corpus-wide extraction performed</x:t>
        </x:is>
      </x:c>
    </x:row>
    <x:row r="75" s="232" customFormat="1" ht="24" customHeight="1">
      <x:c r="A75" s="234" t="n">
        <x:v>70</x:v>
      </x:c>
      <x:c r="B75" s="234" t="inlineStr">
        <x:is>
          <x:t xml:space="preserve">70.jpg</x:t>
        </x:is>
      </x:c>
      <x:c r="C75" s="234" t="inlineStr">
        <x:is>
          <x:t xml:space="preserve">https://github.com/scream314/cicada3301/blob/master/assets/2014/liber-primus-complete/70.jpg</x:t>
        </x:is>
      </x:c>
      <x:c r="D75" s="234" t="inlineStr">
        <x:is>
          <x:t xml:space="preserve">Not newly source-hash-verified in v1.2</x:t>
        </x:is>
      </x:c>
      <x:c r="E75" s="234" t="n"/>
      <x:c r="F75" s="234" t="inlineStr">
        <x:is>
          <x:t xml:space="preserve">No corpus-wide extraction performed</x:t>
        </x:is>
      </x:c>
    </x:row>
    <x:row r="76" s="232" customFormat="1" ht="24" customHeight="1">
      <x:c r="A76" s="234" t="n">
        <x:v>71</x:v>
      </x:c>
      <x:c r="B76" s="234" t="inlineStr">
        <x:is>
          <x:t xml:space="preserve">71.jpg</x:t>
        </x:is>
      </x:c>
      <x:c r="C76" s="234" t="inlineStr">
        <x:is>
          <x:t xml:space="preserve">https://github.com/scream314/cicada3301/blob/master/assets/2014/liber-primus-complete/71.jpg</x:t>
        </x:is>
      </x:c>
      <x:c r="D76" s="234" t="inlineStr">
        <x:is>
          <x:t xml:space="preserve">Not newly source-hash-verified in v1.2</x:t>
        </x:is>
      </x:c>
      <x:c r="E76" s="234" t="n"/>
      <x:c r="F76" s="234" t="inlineStr">
        <x:is>
          <x:t xml:space="preserve">No corpus-wide extraction performed</x:t>
        </x:is>
      </x:c>
    </x:row>
    <x:row r="77" s="232" customFormat="1" ht="24" customHeight="1">
      <x:c r="A77" s="234" t="n">
        <x:v>72</x:v>
      </x:c>
      <x:c r="B77" s="234" t="inlineStr">
        <x:is>
          <x:t xml:space="preserve">72.jpg</x:t>
        </x:is>
      </x:c>
      <x:c r="C77" s="234" t="inlineStr">
        <x:is>
          <x:t xml:space="preserve">https://github.com/scream314/cicada3301/blob/master/assets/2014/liber-primus-complete/72.jpg</x:t>
        </x:is>
      </x:c>
      <x:c r="D77" s="234" t="inlineStr">
        <x:is>
          <x:t xml:space="preserve">Not newly source-hash-verified in v1.2</x:t>
        </x:is>
      </x:c>
      <x:c r="E77" s="234" t="n"/>
      <x:c r="F77" s="234" t="inlineStr">
        <x:is>
          <x:t xml:space="preserve">No corpus-wide extraction performed</x:t>
        </x:is>
      </x:c>
    </x:row>
    <x:row r="78" s="232" customFormat="1" ht="24" customHeight="1">
      <x:c r="A78" s="234" t="n">
        <x:v>73</x:v>
      </x:c>
      <x:c r="B78" s="234" t="inlineStr">
        <x:is>
          <x:t xml:space="preserve">73.jpg</x:t>
        </x:is>
      </x:c>
      <x:c r="C78" s="234" t="inlineStr">
        <x:is>
          <x:t xml:space="preserve">https://github.com/scream314/cicada3301/blob/master/assets/2014/liber-primus-complete/73.jpg</x:t>
        </x:is>
      </x:c>
      <x:c r="D78" s="234" t="inlineStr">
        <x:is>
          <x:t xml:space="preserve">Source Git blob ID queried and matched v1.1</x:t>
        </x:is>
      </x:c>
      <x:c r="E78" s="234" t="inlineStr">
        <x:is>
          <x:t xml:space="preserve">afa3428764199ddf590baf0c055c8caedc079cb1</x:t>
        </x:is>
      </x:c>
      <x:c r="F78" s="234" t="inlineStr">
        <x:is>
          <x:t xml:space="preserve">Pixelwise re-decoding still pending</x:t>
        </x:is>
      </x:c>
    </x:row>
    <x:row r="79" s="232" customFormat="1" ht="24" customHeight="1">
      <x:c r="A79" s="234" t="n">
        <x:v>74</x:v>
      </x:c>
      <x:c r="B79" s="234" t="inlineStr">
        <x:is>
          <x:t xml:space="preserve">74.jpg</x:t>
        </x:is>
      </x:c>
      <x:c r="C79" s="234" t="inlineStr">
        <x:is>
          <x:t xml:space="preserve">https://github.com/scream314/cicada3301/blob/master/assets/2014/liber-primus-complete/74.jpg</x:t>
        </x:is>
      </x:c>
      <x:c r="D79" s="234" t="inlineStr">
        <x:is>
          <x:t xml:space="preserve">Not newly source-hash-verified in v1.2</x:t>
        </x:is>
      </x:c>
      <x:c r="E79" s="234" t="n"/>
      <x:c r="F79" s="234" t="inlineStr">
        <x:is>
          <x:t xml:space="preserve">No corpus-wide extraction performed</x:t>
        </x:is>
      </x:c>
    </x:row>
  </x:sheetData>
  <x:mergeCells>
    <x:mergeCell ref="A2:F2"/>
    <x:mergeCell ref="A1:F1"/>
  </x:mergeCells>
  <x:pageMargins left="0.7" right="0.7" top="0.75" bottom="0.75" header="0.3" footer="0.3"/>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6" style="232" customWidth="1"/>
    <x:col min="2" max="2" width="16" style="232" customWidth="1"/>
    <x:col min="3" max="3" width="16" style="232" customWidth="1"/>
    <x:col min="4" max="4" width="16" style="232" customWidth="1"/>
    <x:col min="5" max="5" width="16" style="232" customWidth="1"/>
    <x:col min="6" max="6" width="16" style="232" customWidth="1"/>
    <x:col min="7" max="7" width="16" style="232" customWidth="1"/>
  </x:cols>
  <x:sheetData>
    <x:row r="1" s="232" customFormat="1" ht="28" customHeight="1">
      <x:c r="A1" s="311" t="inlineStr">
        <x:is>
          <x:t xml:space="preserve">Cipher-correlation test register — v1.2</x:t>
        </x:is>
      </x:c>
      <x:c r="B1" s="1" t="n"/>
      <x:c r="C1" s="1" t="n"/>
      <x:c r="D1" s="1" t="n"/>
      <x:c r="E1" s="1" t="n"/>
      <x:c r="F1" s="1" t="n"/>
      <x:c r="G1" s="1" t="n"/>
    </x:row>
    <x:row r="2" s="232" customFormat="1" ht="36" customHeight="1">
      <x:c r="A2" s="312" t="inlineStr">
        <x:is>
          <x:t xml:space="preserve">No cipher relevance is claimed in this version. The sheet records why correlation tests are deferred and what a valid future test must predefine.</x:t>
        </x:is>
      </x:c>
      <x:c r="B2" s="1" t="n"/>
      <x:c r="C2" s="1" t="n"/>
      <x:c r="D2" s="1" t="n"/>
      <x:c r="E2" s="1" t="n"/>
      <x:c r="F2" s="1" t="n"/>
      <x:c r="G2" s="1" t="n"/>
    </x:row>
    <x:row r="4" s="232" customFormat="1" ht="32" customHeight="1">
      <x:c r="A4" s="274" t="inlineStr">
        <x:is>
          <x:t xml:space="preserve">Test ID</x:t>
        </x:is>
      </x:c>
      <x:c r="B4" s="274" t="inlineStr">
        <x:is>
          <x:t xml:space="preserve">Proposed relation</x:t>
        </x:is>
      </x:c>
      <x:c r="C4" s="274" t="inlineStr">
        <x:is>
          <x:t xml:space="preserve">Status</x:t>
        </x:is>
      </x:c>
      <x:c r="D4" s="274" t="inlineStr">
        <x:is>
          <x:t xml:space="preserve">Hypothesis preregistered?</x:t>
        </x:is>
      </x:c>
      <x:c r="E4" s="274" t="inlineStr">
        <x:is>
          <x:t xml:space="preserve">Evidence gap</x:t>
        </x:is>
      </x:c>
      <x:c r="F4" s="274" t="inlineStr">
        <x:is>
          <x:t xml:space="preserve">Current decision</x:t>
        </x:is>
      </x:c>
      <x:c r="G4" s="274" t="inlineStr">
        <x:is>
          <x:t xml:space="preserve">Next valid test</x:t>
        </x:is>
      </x:c>
    </x:row>
    <x:row r="5" s="232" customFormat="1" ht="24" customHeight="1">
      <x:c r="A5" s="234" t="inlineStr">
        <x:is>
          <x:t xml:space="preserve">CORR-01</x:t>
        </x:is>
      </x:c>
      <x:c r="B5" s="234" t="inlineStr">
        <x:is>
          <x:t xml:space="preserve">Five-dot sequence to rune positions</x:t>
        </x:is>
      </x:c>
      <x:c r="C5" s="234" t="inlineStr">
        <x:is>
          <x:t xml:space="preserve">Not tested / deferred</x:t>
        </x:is>
      </x:c>
      <x:c r="D5" s="234" t="inlineStr">
        <x:is>
          <x:t xml:space="preserve">No</x:t>
        </x:is>
      </x:c>
      <x:c r="E5" s="234" t="inlineStr">
        <x:is>
          <x:t xml:space="preserve">Dot ordering is partly selected from visual inspection; no deterministic ordering-to-rune rule is predeclared.</x:t>
        </x:is>
      </x:c>
      <x:c r="F5" s="234" t="inlineStr">
        <x:is>
          <x:t xml:space="preserve">Do not infer cipher content from geometric resemblance.</x:t>
        </x:is>
      </x:c>
      <x:c r="G5" s="234" t="inlineStr">
        <x:is>
          <x:t xml:space="preserve">After corpus null, predefine point ordering, symbol extraction, exact output prediction and failure condition.</x:t>
        </x:is>
      </x:c>
    </x:row>
    <x:row r="6" s="232" customFormat="1" ht="24" customHeight="1">
      <x:c r="A6" s="234" t="inlineStr">
        <x:is>
          <x:t xml:space="preserve">CORR-02</x:t>
        </x:is>
      </x:c>
      <x:c r="B6" s="234" t="inlineStr">
        <x:is>
          <x:t xml:space="preserve">Motif occurrence versus page or text block order</x:t>
        </x:is>
      </x:c>
      <x:c r="C6" s="234" t="inlineStr">
        <x:is>
          <x:t xml:space="preserve">Not tested / deferred</x:t>
        </x:is>
      </x:c>
      <x:c r="D6" s="234" t="inlineStr">
        <x:is>
          <x:t xml:space="preserve">No</x:t>
        </x:is>
      </x:c>
      <x:c r="E6" s="234" t="inlineStr">
        <x:is>
          <x:t xml:space="preserve">Only selected page 24/40/73 motif and selected controls are currently measured; corpus detection and coverage absent.</x:t>
        </x:is>
      </x:c>
      <x:c r="F6" s="234" t="inlineStr">
        <x:is>
          <x:t xml:space="preserve">No correlation claim.</x:t>
        </x:is>
      </x:c>
      <x:c r="G6" s="234" t="inlineStr">
        <x:is>
          <x:t xml:space="preserve">Compare motif-bearing vs non-motif pages using locked detector and shuffled-page controls.</x:t>
        </x:is>
      </x:c>
    </x:row>
    <x:row r="7" s="232" customFormat="1" ht="24" customHeight="1">
      <x:c r="A7" s="234" t="inlineStr">
        <x:is>
          <x:t xml:space="preserve">CORR-03</x:t>
        </x:is>
      </x:c>
      <x:c r="B7" s="234" t="inlineStr">
        <x:is>
          <x:t xml:space="preserve">Visual orientation versus rune/cipher structure</x:t>
        </x:is>
      </x:c>
      <x:c r="C7" s="234" t="inlineStr">
        <x:is>
          <x:t xml:space="preserve">Not tested / deferred</x:t>
        </x:is>
      </x:c>
      <x:c r="D7" s="234" t="inlineStr">
        <x:is>
          <x:t xml:space="preserve">No</x:t>
        </x:is>
      </x:c>
      <x:c r="E7" s="234" t="inlineStr">
        <x:is>
          <x:t xml:space="preserve">No coordinate-aligned rune masks/text segmentation table has been joined to source-pixel centroid coordinates.</x:t>
        </x:is>
      </x:c>
      <x:c r="F7" s="234" t="inlineStr">
        <x:is>
          <x:t xml:space="preserve">No cipher constraint established.</x:t>
        </x:is>
      </x:c>
      <x:c r="G7" s="234" t="inlineStr">
        <x:is>
          <x:t xml:space="preserve">Construct a provenance-preserving page coordinate layer only after motif detections are stable.</x:t>
        </x:is>
      </x:c>
    </x:row>
    <x:row r="8" s="232" customFormat="1" ht="24" customHeight="1">
      <x:c r="A8" s="234" t="inlineStr">
        <x:is>
          <x:t xml:space="preserve">CORR-04</x:t>
        </x:is>
      </x:c>
      <x:c r="B8" s="234" t="inlineStr">
        <x:is>
          <x:t xml:space="preserve">Solved page 73 phrase / red glyphs as explanation</x:t>
        </x:is>
      </x:c>
      <x:c r="C8" s="234" t="inlineStr">
        <x:is>
          <x:t xml:space="preserve">Explicitly excluded as automatic explanation</x:t>
        </x:is>
      </x:c>
      <x:c r="D8" s="234" t="inlineStr">
        <x:is>
          <x:t xml:space="preserve">No</x:t>
        </x:is>
      </x:c>
      <x:c r="E8" s="234" t="inlineStr">
        <x:is>
          <x:t xml:space="preserve">Geometry findings provide no measured mapping to “AN END”, prime/totient relation or red “PARABLE” marker.</x:t>
        </x:is>
      </x:c>
      <x:c r="F8" s="234" t="inlineStr">
        <x:is>
          <x:t xml:space="preserve">Keep geometry and keystream workstreams separate.</x:t>
        </x:is>
      </x:c>
      <x:c r="G8" s="234" t="inlineStr">
        <x:is>
          <x:t xml:space="preserve">Connect only if an independent geometry measurement makes a specific, falsifiable prediction.</x:t>
        </x:is>
      </x:c>
    </x:row>
  </x:sheetData>
  <x:mergeCells>
    <x:mergeCell ref="A2:G2"/>
    <x:mergeCell ref="A1:G1"/>
  </x:mergeCells>
  <x:pageMargins left="0.7" right="0.7" top="0.75" bottom="0.75" header="0.3" footer="0.3"/>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8" style="232" customWidth="1"/>
    <x:col min="2" max="2" width="28" style="232" customWidth="1"/>
    <x:col min="3" max="3" width="28" style="232" customWidth="1"/>
    <x:col min="4" max="4" width="42" style="232" customWidth="1"/>
    <x:col min="5" max="5" width="45" style="232" customWidth="1"/>
    <x:col min="6" max="6" width="20" style="232" customWidth="1"/>
    <x:col min="7" max="7" width="20" style="232" customWidth="1"/>
    <x:col min="8" max="8" width="26" style="232" customWidth="1"/>
    <x:col min="9" max="9" width="24" style="232" customWidth="1"/>
  </x:cols>
  <x:sheetData>
    <x:row r="1" s="232" customFormat="1" ht="24" customHeight="1">
      <x:c r="A1" s="316" t="inlineStr">
        <x:is>
          <x:t xml:space="preserve">Plant ornament mirror audit — v1.3</x:t>
        </x:is>
      </x:c>
      <x:c r="B1" s="316" t="n"/>
      <x:c r="C1" s="316" t="n"/>
      <x:c r="D1" s="316" t="n"/>
      <x:c r="E1" s="316" t="n"/>
      <x:c r="F1" s="316" t="n"/>
      <x:c r="G1" s="316" t="n"/>
      <x:c r="H1" s="316" t="n"/>
      <x:c r="I1" s="316" t="n"/>
    </x:row>
    <x:row r="2" s="232" customFormat="1" ht="35" customHeight="1">
      <x:c r="A2" s="234" t="inlineStr">
        <x:is>
          <x:t xml:space="preserve">Reanalysis of stored Auxiliary Controls v1.2 records only. No raw JPEG pixels were independently decoded in this pass.</x:t>
        </x:is>
      </x:c>
      <x:c r="B2" s="234" t="n"/>
      <x:c r="C2" s="234" t="n"/>
      <x:c r="D2" s="234" t="n"/>
      <x:c r="E2" s="234" t="n"/>
      <x:c r="F2" s="234" t="n"/>
      <x:c r="G2" s="234" t="n"/>
      <x:c r="H2" s="234" t="n"/>
      <x:c r="I2" s="234" t="n"/>
    </x:row>
    <x:row r="3">
      <x:c r="A3" s="234" t="n"/>
      <x:c r="B3" s="234" t="n"/>
      <x:c r="C3" s="234" t="n"/>
      <x:c r="D3" s="234" t="n"/>
      <x:c r="E3" s="234" t="n"/>
      <x:c r="F3" s="234" t="n"/>
      <x:c r="G3" s="234" t="n"/>
      <x:c r="H3" s="234" t="n"/>
      <x:c r="I3" s="234" t="n"/>
    </x:row>
    <x:row r="4">
      <x:c r="A4" s="317" t="inlineStr">
        <x:is>
          <x:t xml:space="preserve">Finding ID</x:t>
        </x:is>
      </x:c>
      <x:c r="B4" s="317" t="inlineStr">
        <x:is>
          <x:t xml:space="preserve">Question</x:t>
        </x:is>
      </x:c>
      <x:c r="C4" s="317" t="inlineStr">
        <x:is>
          <x:t xml:space="preserve">Status</x:t>
        </x:is>
      </x:c>
      <x:c r="D4" s="317" t="inlineStr">
        <x:is>
          <x:t xml:space="preserve">Result</x:t>
        </x:is>
      </x:c>
      <x:c r="E4" s="317" t="inlineStr">
        <x:is>
          <x:t xml:space="preserve">Interpretation / limit</x:t>
        </x:is>
      </x:c>
      <x:c r="F4" s="317" t="n"/>
      <x:c r="G4" s="317" t="n"/>
      <x:c r="H4" s="317" t="n"/>
      <x:c r="I4" s="317" t="n"/>
    </x:row>
    <x:row r="5">
      <x:c r="A5" s="234" t="inlineStr">
        <x:is>
          <x:t xml:space="preserve">MIR-01</x:t>
        </x:is>
      </x:c>
      <x:c r="B5" s="234" t="inlineStr">
        <x:is>
          <x:t xml:space="preserve">Page 57 vs page 68 right-side plant group</x:t>
        </x:is>
      </x:c>
      <x:c r="C5" s="234" t="inlineStr">
        <x:is>
          <x:t xml:space="preserve">Exact stored-record match</x:t>
        </x:is>
      </x:c>
      <x:c r="D5" s="234" t="inlineStr">
        <x:is>
          <x:t xml:space="preserve">All five corresponding labels have identical centroid x/y, component area, and bounding boxes. Max absolute coordinate delta = 0 px.</x:t>
        </x:is>
      </x:c>
      <x:c r="E5" s="234" t="inlineStr">
        <x:is>
          <x:t xml:space="preserve">This is equality of workbook records, not an independent image-pixel comparison. It may reflect reuse of a common ornament or copied measurements.</x:t>
        </x:is>
      </x:c>
      <x:c r="F5" s="234" t="n"/>
      <x:c r="G5" s="234" t="n"/>
      <x:c r="H5" s="234" t="n"/>
      <x:c r="I5" s="234" t="n"/>
    </x:row>
    <x:row r="6">
      <x:c r="A6" s="234" t="inlineStr">
        <x:is>
          <x:t xml:space="preserve">MIR-02</x:t>
        </x:is>
      </x:c>
      <x:c r="B6" s="234" t="inlineStr">
        <x:is>
          <x:t xml:space="preserve">Left-side partial candidates vs reflected right-side points</x:t>
        </x:is>
      </x:c>
      <x:c r="C6" s="234" t="inlineStr">
        <x:is>
          <x:t xml:space="preserve">Three-point near-reflection</x:t>
        </x:is>
      </x:c>
      <x:c r="D6" s="234" t="inlineStr">
        <x:is>
          <x:t xml:space="preserve">For 3 correspondences, x_left = (2400 - x_right) - 1 px and y_left = y_right exactly at stored precision.</x:t>
        </x:is>
      </x:c>
      <x:c r="E6" s="234" t="inlineStr">
        <x:is>
          <x:t xml:space="preserve">This supports bilateral layout symmetry in the recorded geometry; the left side is incomplete (3 candidates vs 5 points), so it is not a complete five-point reflection test.</x:t>
        </x:is>
      </x:c>
      <x:c r="F6" s="234" t="n"/>
      <x:c r="G6" s="234" t="n"/>
      <x:c r="H6" s="234" t="n"/>
      <x:c r="I6" s="234" t="n"/>
    </x:row>
    <x:row r="7">
      <x:c r="A7" s="234" t="inlineStr">
        <x:is>
          <x:t xml:space="preserve">MIR-03</x:t>
        </x:is>
      </x:c>
      <x:c r="B7" s="234" t="inlineStr">
        <x:is>
          <x:t xml:space="preserve">Cipher interpretation</x:t>
        </x:is>
      </x:c>
      <x:c r="C7" s="234" t="inlineStr">
        <x:is>
          <x:t xml:space="preserve">Not supported</x:t>
        </x:is>
      </x:c>
      <x:c r="D7" s="234" t="inlineStr">
        <x:is>
          <x:t xml:space="preserve">No coordinate-to-rune mapping or text prediction is tested.</x:t>
        </x:is>
      </x:c>
      <x:c r="E7" s="234" t="inlineStr">
        <x:is>
          <x:t xml:space="preserve">Treat as decorative/template reuse control until a preregistered, falsifiable cipher relationship is specified.</x:t>
        </x:is>
      </x:c>
      <x:c r="F7" s="234" t="n"/>
      <x:c r="G7" s="234" t="n"/>
      <x:c r="H7" s="234" t="n"/>
      <x:c r="I7" s="234" t="n"/>
    </x:row>
    <x:row r="8">
      <x:c r="A8" s="234" t="n"/>
      <x:c r="B8" s="234" t="n"/>
      <x:c r="C8" s="234" t="n"/>
      <x:c r="D8" s="234" t="n"/>
      <x:c r="E8" s="234" t="n"/>
      <x:c r="F8" s="234" t="n"/>
      <x:c r="G8" s="234" t="n"/>
      <x:c r="H8" s="234" t="n"/>
      <x:c r="I8" s="234" t="n"/>
    </x:row>
    <x:row r="9">
      <x:c r="A9" s="234" t="inlineStr">
        <x:is>
          <x:t xml:space="preserve">Page 57 right label</x:t>
        </x:is>
      </x:c>
      <x:c r="B9" s="234" t="inlineStr">
        <x:is>
          <x:t xml:space="preserve">x right px</x:t>
        </x:is>
      </x:c>
      <x:c r="C9" s="234" t="inlineStr">
        <x:is>
          <x:t xml:space="preserve">y right px</x:t>
        </x:is>
      </x:c>
      <x:c r="D9" s="234" t="inlineStr">
        <x:is>
          <x:t xml:space="preserve">Reflected x = 2400 − x</x:t>
        </x:is>
      </x:c>
      <x:c r="E9" s="234" t="inlineStr">
        <x:is>
          <x:t xml:space="preserve">Observed left candidate</x:t>
        </x:is>
      </x:c>
      <x:c r="F9" s="234" t="inlineStr">
        <x:is>
          <x:t xml:space="preserve">Observed left x px</x:t>
        </x:is>
      </x:c>
      <x:c r="G9" s="234" t="inlineStr">
        <x:is>
          <x:t xml:space="preserve">Observed left y px</x:t>
        </x:is>
      </x:c>
      <x:c r="H9" s="234" t="inlineStr">
        <x:is>
          <x:t xml:space="preserve">dx = left_x − reflected_x</x:t>
        </x:is>
      </x:c>
      <x:c r="I9" s="234" t="inlineStr">
        <x:is>
          <x:t xml:space="preserve">dy = left_y − right_y</x:t>
        </x:is>
      </x:c>
    </x:row>
    <x:row r="10">
      <x:c r="A10" s="234" t="inlineStr">
        <x:is>
          <x:t xml:space="preserve">label_3</x:t>
        </x:is>
      </x:c>
      <x:c r="B10" s="234" t="n">
        <x:v>2032.845</x:v>
      </x:c>
      <x:c r="C10" s="234" t="n">
        <x:v>1497.394</x:v>
      </x:c>
      <x:c r="D10" s="234" t="n">
        <x:v>367.155</x:v>
      </x:c>
      <x:c r="E10" s="234" t="inlineStr">
        <x:is>
          <x:t xml:space="preserve">left_candidate_A</x:t>
        </x:is>
      </x:c>
      <x:c r="F10" s="234" t="n">
        <x:v>366.155</x:v>
      </x:c>
      <x:c r="G10" s="234" t="n">
        <x:v>1497.394</x:v>
      </x:c>
      <x:c r="H10" s="234" t="n">
        <x:v>-1</x:v>
      </x:c>
      <x:c r="I10" s="234" t="n">
        <x:v>0</x:v>
      </x:c>
    </x:row>
    <x:row r="11">
      <x:c r="A11" s="234" t="inlineStr">
        <x:is>
          <x:t xml:space="preserve">label_2</x:t>
        </x:is>
      </x:c>
      <x:c r="B11" s="234" t="n">
        <x:v>1975.021</x:v>
      </x:c>
      <x:c r="C11" s="234" t="n">
        <x:v>1498.808</x:v>
      </x:c>
      <x:c r="D11" s="234" t="n">
        <x:v>424.979</x:v>
      </x:c>
      <x:c r="E11" s="234" t="inlineStr">
        <x:is>
          <x:t xml:space="preserve">left_candidate_B</x:t>
        </x:is>
      </x:c>
      <x:c r="F11" s="234" t="n">
        <x:v>423.979</x:v>
      </x:c>
      <x:c r="G11" s="234" t="n">
        <x:v>1498.808</x:v>
      </x:c>
      <x:c r="H11" s="234" t="n">
        <x:v>-1.000000000000057</x:v>
      </x:c>
      <x:c r="I11" s="234" t="n">
        <x:v>0</x:v>
      </x:c>
    </x:row>
    <x:row r="12">
      <x:c r="A12" s="234" t="inlineStr">
        <x:is>
          <x:t xml:space="preserve">label_4</x:t>
        </x:is>
      </x:c>
      <x:c r="B12" s="234" t="n">
        <x:v>1979.562</x:v>
      </x:c>
      <x:c r="C12" s="234" t="n">
        <x:v>1533.24</x:v>
      </x:c>
      <x:c r="D12" s="234" t="n">
        <x:v>420.4380000000001</x:v>
      </x:c>
      <x:c r="E12" s="234" t="inlineStr">
        <x:is>
          <x:t xml:space="preserve">left_candidate_C</x:t>
        </x:is>
      </x:c>
      <x:c r="F12" s="234" t="n">
        <x:v>419.438</x:v>
      </x:c>
      <x:c r="G12" s="234" t="n">
        <x:v>1533.24</x:v>
      </x:c>
      <x:c r="H12" s="234" t="n">
        <x:v>-1.000000000000114</x:v>
      </x:c>
      <x:c r="I12" s="234" t="n">
        <x:v>0</x:v>
      </x:c>
    </x:row>
  </x:sheetData>
  <x:pageMargins left="0.7" right="0.7" top="0.75" bottom="0.75" header="0.3" footer="0.3"/>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15" style="232" customWidth="1"/>
    <x:col min="3" max="3" width="50" style="232" customWidth="1"/>
    <x:col min="4" max="4" width="43" style="232" customWidth="1"/>
    <x:col min="5" max="5" width="22" style="232" customWidth="1"/>
    <x:col min="6" max="6" width="35" style="232" customWidth="1"/>
    <x:col min="7" max="7" width="38" style="232" customWidth="1"/>
  </x:cols>
  <x:sheetData>
    <x:row r="1">
      <x:c r="A1" s="316" t="inlineStr">
        <x:is>
          <x:t xml:space="preserve">Source integrity audit — v1.4</x:t>
        </x:is>
      </x:c>
      <x:c r="B1" s="316" t="n"/>
      <x:c r="C1" s="316" t="n"/>
      <x:c r="D1" s="316" t="n"/>
      <x:c r="E1" s="316" t="n"/>
      <x:c r="F1" s="316" t="n"/>
      <x:c r="G1" s="316" t="n"/>
    </x:row>
    <x:row r="2" s="232" customFormat="1" ht="38" customHeight="1">
      <x:c r="A2" s="234" t="inlineStr">
        <x:is>
          <x:t xml:space="preserve">All 75 page paths queried directly through the GitHub connector in scream314/cicada3301 master. Values are Git blob object IDs returned by GitHub; this verifies repository object identity, not JPEG pixel measurements or decoding reproducibility.</x:t>
        </x:is>
      </x:c>
      <x:c r="B2" s="234" t="n"/>
      <x:c r="C2" s="234" t="n"/>
      <x:c r="D2" s="234" t="n"/>
      <x:c r="E2" s="234" t="n"/>
      <x:c r="F2" s="234" t="n"/>
      <x:c r="G2" s="234" t="n"/>
    </x:row>
    <x:row r="3">
      <x:c r="A3" s="234" t="n"/>
      <x:c r="B3" s="234" t="n"/>
      <x:c r="C3" s="234" t="n"/>
      <x:c r="D3" s="234" t="n"/>
      <x:c r="E3" s="234" t="n"/>
      <x:c r="F3" s="234" t="n"/>
      <x:c r="G3" s="234" t="n"/>
    </x:row>
    <x:row r="4">
      <x:c r="A4" s="318" t="inlineStr">
        <x:is>
          <x:t xml:space="preserve">Page index</x:t>
        </x:is>
      </x:c>
      <x:c r="B4" s="318" t="inlineStr">
        <x:is>
          <x:t xml:space="preserve">Filename</x:t>
        </x:is>
      </x:c>
      <x:c r="C4" s="318" t="inlineStr">
        <x:is>
          <x:t xml:space="preserve">Repository path</x:t>
        </x:is>
      </x:c>
      <x:c r="D4" s="318" t="inlineStr">
        <x:is>
          <x:t xml:space="preserve">Git blob SHA-1</x:t>
        </x:is>
      </x:c>
      <x:c r="E4" s="318" t="inlineStr">
        <x:is>
          <x:t xml:space="preserve">Fetch status</x:t>
        </x:is>
      </x:c>
      <x:c r="F4" s="318" t="inlineStr">
        <x:is>
          <x:t xml:space="preserve">Prior selected-page SHA match?</x:t>
        </x:is>
      </x:c>
      <x:c r="G4" s="318" t="inlineStr">
        <x:is>
          <x:t xml:space="preserve">Pixel measurement independently reproduced?</x:t>
        </x:is>
      </x:c>
    </x:row>
    <x:row r="5">
      <x:c r="A5" s="234" t="n">
        <x:v>0</x:v>
      </x:c>
      <x:c r="B5" s="234" t="inlineStr">
        <x:is>
          <x:t xml:space="preserve">00.jpg</x:t>
        </x:is>
      </x:c>
      <x:c r="C5" s="234" t="inlineStr">
        <x:is>
          <x:t xml:space="preserve">assets/2014/liber-primus-complete/00.jpg</x:t>
        </x:is>
      </x:c>
      <x:c r="D5" s="234" t="inlineStr">
        <x:is>
          <x:t xml:space="preserve">b99a2532e76bba018b2ace579238dd07e4fd3dbc</x:t>
        </x:is>
      </x:c>
      <x:c r="E5" s="234" t="inlineStr">
        <x:is>
          <x:t xml:space="preserve">Fetched successfully</x:t>
        </x:is>
      </x:c>
      <x:c r="F5" s="234" t="inlineStr">
        <x:is>
          <x:t xml:space="preserve">N/A — not in prior 8-page audit</x:t>
        </x:is>
      </x:c>
      <x:c r="G5" s="234" t="inlineStr">
        <x:is>
          <x:t xml:space="preserve">NO — decoder cross-check pending</x:t>
        </x:is>
      </x:c>
    </x:row>
    <x:row r="6">
      <x:c r="A6" s="234" t="n">
        <x:v>1</x:v>
      </x:c>
      <x:c r="B6" s="234" t="inlineStr">
        <x:is>
          <x:t xml:space="preserve">01.jpg</x:t>
        </x:is>
      </x:c>
      <x:c r="C6" s="234" t="inlineStr">
        <x:is>
          <x:t xml:space="preserve">assets/2014/liber-primus-complete/01.jpg</x:t>
        </x:is>
      </x:c>
      <x:c r="D6" s="234" t="inlineStr">
        <x:is>
          <x:t xml:space="preserve">73142da4b986c2679a100ac7be5399619d87843b</x:t>
        </x:is>
      </x:c>
      <x:c r="E6" s="234" t="inlineStr">
        <x:is>
          <x:t xml:space="preserve">Fetched successfully</x:t>
        </x:is>
      </x:c>
      <x:c r="F6" s="234" t="inlineStr">
        <x:is>
          <x:t xml:space="preserve">N/A — not in prior 8-page audit</x:t>
        </x:is>
      </x:c>
      <x:c r="G6" s="234" t="inlineStr">
        <x:is>
          <x:t xml:space="preserve">NO — decoder cross-check pending</x:t>
        </x:is>
      </x:c>
    </x:row>
    <x:row r="7">
      <x:c r="A7" s="234" t="n">
        <x:v>2</x:v>
      </x:c>
      <x:c r="B7" s="234" t="inlineStr">
        <x:is>
          <x:t xml:space="preserve">02.jpg</x:t>
        </x:is>
      </x:c>
      <x:c r="C7" s="234" t="inlineStr">
        <x:is>
          <x:t xml:space="preserve">assets/2014/liber-primus-complete/02.jpg</x:t>
        </x:is>
      </x:c>
      <x:c r="D7" s="234" t="inlineStr">
        <x:is>
          <x:t xml:space="preserve">ee89ee08025c4476294700a803626c9f631e115f</x:t>
        </x:is>
      </x:c>
      <x:c r="E7" s="234" t="inlineStr">
        <x:is>
          <x:t xml:space="preserve">Fetched successfully</x:t>
        </x:is>
      </x:c>
      <x:c r="F7" s="234" t="inlineStr">
        <x:is>
          <x:t xml:space="preserve">N/A — not in prior 8-page audit</x:t>
        </x:is>
      </x:c>
      <x:c r="G7" s="234" t="inlineStr">
        <x:is>
          <x:t xml:space="preserve">NO — decoder cross-check pending</x:t>
        </x:is>
      </x:c>
    </x:row>
    <x:row r="8">
      <x:c r="A8" s="234" t="n">
        <x:v>3</x:v>
      </x:c>
      <x:c r="B8" s="234" t="inlineStr">
        <x:is>
          <x:t xml:space="preserve">03.jpg</x:t>
        </x:is>
      </x:c>
      <x:c r="C8" s="234" t="inlineStr">
        <x:is>
          <x:t xml:space="preserve">assets/2014/liber-primus-complete/03.jpg</x:t>
        </x:is>
      </x:c>
      <x:c r="D8" s="234" t="inlineStr">
        <x:is>
          <x:t xml:space="preserve">fb390cedd9e26547f0b39563a1ce8998f0def030</x:t>
        </x:is>
      </x:c>
      <x:c r="E8" s="234" t="inlineStr">
        <x:is>
          <x:t xml:space="preserve">Fetched successfully</x:t>
        </x:is>
      </x:c>
      <x:c r="F8" s="234" t="inlineStr">
        <x:is>
          <x:t xml:space="preserve">N/A — not in prior 8-page audit</x:t>
        </x:is>
      </x:c>
      <x:c r="G8" s="234" t="inlineStr">
        <x:is>
          <x:t xml:space="preserve">NO — decoder cross-check pending</x:t>
        </x:is>
      </x:c>
    </x:row>
    <x:row r="9">
      <x:c r="A9" s="234" t="n">
        <x:v>4</x:v>
      </x:c>
      <x:c r="B9" s="234" t="inlineStr">
        <x:is>
          <x:t xml:space="preserve">04.jpg</x:t>
        </x:is>
      </x:c>
      <x:c r="C9" s="234" t="inlineStr">
        <x:is>
          <x:t xml:space="preserve">assets/2014/liber-primus-complete/04.jpg</x:t>
        </x:is>
      </x:c>
      <x:c r="D9" s="234" t="inlineStr">
        <x:is>
          <x:t xml:space="preserve">e6a27cd5b25948d27d3af5ba029e4ba44fbff46f</x:t>
        </x:is>
      </x:c>
      <x:c r="E9" s="234" t="inlineStr">
        <x:is>
          <x:t xml:space="preserve">Fetched successfully</x:t>
        </x:is>
      </x:c>
      <x:c r="F9" s="234" t="inlineStr">
        <x:is>
          <x:t xml:space="preserve">N/A — not in prior 8-page audit</x:t>
        </x:is>
      </x:c>
      <x:c r="G9" s="234" t="inlineStr">
        <x:is>
          <x:t xml:space="preserve">NO — decoder cross-check pending</x:t>
        </x:is>
      </x:c>
    </x:row>
    <x:row r="10">
      <x:c r="A10" s="234" t="n">
        <x:v>5</x:v>
      </x:c>
      <x:c r="B10" s="234" t="inlineStr">
        <x:is>
          <x:t xml:space="preserve">05.jpg</x:t>
        </x:is>
      </x:c>
      <x:c r="C10" s="234" t="inlineStr">
        <x:is>
          <x:t xml:space="preserve">assets/2014/liber-primus-complete/05.jpg</x:t>
        </x:is>
      </x:c>
      <x:c r="D10" s="234" t="inlineStr">
        <x:is>
          <x:t xml:space="preserve">2829e13812015601ff1014cb4427587b4a8aa3a6</x:t>
        </x:is>
      </x:c>
      <x:c r="E10" s="234" t="inlineStr">
        <x:is>
          <x:t xml:space="preserve">Fetched successfully</x:t>
        </x:is>
      </x:c>
      <x:c r="F10" s="234" t="inlineStr">
        <x:is>
          <x:t xml:space="preserve">N/A — not in prior 8-page audit</x:t>
        </x:is>
      </x:c>
      <x:c r="G10" s="234" t="inlineStr">
        <x:is>
          <x:t xml:space="preserve">NO — decoder cross-check pending</x:t>
        </x:is>
      </x:c>
    </x:row>
    <x:row r="11">
      <x:c r="A11" s="234" t="n">
        <x:v>6</x:v>
      </x:c>
      <x:c r="B11" s="234" t="inlineStr">
        <x:is>
          <x:t xml:space="preserve">06.jpg</x:t>
        </x:is>
      </x:c>
      <x:c r="C11" s="234" t="inlineStr">
        <x:is>
          <x:t xml:space="preserve">assets/2014/liber-primus-complete/06.jpg</x:t>
        </x:is>
      </x:c>
      <x:c r="D11" s="234" t="inlineStr">
        <x:is>
          <x:t xml:space="preserve">596ae8f80ada7657f77f342d38d05ed0f997cae7</x:t>
        </x:is>
      </x:c>
      <x:c r="E11" s="234" t="inlineStr">
        <x:is>
          <x:t xml:space="preserve">Fetched successfully</x:t>
        </x:is>
      </x:c>
      <x:c r="F11" s="234" t="inlineStr">
        <x:is>
          <x:t xml:space="preserve">N/A — not in prior 8-page audit</x:t>
        </x:is>
      </x:c>
      <x:c r="G11" s="234" t="inlineStr">
        <x:is>
          <x:t xml:space="preserve">NO — decoder cross-check pending</x:t>
        </x:is>
      </x:c>
    </x:row>
    <x:row r="12">
      <x:c r="A12" s="234" t="n">
        <x:v>7</x:v>
      </x:c>
      <x:c r="B12" s="234" t="inlineStr">
        <x:is>
          <x:t xml:space="preserve">07.jpg</x:t>
        </x:is>
      </x:c>
      <x:c r="C12" s="234" t="inlineStr">
        <x:is>
          <x:t xml:space="preserve">assets/2014/liber-primus-complete/07.jpg</x:t>
        </x:is>
      </x:c>
      <x:c r="D12" s="234" t="inlineStr">
        <x:is>
          <x:t xml:space="preserve">1ce21df6a0b8013615c2fd98a57a32021f55e4e1</x:t>
        </x:is>
      </x:c>
      <x:c r="E12" s="234" t="inlineStr">
        <x:is>
          <x:t xml:space="preserve">Fetched successfully</x:t>
        </x:is>
      </x:c>
      <x:c r="F12" s="234" t="inlineStr">
        <x:is>
          <x:t xml:space="preserve">N/A — not in prior 8-page audit</x:t>
        </x:is>
      </x:c>
      <x:c r="G12" s="234" t="inlineStr">
        <x:is>
          <x:t xml:space="preserve">NO — decoder cross-check pending</x:t>
        </x:is>
      </x:c>
    </x:row>
    <x:row r="13">
      <x:c r="A13" s="234" t="n">
        <x:v>8</x:v>
      </x:c>
      <x:c r="B13" s="234" t="inlineStr">
        <x:is>
          <x:t xml:space="preserve">08.jpg</x:t>
        </x:is>
      </x:c>
      <x:c r="C13" s="234" t="inlineStr">
        <x:is>
          <x:t xml:space="preserve">assets/2014/liber-primus-complete/08.jpg</x:t>
        </x:is>
      </x:c>
      <x:c r="D13" s="234" t="inlineStr">
        <x:is>
          <x:t xml:space="preserve">426124114b6209475778c6ec7e02bf341c92157b</x:t>
        </x:is>
      </x:c>
      <x:c r="E13" s="234" t="inlineStr">
        <x:is>
          <x:t xml:space="preserve">Fetched successfully</x:t>
        </x:is>
      </x:c>
      <x:c r="F13" s="234" t="inlineStr">
        <x:is>
          <x:t xml:space="preserve">N/A — not in prior 8-page audit</x:t>
        </x:is>
      </x:c>
      <x:c r="G13" s="234" t="inlineStr">
        <x:is>
          <x:t xml:space="preserve">NO — decoder cross-check pending</x:t>
        </x:is>
      </x:c>
    </x:row>
    <x:row r="14">
      <x:c r="A14" s="234" t="n">
        <x:v>9</x:v>
      </x:c>
      <x:c r="B14" s="234" t="inlineStr">
        <x:is>
          <x:t xml:space="preserve">09.jpg</x:t>
        </x:is>
      </x:c>
      <x:c r="C14" s="234" t="inlineStr">
        <x:is>
          <x:t xml:space="preserve">assets/2014/liber-primus-complete/09.jpg</x:t>
        </x:is>
      </x:c>
      <x:c r="D14" s="234" t="inlineStr">
        <x:is>
          <x:t xml:space="preserve">fa928ae55ac841a795b5c12eead3e14efc8c419b</x:t>
        </x:is>
      </x:c>
      <x:c r="E14" s="234" t="inlineStr">
        <x:is>
          <x:t xml:space="preserve">Fetched successfully</x:t>
        </x:is>
      </x:c>
      <x:c r="F14" s="234" t="inlineStr">
        <x:is>
          <x:t xml:space="preserve">N/A — not in prior 8-page audit</x:t>
        </x:is>
      </x:c>
      <x:c r="G14" s="234" t="inlineStr">
        <x:is>
          <x:t xml:space="preserve">NO — decoder cross-check pending</x:t>
        </x:is>
      </x:c>
    </x:row>
    <x:row r="15">
      <x:c r="A15" s="234" t="n">
        <x:v>10</x:v>
      </x:c>
      <x:c r="B15" s="234" t="inlineStr">
        <x:is>
          <x:t xml:space="preserve">10.jpg</x:t>
        </x:is>
      </x:c>
      <x:c r="C15" s="234" t="inlineStr">
        <x:is>
          <x:t xml:space="preserve">assets/2014/liber-primus-complete/10.jpg</x:t>
        </x:is>
      </x:c>
      <x:c r="D15" s="234" t="inlineStr">
        <x:is>
          <x:t xml:space="preserve">369ee0a0eb59b999a5f9c0574d306fb78fa0b9ec</x:t>
        </x:is>
      </x:c>
      <x:c r="E15" s="234" t="inlineStr">
        <x:is>
          <x:t xml:space="preserve">Fetched successfully</x:t>
        </x:is>
      </x:c>
      <x:c r="F15" s="234" t="inlineStr">
        <x:is>
          <x:t xml:space="preserve">N/A — not in prior 8-page audit</x:t>
        </x:is>
      </x:c>
      <x:c r="G15" s="234" t="inlineStr">
        <x:is>
          <x:t xml:space="preserve">NO — decoder cross-check pending</x:t>
        </x:is>
      </x:c>
    </x:row>
    <x:row r="16">
      <x:c r="A16" s="234" t="n">
        <x:v>11</x:v>
      </x:c>
      <x:c r="B16" s="234" t="inlineStr">
        <x:is>
          <x:t xml:space="preserve">11.jpg</x:t>
        </x:is>
      </x:c>
      <x:c r="C16" s="234" t="inlineStr">
        <x:is>
          <x:t xml:space="preserve">assets/2014/liber-primus-complete/11.jpg</x:t>
        </x:is>
      </x:c>
      <x:c r="D16" s="234" t="inlineStr">
        <x:is>
          <x:t xml:space="preserve">d80bea5ec6aac4eee0eebeaaed31840cb24c029d</x:t>
        </x:is>
      </x:c>
      <x:c r="E16" s="234" t="inlineStr">
        <x:is>
          <x:t xml:space="preserve">Fetched successfully</x:t>
        </x:is>
      </x:c>
      <x:c r="F16" s="234" t="inlineStr">
        <x:is>
          <x:t xml:space="preserve">N/A — not in prior 8-page audit</x:t>
        </x:is>
      </x:c>
      <x:c r="G16" s="234" t="inlineStr">
        <x:is>
          <x:t xml:space="preserve">NO — decoder cross-check pending</x:t>
        </x:is>
      </x:c>
    </x:row>
    <x:row r="17">
      <x:c r="A17" s="234" t="n">
        <x:v>12</x:v>
      </x:c>
      <x:c r="B17" s="234" t="inlineStr">
        <x:is>
          <x:t xml:space="preserve">12.jpg</x:t>
        </x:is>
      </x:c>
      <x:c r="C17" s="234" t="inlineStr">
        <x:is>
          <x:t xml:space="preserve">assets/2014/liber-primus-complete/12.jpg</x:t>
        </x:is>
      </x:c>
      <x:c r="D17" s="234" t="inlineStr">
        <x:is>
          <x:t xml:space="preserve">49253cf8e4c1cacda601c9507111f0c4bfe318b3</x:t>
        </x:is>
      </x:c>
      <x:c r="E17" s="234" t="inlineStr">
        <x:is>
          <x:t xml:space="preserve">Fetched successfully</x:t>
        </x:is>
      </x:c>
      <x:c r="F17" s="234" t="inlineStr">
        <x:is>
          <x:t xml:space="preserve">N/A — not in prior 8-page audit</x:t>
        </x:is>
      </x:c>
      <x:c r="G17" s="234" t="inlineStr">
        <x:is>
          <x:t xml:space="preserve">NO — decoder cross-check pending</x:t>
        </x:is>
      </x:c>
    </x:row>
    <x:row r="18">
      <x:c r="A18" s="234" t="n">
        <x:v>13</x:v>
      </x:c>
      <x:c r="B18" s="234" t="inlineStr">
        <x:is>
          <x:t xml:space="preserve">13.jpg</x:t>
        </x:is>
      </x:c>
      <x:c r="C18" s="234" t="inlineStr">
        <x:is>
          <x:t xml:space="preserve">assets/2014/liber-primus-complete/13.jpg</x:t>
        </x:is>
      </x:c>
      <x:c r="D18" s="234" t="inlineStr">
        <x:is>
          <x:t xml:space="preserve">754a18ce2d0b2f8bcdd03e0a0e458e2bc4912a0a</x:t>
        </x:is>
      </x:c>
      <x:c r="E18" s="234" t="inlineStr">
        <x:is>
          <x:t xml:space="preserve">Fetched successfully</x:t>
        </x:is>
      </x:c>
      <x:c r="F18" s="234" t="inlineStr">
        <x:is>
          <x:t xml:space="preserve">N/A — not in prior 8-page audit</x:t>
        </x:is>
      </x:c>
      <x:c r="G18" s="234" t="inlineStr">
        <x:is>
          <x:t xml:space="preserve">NO — decoder cross-check pending</x:t>
        </x:is>
      </x:c>
    </x:row>
    <x:row r="19">
      <x:c r="A19" s="234" t="n">
        <x:v>14</x:v>
      </x:c>
      <x:c r="B19" s="234" t="inlineStr">
        <x:is>
          <x:t xml:space="preserve">14.jpg</x:t>
        </x:is>
      </x:c>
      <x:c r="C19" s="234" t="inlineStr">
        <x:is>
          <x:t xml:space="preserve">assets/2014/liber-primus-complete/14.jpg</x:t>
        </x:is>
      </x:c>
      <x:c r="D19" s="234" t="inlineStr">
        <x:is>
          <x:t xml:space="preserve">28a1ac59a2f1f51d272e4e362c0c35b4be241347</x:t>
        </x:is>
      </x:c>
      <x:c r="E19" s="234" t="inlineStr">
        <x:is>
          <x:t xml:space="preserve">Fetched successfully</x:t>
        </x:is>
      </x:c>
      <x:c r="F19" s="234" t="inlineStr">
        <x:is>
          <x:t xml:space="preserve">N/A — not in prior 8-page audit</x:t>
        </x:is>
      </x:c>
      <x:c r="G19" s="234" t="inlineStr">
        <x:is>
          <x:t xml:space="preserve">NO — decoder cross-check pending</x:t>
        </x:is>
      </x:c>
    </x:row>
    <x:row r="20">
      <x:c r="A20" s="234" t="n">
        <x:v>15</x:v>
      </x:c>
      <x:c r="B20" s="234" t="inlineStr">
        <x:is>
          <x:t xml:space="preserve">15.jpg</x:t>
        </x:is>
      </x:c>
      <x:c r="C20" s="234" t="inlineStr">
        <x:is>
          <x:t xml:space="preserve">assets/2014/liber-primus-complete/15.jpg</x:t>
        </x:is>
      </x:c>
      <x:c r="D20" s="234" t="inlineStr">
        <x:is>
          <x:t xml:space="preserve">32952b7d28028f5fedffceace4de0e7eb688d3d6</x:t>
        </x:is>
      </x:c>
      <x:c r="E20" s="234" t="inlineStr">
        <x:is>
          <x:t xml:space="preserve">Fetched successfully</x:t>
        </x:is>
      </x:c>
      <x:c r="F20" s="234" t="inlineStr">
        <x:is>
          <x:t xml:space="preserve">N/A — not in prior 8-page audit</x:t>
        </x:is>
      </x:c>
      <x:c r="G20" s="234" t="inlineStr">
        <x:is>
          <x:t xml:space="preserve">NO — decoder cross-check pending</x:t>
        </x:is>
      </x:c>
    </x:row>
    <x:row r="21">
      <x:c r="A21" s="234" t="n">
        <x:v>16</x:v>
      </x:c>
      <x:c r="B21" s="234" t="inlineStr">
        <x:is>
          <x:t xml:space="preserve">16.jpg</x:t>
        </x:is>
      </x:c>
      <x:c r="C21" s="234" t="inlineStr">
        <x:is>
          <x:t xml:space="preserve">assets/2014/liber-primus-complete/16.jpg</x:t>
        </x:is>
      </x:c>
      <x:c r="D21" s="234" t="inlineStr">
        <x:is>
          <x:t xml:space="preserve">6f8059f7e8025bf3f51fceefe20be0cce8ce1e20</x:t>
        </x:is>
      </x:c>
      <x:c r="E21" s="234" t="inlineStr">
        <x:is>
          <x:t xml:space="preserve">Fetched successfully</x:t>
        </x:is>
      </x:c>
      <x:c r="F21" s="234" t="inlineStr">
        <x:is>
          <x:t xml:space="preserve">N/A — not in prior 8-page audit</x:t>
        </x:is>
      </x:c>
      <x:c r="G21" s="234" t="inlineStr">
        <x:is>
          <x:t xml:space="preserve">NO — decoder cross-check pending</x:t>
        </x:is>
      </x:c>
    </x:row>
    <x:row r="22">
      <x:c r="A22" s="234" t="n">
        <x:v>17</x:v>
      </x:c>
      <x:c r="B22" s="234" t="inlineStr">
        <x:is>
          <x:t xml:space="preserve">17.jpg</x:t>
        </x:is>
      </x:c>
      <x:c r="C22" s="234" t="inlineStr">
        <x:is>
          <x:t xml:space="preserve">assets/2014/liber-primus-complete/17.jpg</x:t>
        </x:is>
      </x:c>
      <x:c r="D22" s="234" t="inlineStr">
        <x:is>
          <x:t xml:space="preserve">abab573f7a3786f46fe4fab17d5f2dcf2476136b</x:t>
        </x:is>
      </x:c>
      <x:c r="E22" s="234" t="inlineStr">
        <x:is>
          <x:t xml:space="preserve">Fetched successfully</x:t>
        </x:is>
      </x:c>
      <x:c r="F22" s="234" t="inlineStr">
        <x:is>
          <x:t xml:space="preserve">N/A — not in prior 8-page audit</x:t>
        </x:is>
      </x:c>
      <x:c r="G22" s="234" t="inlineStr">
        <x:is>
          <x:t xml:space="preserve">NO — decoder cross-check pending</x:t>
        </x:is>
      </x:c>
    </x:row>
    <x:row r="23">
      <x:c r="A23" s="234" t="n">
        <x:v>18</x:v>
      </x:c>
      <x:c r="B23" s="234" t="inlineStr">
        <x:is>
          <x:t xml:space="preserve">18.jpg</x:t>
        </x:is>
      </x:c>
      <x:c r="C23" s="234" t="inlineStr">
        <x:is>
          <x:t xml:space="preserve">assets/2014/liber-primus-complete/18.jpg</x:t>
        </x:is>
      </x:c>
      <x:c r="D23" s="234" t="inlineStr">
        <x:is>
          <x:t xml:space="preserve">7b7905574bcc712a9ea8b7ca60c690a1f99314c5</x:t>
        </x:is>
      </x:c>
      <x:c r="E23" s="234" t="inlineStr">
        <x:is>
          <x:t xml:space="preserve">Fetched successfully</x:t>
        </x:is>
      </x:c>
      <x:c r="F23" s="234" t="inlineStr">
        <x:is>
          <x:t xml:space="preserve">N/A — not in prior 8-page audit</x:t>
        </x:is>
      </x:c>
      <x:c r="G23" s="234" t="inlineStr">
        <x:is>
          <x:t xml:space="preserve">NO — decoder cross-check pending</x:t>
        </x:is>
      </x:c>
    </x:row>
    <x:row r="24">
      <x:c r="A24" s="234" t="n">
        <x:v>19</x:v>
      </x:c>
      <x:c r="B24" s="234" t="inlineStr">
        <x:is>
          <x:t xml:space="preserve">19.jpg</x:t>
        </x:is>
      </x:c>
      <x:c r="C24" s="234" t="inlineStr">
        <x:is>
          <x:t xml:space="preserve">assets/2014/liber-primus-complete/19.jpg</x:t>
        </x:is>
      </x:c>
      <x:c r="D24" s="234" t="inlineStr">
        <x:is>
          <x:t xml:space="preserve">2936b21db3e1fc3ead8915185d58cab351dcb566</x:t>
        </x:is>
      </x:c>
      <x:c r="E24" s="234" t="inlineStr">
        <x:is>
          <x:t xml:space="preserve">Fetched successfully</x:t>
        </x:is>
      </x:c>
      <x:c r="F24" s="234" t="inlineStr">
        <x:is>
          <x:t xml:space="preserve">N/A — not in prior 8-page audit</x:t>
        </x:is>
      </x:c>
      <x:c r="G24" s="234" t="inlineStr">
        <x:is>
          <x:t xml:space="preserve">NO — decoder cross-check pending</x:t>
        </x:is>
      </x:c>
    </x:row>
    <x:row r="25">
      <x:c r="A25" s="234" t="n">
        <x:v>20</x:v>
      </x:c>
      <x:c r="B25" s="234" t="inlineStr">
        <x:is>
          <x:t xml:space="preserve">20.jpg</x:t>
        </x:is>
      </x:c>
      <x:c r="C25" s="234" t="inlineStr">
        <x:is>
          <x:t xml:space="preserve">assets/2014/liber-primus-complete/20.jpg</x:t>
        </x:is>
      </x:c>
      <x:c r="D25" s="234" t="inlineStr">
        <x:is>
          <x:t xml:space="preserve">3a7badc18e859868ef28d5b8b81bfde38e0ebbde</x:t>
        </x:is>
      </x:c>
      <x:c r="E25" s="234" t="inlineStr">
        <x:is>
          <x:t xml:space="preserve">Fetched successfully</x:t>
        </x:is>
      </x:c>
      <x:c r="F25" s="234" t="inlineStr">
        <x:is>
          <x:t xml:space="preserve">N/A — not in prior 8-page audit</x:t>
        </x:is>
      </x:c>
      <x:c r="G25" s="234" t="inlineStr">
        <x:is>
          <x:t xml:space="preserve">NO — decoder cross-check pending</x:t>
        </x:is>
      </x:c>
    </x:row>
    <x:row r="26">
      <x:c r="A26" s="234" t="n">
        <x:v>21</x:v>
      </x:c>
      <x:c r="B26" s="234" t="inlineStr">
        <x:is>
          <x:t xml:space="preserve">21.jpg</x:t>
        </x:is>
      </x:c>
      <x:c r="C26" s="234" t="inlineStr">
        <x:is>
          <x:t xml:space="preserve">assets/2014/liber-primus-complete/21.jpg</x:t>
        </x:is>
      </x:c>
      <x:c r="D26" s="234" t="inlineStr">
        <x:is>
          <x:t xml:space="preserve">9cc256b5356a9382713214324dbce89ba02b01b0</x:t>
        </x:is>
      </x:c>
      <x:c r="E26" s="234" t="inlineStr">
        <x:is>
          <x:t xml:space="preserve">Fetched successfully</x:t>
        </x:is>
      </x:c>
      <x:c r="F26" s="234" t="inlineStr">
        <x:is>
          <x:t xml:space="preserve">N/A — not in prior 8-page audit</x:t>
        </x:is>
      </x:c>
      <x:c r="G26" s="234" t="inlineStr">
        <x:is>
          <x:t xml:space="preserve">NO — decoder cross-check pending</x:t>
        </x:is>
      </x:c>
    </x:row>
    <x:row r="27">
      <x:c r="A27" s="234" t="n">
        <x:v>22</x:v>
      </x:c>
      <x:c r="B27" s="234" t="inlineStr">
        <x:is>
          <x:t xml:space="preserve">22.jpg</x:t>
        </x:is>
      </x:c>
      <x:c r="C27" s="234" t="inlineStr">
        <x:is>
          <x:t xml:space="preserve">assets/2014/liber-primus-complete/22.jpg</x:t>
        </x:is>
      </x:c>
      <x:c r="D27" s="234" t="inlineStr">
        <x:is>
          <x:t xml:space="preserve">d80bf744990eb4263c2137fb3ba13dbe775c0fa5</x:t>
        </x:is>
      </x:c>
      <x:c r="E27" s="234" t="inlineStr">
        <x:is>
          <x:t xml:space="preserve">Fetched successfully</x:t>
        </x:is>
      </x:c>
      <x:c r="F27" s="234" t="inlineStr">
        <x:is>
          <x:t xml:space="preserve">N/A — not in prior 8-page audit</x:t>
        </x:is>
      </x:c>
      <x:c r="G27" s="234" t="inlineStr">
        <x:is>
          <x:t xml:space="preserve">NO — decoder cross-check pending</x:t>
        </x:is>
      </x:c>
    </x:row>
    <x:row r="28">
      <x:c r="A28" s="234" t="n">
        <x:v>23</x:v>
      </x:c>
      <x:c r="B28" s="234" t="inlineStr">
        <x:is>
          <x:t xml:space="preserve">23.jpg</x:t>
        </x:is>
      </x:c>
      <x:c r="C28" s="234" t="inlineStr">
        <x:is>
          <x:t xml:space="preserve">assets/2014/liber-primus-complete/23.jpg</x:t>
        </x:is>
      </x:c>
      <x:c r="D28" s="234" t="inlineStr">
        <x:is>
          <x:t xml:space="preserve">f442a9333c78e39bef3f53487ca24dac0c7942de</x:t>
        </x:is>
      </x:c>
      <x:c r="E28" s="234" t="inlineStr">
        <x:is>
          <x:t xml:space="preserve">Fetched successfully</x:t>
        </x:is>
      </x:c>
      <x:c r="F28" s="234" t="inlineStr">
        <x:is>
          <x:t xml:space="preserve">N/A — not in prior 8-page audit</x:t>
        </x:is>
      </x:c>
      <x:c r="G28" s="234" t="inlineStr">
        <x:is>
          <x:t xml:space="preserve">NO — decoder cross-check pending</x:t>
        </x:is>
      </x:c>
    </x:row>
    <x:row r="29">
      <x:c r="A29" s="234" t="n">
        <x:v>24</x:v>
      </x:c>
      <x:c r="B29" s="234" t="inlineStr">
        <x:is>
          <x:t xml:space="preserve">24.jpg</x:t>
        </x:is>
      </x:c>
      <x:c r="C29" s="234" t="inlineStr">
        <x:is>
          <x:t xml:space="preserve">assets/2014/liber-primus-complete/24.jpg</x:t>
        </x:is>
      </x:c>
      <x:c r="D29" s="234" t="inlineStr">
        <x:is>
          <x:t xml:space="preserve">2b4e09dbad1a9c602a2919864b1a84f49d7ff501</x:t>
        </x:is>
      </x:c>
      <x:c r="E29" s="234" t="inlineStr">
        <x:is>
          <x:t xml:space="preserve">Fetched successfully</x:t>
        </x:is>
      </x:c>
      <x:c r="F29" s="234" t="inlineStr">
        <x:is>
          <x:t xml:space="preserve">MATCH</x:t>
        </x:is>
      </x:c>
      <x:c r="G29" s="234" t="inlineStr">
        <x:is>
          <x:t xml:space="preserve">NO — decoder cross-check pending</x:t>
        </x:is>
      </x:c>
    </x:row>
    <x:row r="30">
      <x:c r="A30" s="234" t="n">
        <x:v>25</x:v>
      </x:c>
      <x:c r="B30" s="234" t="inlineStr">
        <x:is>
          <x:t xml:space="preserve">25.jpg</x:t>
        </x:is>
      </x:c>
      <x:c r="C30" s="234" t="inlineStr">
        <x:is>
          <x:t xml:space="preserve">assets/2014/liber-primus-complete/25.jpg</x:t>
        </x:is>
      </x:c>
      <x:c r="D30" s="234" t="inlineStr">
        <x:is>
          <x:t xml:space="preserve">504f0e193c393f67e16643cbe9b6288190b5a4e4</x:t>
        </x:is>
      </x:c>
      <x:c r="E30" s="234" t="inlineStr">
        <x:is>
          <x:t xml:space="preserve">Fetched successfully</x:t>
        </x:is>
      </x:c>
      <x:c r="F30" s="234" t="inlineStr">
        <x:is>
          <x:t xml:space="preserve">N/A — not in prior 8-page audit</x:t>
        </x:is>
      </x:c>
      <x:c r="G30" s="234" t="inlineStr">
        <x:is>
          <x:t xml:space="preserve">NO — decoder cross-check pending</x:t>
        </x:is>
      </x:c>
    </x:row>
    <x:row r="31">
      <x:c r="A31" s="234" t="n">
        <x:v>26</x:v>
      </x:c>
      <x:c r="B31" s="234" t="inlineStr">
        <x:is>
          <x:t xml:space="preserve">26.jpg</x:t>
        </x:is>
      </x:c>
      <x:c r="C31" s="234" t="inlineStr">
        <x:is>
          <x:t xml:space="preserve">assets/2014/liber-primus-complete/26.jpg</x:t>
        </x:is>
      </x:c>
      <x:c r="D31" s="234" t="inlineStr">
        <x:is>
          <x:t xml:space="preserve">87a98edc542fec46bf087efd1446f6bbfa342bf2</x:t>
        </x:is>
      </x:c>
      <x:c r="E31" s="234" t="inlineStr">
        <x:is>
          <x:t xml:space="preserve">Fetched successfully</x:t>
        </x:is>
      </x:c>
      <x:c r="F31" s="234" t="inlineStr">
        <x:is>
          <x:t xml:space="preserve">N/A — not in prior 8-page audit</x:t>
        </x:is>
      </x:c>
      <x:c r="G31" s="234" t="inlineStr">
        <x:is>
          <x:t xml:space="preserve">NO — decoder cross-check pending</x:t>
        </x:is>
      </x:c>
    </x:row>
    <x:row r="32">
      <x:c r="A32" s="234" t="n">
        <x:v>27</x:v>
      </x:c>
      <x:c r="B32" s="234" t="inlineStr">
        <x:is>
          <x:t xml:space="preserve">27.jpg</x:t>
        </x:is>
      </x:c>
      <x:c r="C32" s="234" t="inlineStr">
        <x:is>
          <x:t xml:space="preserve">assets/2014/liber-primus-complete/27.jpg</x:t>
        </x:is>
      </x:c>
      <x:c r="D32" s="234" t="inlineStr">
        <x:is>
          <x:t xml:space="preserve">1c9fd75320b61e4bed7eb70d8c14d2fad4b87923</x:t>
        </x:is>
      </x:c>
      <x:c r="E32" s="234" t="inlineStr">
        <x:is>
          <x:t xml:space="preserve">Fetched successfully</x:t>
        </x:is>
      </x:c>
      <x:c r="F32" s="234" t="inlineStr">
        <x:is>
          <x:t xml:space="preserve">N/A — not in prior 8-page audit</x:t>
        </x:is>
      </x:c>
      <x:c r="G32" s="234" t="inlineStr">
        <x:is>
          <x:t xml:space="preserve">NO — decoder cross-check pending</x:t>
        </x:is>
      </x:c>
    </x:row>
    <x:row r="33">
      <x:c r="A33" s="234" t="n">
        <x:v>28</x:v>
      </x:c>
      <x:c r="B33" s="234" t="inlineStr">
        <x:is>
          <x:t xml:space="preserve">28.jpg</x:t>
        </x:is>
      </x:c>
      <x:c r="C33" s="234" t="inlineStr">
        <x:is>
          <x:t xml:space="preserve">assets/2014/liber-primus-complete/28.jpg</x:t>
        </x:is>
      </x:c>
      <x:c r="D33" s="234" t="inlineStr">
        <x:is>
          <x:t xml:space="preserve">df68046a383a4a216841552fdcd3979f25612a0f</x:t>
        </x:is>
      </x:c>
      <x:c r="E33" s="234" t="inlineStr">
        <x:is>
          <x:t xml:space="preserve">Fetched successfully</x:t>
        </x:is>
      </x:c>
      <x:c r="F33" s="234" t="inlineStr">
        <x:is>
          <x:t xml:space="preserve">N/A — not in prior 8-page audit</x:t>
        </x:is>
      </x:c>
      <x:c r="G33" s="234" t="inlineStr">
        <x:is>
          <x:t xml:space="preserve">NO — decoder cross-check pending</x:t>
        </x:is>
      </x:c>
    </x:row>
    <x:row r="34">
      <x:c r="A34" s="234" t="n">
        <x:v>29</x:v>
      </x:c>
      <x:c r="B34" s="234" t="inlineStr">
        <x:is>
          <x:t xml:space="preserve">29.jpg</x:t>
        </x:is>
      </x:c>
      <x:c r="C34" s="234" t="inlineStr">
        <x:is>
          <x:t xml:space="preserve">assets/2014/liber-primus-complete/29.jpg</x:t>
        </x:is>
      </x:c>
      <x:c r="D34" s="234" t="inlineStr">
        <x:is>
          <x:t xml:space="preserve">594ca9b258b15ac1d32497b869d3fa4ef6805ddf</x:t>
        </x:is>
      </x:c>
      <x:c r="E34" s="234" t="inlineStr">
        <x:is>
          <x:t xml:space="preserve">Fetched successfully</x:t>
        </x:is>
      </x:c>
      <x:c r="F34" s="234" t="inlineStr">
        <x:is>
          <x:t xml:space="preserve">N/A — not in prior 8-page audit</x:t>
        </x:is>
      </x:c>
      <x:c r="G34" s="234" t="inlineStr">
        <x:is>
          <x:t xml:space="preserve">NO — decoder cross-check pending</x:t>
        </x:is>
      </x:c>
    </x:row>
    <x:row r="35">
      <x:c r="A35" s="234" t="n">
        <x:v>30</x:v>
      </x:c>
      <x:c r="B35" s="234" t="inlineStr">
        <x:is>
          <x:t xml:space="preserve">30.jpg</x:t>
        </x:is>
      </x:c>
      <x:c r="C35" s="234" t="inlineStr">
        <x:is>
          <x:t xml:space="preserve">assets/2014/liber-primus-complete/30.jpg</x:t>
        </x:is>
      </x:c>
      <x:c r="D35" s="234" t="inlineStr">
        <x:is>
          <x:t xml:space="preserve">932313ad53dbc18b435b4c43f0e3c827547948c9</x:t>
        </x:is>
      </x:c>
      <x:c r="E35" s="234" t="inlineStr">
        <x:is>
          <x:t xml:space="preserve">Fetched successfully</x:t>
        </x:is>
      </x:c>
      <x:c r="F35" s="234" t="inlineStr">
        <x:is>
          <x:t xml:space="preserve">N/A — not in prior 8-page audit</x:t>
        </x:is>
      </x:c>
      <x:c r="G35" s="234" t="inlineStr">
        <x:is>
          <x:t xml:space="preserve">NO — decoder cross-check pending</x:t>
        </x:is>
      </x:c>
    </x:row>
    <x:row r="36">
      <x:c r="A36" s="234" t="n">
        <x:v>31</x:v>
      </x:c>
      <x:c r="B36" s="234" t="inlineStr">
        <x:is>
          <x:t xml:space="preserve">31.jpg</x:t>
        </x:is>
      </x:c>
      <x:c r="C36" s="234" t="inlineStr">
        <x:is>
          <x:t xml:space="preserve">assets/2014/liber-primus-complete/31.jpg</x:t>
        </x:is>
      </x:c>
      <x:c r="D36" s="234" t="inlineStr">
        <x:is>
          <x:t xml:space="preserve">2368c574b645782e8ab8f1a5d0f58d0955cb3025</x:t>
        </x:is>
      </x:c>
      <x:c r="E36" s="234" t="inlineStr">
        <x:is>
          <x:t xml:space="preserve">Fetched successfully</x:t>
        </x:is>
      </x:c>
      <x:c r="F36" s="234" t="inlineStr">
        <x:is>
          <x:t xml:space="preserve">N/A — not in prior 8-page audit</x:t>
        </x:is>
      </x:c>
      <x:c r="G36" s="234" t="inlineStr">
        <x:is>
          <x:t xml:space="preserve">NO — decoder cross-check pending</x:t>
        </x:is>
      </x:c>
    </x:row>
    <x:row r="37">
      <x:c r="A37" s="234" t="n">
        <x:v>32</x:v>
      </x:c>
      <x:c r="B37" s="234" t="inlineStr">
        <x:is>
          <x:t xml:space="preserve">32.jpg</x:t>
        </x:is>
      </x:c>
      <x:c r="C37" s="234" t="inlineStr">
        <x:is>
          <x:t xml:space="preserve">assets/2014/liber-primus-complete/32.jpg</x:t>
        </x:is>
      </x:c>
      <x:c r="D37" s="234" t="inlineStr">
        <x:is>
          <x:t xml:space="preserve">f380a4771461ad74eddf5b4e3e366c28ebc827c5</x:t>
        </x:is>
      </x:c>
      <x:c r="E37" s="234" t="inlineStr">
        <x:is>
          <x:t xml:space="preserve">Fetched successfully</x:t>
        </x:is>
      </x:c>
      <x:c r="F37" s="234" t="inlineStr">
        <x:is>
          <x:t xml:space="preserve">N/A — not in prior 8-page audit</x:t>
        </x:is>
      </x:c>
      <x:c r="G37" s="234" t="inlineStr">
        <x:is>
          <x:t xml:space="preserve">NO — decoder cross-check pending</x:t>
        </x:is>
      </x:c>
    </x:row>
    <x:row r="38">
      <x:c r="A38" s="234" t="n">
        <x:v>33</x:v>
      </x:c>
      <x:c r="B38" s="234" t="inlineStr">
        <x:is>
          <x:t xml:space="preserve">33.jpg</x:t>
        </x:is>
      </x:c>
      <x:c r="C38" s="234" t="inlineStr">
        <x:is>
          <x:t xml:space="preserve">assets/2014/liber-primus-complete/33.jpg</x:t>
        </x:is>
      </x:c>
      <x:c r="D38" s="234" t="inlineStr">
        <x:is>
          <x:t xml:space="preserve">a537b6c5f05cd40e4153a00e4397a053b631d325</x:t>
        </x:is>
      </x:c>
      <x:c r="E38" s="234" t="inlineStr">
        <x:is>
          <x:t xml:space="preserve">Fetched successfully</x:t>
        </x:is>
      </x:c>
      <x:c r="F38" s="234" t="inlineStr">
        <x:is>
          <x:t xml:space="preserve">N/A — not in prior 8-page audit</x:t>
        </x:is>
      </x:c>
      <x:c r="G38" s="234" t="inlineStr">
        <x:is>
          <x:t xml:space="preserve">NO — decoder cross-check pending</x:t>
        </x:is>
      </x:c>
    </x:row>
    <x:row r="39">
      <x:c r="A39" s="234" t="n">
        <x:v>34</x:v>
      </x:c>
      <x:c r="B39" s="234" t="inlineStr">
        <x:is>
          <x:t xml:space="preserve">34.jpg</x:t>
        </x:is>
      </x:c>
      <x:c r="C39" s="234" t="inlineStr">
        <x:is>
          <x:t xml:space="preserve">assets/2014/liber-primus-complete/34.jpg</x:t>
        </x:is>
      </x:c>
      <x:c r="D39" s="234" t="inlineStr">
        <x:is>
          <x:t xml:space="preserve">4d63ba27eb7f91594a665bfd8055d38707df644e</x:t>
        </x:is>
      </x:c>
      <x:c r="E39" s="234" t="inlineStr">
        <x:is>
          <x:t xml:space="preserve">Fetched successfully</x:t>
        </x:is>
      </x:c>
      <x:c r="F39" s="234" t="inlineStr">
        <x:is>
          <x:t xml:space="preserve">N/A — not in prior 8-page audit</x:t>
        </x:is>
      </x:c>
      <x:c r="G39" s="234" t="inlineStr">
        <x:is>
          <x:t xml:space="preserve">NO — decoder cross-check pending</x:t>
        </x:is>
      </x:c>
    </x:row>
    <x:row r="40">
      <x:c r="A40" s="234" t="n">
        <x:v>35</x:v>
      </x:c>
      <x:c r="B40" s="234" t="inlineStr">
        <x:is>
          <x:t xml:space="preserve">35.jpg</x:t>
        </x:is>
      </x:c>
      <x:c r="C40" s="234" t="inlineStr">
        <x:is>
          <x:t xml:space="preserve">assets/2014/liber-primus-complete/35.jpg</x:t>
        </x:is>
      </x:c>
      <x:c r="D40" s="234" t="inlineStr">
        <x:is>
          <x:t xml:space="preserve">9c28762bc2763d6eb1dcdb02ba988877821df0ca</x:t>
        </x:is>
      </x:c>
      <x:c r="E40" s="234" t="inlineStr">
        <x:is>
          <x:t xml:space="preserve">Fetched successfully</x:t>
        </x:is>
      </x:c>
      <x:c r="F40" s="234" t="inlineStr">
        <x:is>
          <x:t xml:space="preserve">N/A — not in prior 8-page audit</x:t>
        </x:is>
      </x:c>
      <x:c r="G40" s="234" t="inlineStr">
        <x:is>
          <x:t xml:space="preserve">NO — decoder cross-check pending</x:t>
        </x:is>
      </x:c>
    </x:row>
    <x:row r="41">
      <x:c r="A41" s="234" t="n">
        <x:v>36</x:v>
      </x:c>
      <x:c r="B41" s="234" t="inlineStr">
        <x:is>
          <x:t xml:space="preserve">36.jpg</x:t>
        </x:is>
      </x:c>
      <x:c r="C41" s="234" t="inlineStr">
        <x:is>
          <x:t xml:space="preserve">assets/2014/liber-primus-complete/36.jpg</x:t>
        </x:is>
      </x:c>
      <x:c r="D41" s="234" t="inlineStr">
        <x:is>
          <x:t xml:space="preserve">06005119670c1cc371c60934636ec58d5d4cc114</x:t>
        </x:is>
      </x:c>
      <x:c r="E41" s="234" t="inlineStr">
        <x:is>
          <x:t xml:space="preserve">Fetched successfully</x:t>
        </x:is>
      </x:c>
      <x:c r="F41" s="234" t="inlineStr">
        <x:is>
          <x:t xml:space="preserve">N/A — not in prior 8-page audit</x:t>
        </x:is>
      </x:c>
      <x:c r="G41" s="234" t="inlineStr">
        <x:is>
          <x:t xml:space="preserve">NO — decoder cross-check pending</x:t>
        </x:is>
      </x:c>
    </x:row>
    <x:row r="42">
      <x:c r="A42" s="234" t="n">
        <x:v>37</x:v>
      </x:c>
      <x:c r="B42" s="234" t="inlineStr">
        <x:is>
          <x:t xml:space="preserve">37.jpg</x:t>
        </x:is>
      </x:c>
      <x:c r="C42" s="234" t="inlineStr">
        <x:is>
          <x:t xml:space="preserve">assets/2014/liber-primus-complete/37.jpg</x:t>
        </x:is>
      </x:c>
      <x:c r="D42" s="234" t="inlineStr">
        <x:is>
          <x:t xml:space="preserve">a042e662cd74554d3f82049aecbe3f6085b4e399</x:t>
        </x:is>
      </x:c>
      <x:c r="E42" s="234" t="inlineStr">
        <x:is>
          <x:t xml:space="preserve">Fetched successfully</x:t>
        </x:is>
      </x:c>
      <x:c r="F42" s="234" t="inlineStr">
        <x:is>
          <x:t xml:space="preserve">N/A — not in prior 8-page audit</x:t>
        </x:is>
      </x:c>
      <x:c r="G42" s="234" t="inlineStr">
        <x:is>
          <x:t xml:space="preserve">NO — decoder cross-check pending</x:t>
        </x:is>
      </x:c>
    </x:row>
    <x:row r="43">
      <x:c r="A43" s="234" t="n">
        <x:v>38</x:v>
      </x:c>
      <x:c r="B43" s="234" t="inlineStr">
        <x:is>
          <x:t xml:space="preserve">38.jpg</x:t>
        </x:is>
      </x:c>
      <x:c r="C43" s="234" t="inlineStr">
        <x:is>
          <x:t xml:space="preserve">assets/2014/liber-primus-complete/38.jpg</x:t>
        </x:is>
      </x:c>
      <x:c r="D43" s="234" t="inlineStr">
        <x:is>
          <x:t xml:space="preserve">fe6a6f4fec9ae67f49699cfbf6a2824261c9100f</x:t>
        </x:is>
      </x:c>
      <x:c r="E43" s="234" t="inlineStr">
        <x:is>
          <x:t xml:space="preserve">Fetched successfully</x:t>
        </x:is>
      </x:c>
      <x:c r="F43" s="234" t="inlineStr">
        <x:is>
          <x:t xml:space="preserve">N/A — not in prior 8-page audit</x:t>
        </x:is>
      </x:c>
      <x:c r="G43" s="234" t="inlineStr">
        <x:is>
          <x:t xml:space="preserve">NO — decoder cross-check pending</x:t>
        </x:is>
      </x:c>
    </x:row>
    <x:row r="44">
      <x:c r="A44" s="234" t="n">
        <x:v>39</x:v>
      </x:c>
      <x:c r="B44" s="234" t="inlineStr">
        <x:is>
          <x:t xml:space="preserve">39.jpg</x:t>
        </x:is>
      </x:c>
      <x:c r="C44" s="234" t="inlineStr">
        <x:is>
          <x:t xml:space="preserve">assets/2014/liber-primus-complete/39.jpg</x:t>
        </x:is>
      </x:c>
      <x:c r="D44" s="234" t="inlineStr">
        <x:is>
          <x:t xml:space="preserve">0270e099f35a00dc24a9dc673ce13d4a0a843802</x:t>
        </x:is>
      </x:c>
      <x:c r="E44" s="234" t="inlineStr">
        <x:is>
          <x:t xml:space="preserve">Fetched successfully</x:t>
        </x:is>
      </x:c>
      <x:c r="F44" s="234" t="inlineStr">
        <x:is>
          <x:t xml:space="preserve">MATCH</x:t>
        </x:is>
      </x:c>
      <x:c r="G44" s="234" t="inlineStr">
        <x:is>
          <x:t xml:space="preserve">NO — decoder cross-check pending</x:t>
        </x:is>
      </x:c>
    </x:row>
    <x:row r="45">
      <x:c r="A45" s="234" t="n">
        <x:v>40</x:v>
      </x:c>
      <x:c r="B45" s="234" t="inlineStr">
        <x:is>
          <x:t xml:space="preserve">40.jpg</x:t>
        </x:is>
      </x:c>
      <x:c r="C45" s="234" t="inlineStr">
        <x:is>
          <x:t xml:space="preserve">assets/2014/liber-primus-complete/40.jpg</x:t>
        </x:is>
      </x:c>
      <x:c r="D45" s="234" t="inlineStr">
        <x:is>
          <x:t xml:space="preserve">feee4eed2a4f6d66456ff5a977f43c7ef297f8eb</x:t>
        </x:is>
      </x:c>
      <x:c r="E45" s="234" t="inlineStr">
        <x:is>
          <x:t xml:space="preserve">Fetched successfully</x:t>
        </x:is>
      </x:c>
      <x:c r="F45" s="234" t="inlineStr">
        <x:is>
          <x:t xml:space="preserve">MATCH</x:t>
        </x:is>
      </x:c>
      <x:c r="G45" s="234" t="inlineStr">
        <x:is>
          <x:t xml:space="preserve">NO — decoder cross-check pending</x:t>
        </x:is>
      </x:c>
    </x:row>
    <x:row r="46">
      <x:c r="A46" s="234" t="n">
        <x:v>41</x:v>
      </x:c>
      <x:c r="B46" s="234" t="inlineStr">
        <x:is>
          <x:t xml:space="preserve">41.jpg</x:t>
        </x:is>
      </x:c>
      <x:c r="C46" s="234" t="inlineStr">
        <x:is>
          <x:t xml:space="preserve">assets/2014/liber-primus-complete/41.jpg</x:t>
        </x:is>
      </x:c>
      <x:c r="D46" s="234" t="inlineStr">
        <x:is>
          <x:t xml:space="preserve">937f224786852ddfdc40704599ce5850e49049cb</x:t>
        </x:is>
      </x:c>
      <x:c r="E46" s="234" t="inlineStr">
        <x:is>
          <x:t xml:space="preserve">Fetched successfully</x:t>
        </x:is>
      </x:c>
      <x:c r="F46" s="234" t="inlineStr">
        <x:is>
          <x:t xml:space="preserve">N/A — not in prior 8-page audit</x:t>
        </x:is>
      </x:c>
      <x:c r="G46" s="234" t="inlineStr">
        <x:is>
          <x:t xml:space="preserve">NO — decoder cross-check pending</x:t>
        </x:is>
      </x:c>
    </x:row>
    <x:row r="47">
      <x:c r="A47" s="234" t="n">
        <x:v>42</x:v>
      </x:c>
      <x:c r="B47" s="234" t="inlineStr">
        <x:is>
          <x:t xml:space="preserve">42.jpg</x:t>
        </x:is>
      </x:c>
      <x:c r="C47" s="234" t="inlineStr">
        <x:is>
          <x:t xml:space="preserve">assets/2014/liber-primus-complete/42.jpg</x:t>
        </x:is>
      </x:c>
      <x:c r="D47" s="234" t="inlineStr">
        <x:is>
          <x:t xml:space="preserve">f2ead3e5e12ffefbe19b0474eeb0a1a21815ac60</x:t>
        </x:is>
      </x:c>
      <x:c r="E47" s="234" t="inlineStr">
        <x:is>
          <x:t xml:space="preserve">Fetched successfully</x:t>
        </x:is>
      </x:c>
      <x:c r="F47" s="234" t="inlineStr">
        <x:is>
          <x:t xml:space="preserve">N/A — not in prior 8-page audit</x:t>
        </x:is>
      </x:c>
      <x:c r="G47" s="234" t="inlineStr">
        <x:is>
          <x:t xml:space="preserve">NO — decoder cross-check pending</x:t>
        </x:is>
      </x:c>
    </x:row>
    <x:row r="48">
      <x:c r="A48" s="234" t="n">
        <x:v>43</x:v>
      </x:c>
      <x:c r="B48" s="234" t="inlineStr">
        <x:is>
          <x:t xml:space="preserve">43.jpg</x:t>
        </x:is>
      </x:c>
      <x:c r="C48" s="234" t="inlineStr">
        <x:is>
          <x:t xml:space="preserve">assets/2014/liber-primus-complete/43.jpg</x:t>
        </x:is>
      </x:c>
      <x:c r="D48" s="234" t="inlineStr">
        <x:is>
          <x:t xml:space="preserve">a0be92ee2b6ccda6d2bd6bc39b37d6b061edf8bd</x:t>
        </x:is>
      </x:c>
      <x:c r="E48" s="234" t="inlineStr">
        <x:is>
          <x:t xml:space="preserve">Fetched successfully</x:t>
        </x:is>
      </x:c>
      <x:c r="F48" s="234" t="inlineStr">
        <x:is>
          <x:t xml:space="preserve">N/A — not in prior 8-page audit</x:t>
        </x:is>
      </x:c>
      <x:c r="G48" s="234" t="inlineStr">
        <x:is>
          <x:t xml:space="preserve">NO — decoder cross-check pending</x:t>
        </x:is>
      </x:c>
    </x:row>
    <x:row r="49">
      <x:c r="A49" s="234" t="n">
        <x:v>44</x:v>
      </x:c>
      <x:c r="B49" s="234" t="inlineStr">
        <x:is>
          <x:t xml:space="preserve">44.jpg</x:t>
        </x:is>
      </x:c>
      <x:c r="C49" s="234" t="inlineStr">
        <x:is>
          <x:t xml:space="preserve">assets/2014/liber-primus-complete/44.jpg</x:t>
        </x:is>
      </x:c>
      <x:c r="D49" s="234" t="inlineStr">
        <x:is>
          <x:t xml:space="preserve">b2fc14497a1def3bb20b0c4ab88d50ebd3a036ff</x:t>
        </x:is>
      </x:c>
      <x:c r="E49" s="234" t="inlineStr">
        <x:is>
          <x:t xml:space="preserve">Fetched successfully</x:t>
        </x:is>
      </x:c>
      <x:c r="F49" s="234" t="inlineStr">
        <x:is>
          <x:t xml:space="preserve">N/A — not in prior 8-page audit</x:t>
        </x:is>
      </x:c>
      <x:c r="G49" s="234" t="inlineStr">
        <x:is>
          <x:t xml:space="preserve">NO — decoder cross-check pending</x:t>
        </x:is>
      </x:c>
    </x:row>
    <x:row r="50">
      <x:c r="A50" s="234" t="n">
        <x:v>45</x:v>
      </x:c>
      <x:c r="B50" s="234" t="inlineStr">
        <x:is>
          <x:t xml:space="preserve">45.jpg</x:t>
        </x:is>
      </x:c>
      <x:c r="C50" s="234" t="inlineStr">
        <x:is>
          <x:t xml:space="preserve">assets/2014/liber-primus-complete/45.jpg</x:t>
        </x:is>
      </x:c>
      <x:c r="D50" s="234" t="inlineStr">
        <x:is>
          <x:t xml:space="preserve">42a66257fb798d1a41fb23cddcd08a7f3678e233</x:t>
        </x:is>
      </x:c>
      <x:c r="E50" s="234" t="inlineStr">
        <x:is>
          <x:t xml:space="preserve">Fetched successfully</x:t>
        </x:is>
      </x:c>
      <x:c r="F50" s="234" t="inlineStr">
        <x:is>
          <x:t xml:space="preserve">N/A — not in prior 8-page audit</x:t>
        </x:is>
      </x:c>
      <x:c r="G50" s="234" t="inlineStr">
        <x:is>
          <x:t xml:space="preserve">NO — decoder cross-check pending</x:t>
        </x:is>
      </x:c>
    </x:row>
    <x:row r="51">
      <x:c r="A51" s="234" t="n">
        <x:v>46</x:v>
      </x:c>
      <x:c r="B51" s="234" t="inlineStr">
        <x:is>
          <x:t xml:space="preserve">46.jpg</x:t>
        </x:is>
      </x:c>
      <x:c r="C51" s="234" t="inlineStr">
        <x:is>
          <x:t xml:space="preserve">assets/2014/liber-primus-complete/46.jpg</x:t>
        </x:is>
      </x:c>
      <x:c r="D51" s="234" t="inlineStr">
        <x:is>
          <x:t xml:space="preserve">80306794137aa5406bb4c1918d469b1a2a23fc02</x:t>
        </x:is>
      </x:c>
      <x:c r="E51" s="234" t="inlineStr">
        <x:is>
          <x:t xml:space="preserve">Fetched successfully</x:t>
        </x:is>
      </x:c>
      <x:c r="F51" s="234" t="inlineStr">
        <x:is>
          <x:t xml:space="preserve">N/A — not in prior 8-page audit</x:t>
        </x:is>
      </x:c>
      <x:c r="G51" s="234" t="inlineStr">
        <x:is>
          <x:t xml:space="preserve">NO — decoder cross-check pending</x:t>
        </x:is>
      </x:c>
    </x:row>
    <x:row r="52">
      <x:c r="A52" s="234" t="n">
        <x:v>47</x:v>
      </x:c>
      <x:c r="B52" s="234" t="inlineStr">
        <x:is>
          <x:t xml:space="preserve">47.jpg</x:t>
        </x:is>
      </x:c>
      <x:c r="C52" s="234" t="inlineStr">
        <x:is>
          <x:t xml:space="preserve">assets/2014/liber-primus-complete/47.jpg</x:t>
        </x:is>
      </x:c>
      <x:c r="D52" s="234" t="inlineStr">
        <x:is>
          <x:t xml:space="preserve">cf4fea86915b8e98bbdac0098878223e89a0595a</x:t>
        </x:is>
      </x:c>
      <x:c r="E52" s="234" t="inlineStr">
        <x:is>
          <x:t xml:space="preserve">Fetched successfully</x:t>
        </x:is>
      </x:c>
      <x:c r="F52" s="234" t="inlineStr">
        <x:is>
          <x:t xml:space="preserve">N/A — not in prior 8-page audit</x:t>
        </x:is>
      </x:c>
      <x:c r="G52" s="234" t="inlineStr">
        <x:is>
          <x:t xml:space="preserve">NO — decoder cross-check pending</x:t>
        </x:is>
      </x:c>
    </x:row>
    <x:row r="53">
      <x:c r="A53" s="234" t="n">
        <x:v>48</x:v>
      </x:c>
      <x:c r="B53" s="234" t="inlineStr">
        <x:is>
          <x:t xml:space="preserve">48.jpg</x:t>
        </x:is>
      </x:c>
      <x:c r="C53" s="234" t="inlineStr">
        <x:is>
          <x:t xml:space="preserve">assets/2014/liber-primus-complete/48.jpg</x:t>
        </x:is>
      </x:c>
      <x:c r="D53" s="234" t="inlineStr">
        <x:is>
          <x:t xml:space="preserve">dc31a9e3057e9fef10e1a202b663b84f4f1c3a0e</x:t>
        </x:is>
      </x:c>
      <x:c r="E53" s="234" t="inlineStr">
        <x:is>
          <x:t xml:space="preserve">Fetched successfully</x:t>
        </x:is>
      </x:c>
      <x:c r="F53" s="234" t="inlineStr">
        <x:is>
          <x:t xml:space="preserve">N/A — not in prior 8-page audit</x:t>
        </x:is>
      </x:c>
      <x:c r="G53" s="234" t="inlineStr">
        <x:is>
          <x:t xml:space="preserve">NO — decoder cross-check pending</x:t>
        </x:is>
      </x:c>
    </x:row>
    <x:row r="54">
      <x:c r="A54" s="234" t="n">
        <x:v>49</x:v>
      </x:c>
      <x:c r="B54" s="234" t="inlineStr">
        <x:is>
          <x:t xml:space="preserve">49.jpg</x:t>
        </x:is>
      </x:c>
      <x:c r="C54" s="234" t="inlineStr">
        <x:is>
          <x:t xml:space="preserve">assets/2014/liber-primus-complete/49.jpg</x:t>
        </x:is>
      </x:c>
      <x:c r="D54" s="234" t="inlineStr">
        <x:is>
          <x:t xml:space="preserve">1a8fa8978bad0efc088e5ae247ceba69b2f29c27</x:t>
        </x:is>
      </x:c>
      <x:c r="E54" s="234" t="inlineStr">
        <x:is>
          <x:t xml:space="preserve">Fetched successfully</x:t>
        </x:is>
      </x:c>
      <x:c r="F54" s="234" t="inlineStr">
        <x:is>
          <x:t xml:space="preserve">N/A — not in prior 8-page audit</x:t>
        </x:is>
      </x:c>
      <x:c r="G54" s="234" t="inlineStr">
        <x:is>
          <x:t xml:space="preserve">NO — decoder cross-check pending</x:t>
        </x:is>
      </x:c>
    </x:row>
    <x:row r="55">
      <x:c r="A55" s="234" t="n">
        <x:v>50</x:v>
      </x:c>
      <x:c r="B55" s="234" t="inlineStr">
        <x:is>
          <x:t xml:space="preserve">50.jpg</x:t>
        </x:is>
      </x:c>
      <x:c r="C55" s="234" t="inlineStr">
        <x:is>
          <x:t xml:space="preserve">assets/2014/liber-primus-complete/50.jpg</x:t>
        </x:is>
      </x:c>
      <x:c r="D55" s="234" t="inlineStr">
        <x:is>
          <x:t xml:space="preserve">68d3e28d8c4161fdfe91a542f5bac8e276bc441e</x:t>
        </x:is>
      </x:c>
      <x:c r="E55" s="234" t="inlineStr">
        <x:is>
          <x:t xml:space="preserve">Fetched successfully</x:t>
        </x:is>
      </x:c>
      <x:c r="F55" s="234" t="inlineStr">
        <x:is>
          <x:t xml:space="preserve">MATCH</x:t>
        </x:is>
      </x:c>
      <x:c r="G55" s="234" t="inlineStr">
        <x:is>
          <x:t xml:space="preserve">NO — decoder cross-check pending</x:t>
        </x:is>
      </x:c>
    </x:row>
    <x:row r="56">
      <x:c r="A56" s="234" t="n">
        <x:v>51</x:v>
      </x:c>
      <x:c r="B56" s="234" t="inlineStr">
        <x:is>
          <x:t xml:space="preserve">51.jpg</x:t>
        </x:is>
      </x:c>
      <x:c r="C56" s="234" t="inlineStr">
        <x:is>
          <x:t xml:space="preserve">assets/2014/liber-primus-complete/51.jpg</x:t>
        </x:is>
      </x:c>
      <x:c r="D56" s="234" t="inlineStr">
        <x:is>
          <x:t xml:space="preserve">e6249fa4cf3a1163d2ef3b38dbed59a886a4d94c</x:t>
        </x:is>
      </x:c>
      <x:c r="E56" s="234" t="inlineStr">
        <x:is>
          <x:t xml:space="preserve">Fetched successfully</x:t>
        </x:is>
      </x:c>
      <x:c r="F56" s="234" t="inlineStr">
        <x:is>
          <x:t xml:space="preserve">N/A — not in prior 8-page audit</x:t>
        </x:is>
      </x:c>
      <x:c r="G56" s="234" t="inlineStr">
        <x:is>
          <x:t xml:space="preserve">NO — decoder cross-check pending</x:t>
        </x:is>
      </x:c>
    </x:row>
    <x:row r="57">
      <x:c r="A57" s="234" t="n">
        <x:v>52</x:v>
      </x:c>
      <x:c r="B57" s="234" t="inlineStr">
        <x:is>
          <x:t xml:space="preserve">52.jpg</x:t>
        </x:is>
      </x:c>
      <x:c r="C57" s="234" t="inlineStr">
        <x:is>
          <x:t xml:space="preserve">assets/2014/liber-primus-complete/52.jpg</x:t>
        </x:is>
      </x:c>
      <x:c r="D57" s="234" t="inlineStr">
        <x:is>
          <x:t xml:space="preserve">aec165a24c007299422e52e3480c70dbca63b9dc</x:t>
        </x:is>
      </x:c>
      <x:c r="E57" s="234" t="inlineStr">
        <x:is>
          <x:t xml:space="preserve">Fetched successfully</x:t>
        </x:is>
      </x:c>
      <x:c r="F57" s="234" t="inlineStr">
        <x:is>
          <x:t xml:space="preserve">N/A — not in prior 8-page audit</x:t>
        </x:is>
      </x:c>
      <x:c r="G57" s="234" t="inlineStr">
        <x:is>
          <x:t xml:space="preserve">NO — decoder cross-check pending</x:t>
        </x:is>
      </x:c>
    </x:row>
    <x:row r="58">
      <x:c r="A58" s="234" t="n">
        <x:v>53</x:v>
      </x:c>
      <x:c r="B58" s="234" t="inlineStr">
        <x:is>
          <x:t xml:space="preserve">53.jpg</x:t>
        </x:is>
      </x:c>
      <x:c r="C58" s="234" t="inlineStr">
        <x:is>
          <x:t xml:space="preserve">assets/2014/liber-primus-complete/53.jpg</x:t>
        </x:is>
      </x:c>
      <x:c r="D58" s="234" t="inlineStr">
        <x:is>
          <x:t xml:space="preserve">f8ddd9776975cd5d34de96eb8cb35e2de48c6a56</x:t>
        </x:is>
      </x:c>
      <x:c r="E58" s="234" t="inlineStr">
        <x:is>
          <x:t xml:space="preserve">Fetched successfully</x:t>
        </x:is>
      </x:c>
      <x:c r="F58" s="234" t="inlineStr">
        <x:is>
          <x:t xml:space="preserve">N/A — not in prior 8-page audit</x:t>
        </x:is>
      </x:c>
      <x:c r="G58" s="234" t="inlineStr">
        <x:is>
          <x:t xml:space="preserve">NO — decoder cross-check pending</x:t>
        </x:is>
      </x:c>
    </x:row>
    <x:row r="59">
      <x:c r="A59" s="234" t="n">
        <x:v>54</x:v>
      </x:c>
      <x:c r="B59" s="234" t="inlineStr">
        <x:is>
          <x:t xml:space="preserve">54.jpg</x:t>
        </x:is>
      </x:c>
      <x:c r="C59" s="234" t="inlineStr">
        <x:is>
          <x:t xml:space="preserve">assets/2014/liber-primus-complete/54.jpg</x:t>
        </x:is>
      </x:c>
      <x:c r="D59" s="234" t="inlineStr">
        <x:is>
          <x:t xml:space="preserve">ff7e60c2a574512200bea0f49d76808ecfb3e21f</x:t>
        </x:is>
      </x:c>
      <x:c r="E59" s="234" t="inlineStr">
        <x:is>
          <x:t xml:space="preserve">Fetched successfully</x:t>
        </x:is>
      </x:c>
      <x:c r="F59" s="234" t="inlineStr">
        <x:is>
          <x:t xml:space="preserve">N/A — not in prior 8-page audit</x:t>
        </x:is>
      </x:c>
      <x:c r="G59" s="234" t="inlineStr">
        <x:is>
          <x:t xml:space="preserve">NO — decoder cross-check pending</x:t>
        </x:is>
      </x:c>
    </x:row>
    <x:row r="60">
      <x:c r="A60" s="234" t="n">
        <x:v>55</x:v>
      </x:c>
      <x:c r="B60" s="234" t="inlineStr">
        <x:is>
          <x:t xml:space="preserve">55.jpg</x:t>
        </x:is>
      </x:c>
      <x:c r="C60" s="234" t="inlineStr">
        <x:is>
          <x:t xml:space="preserve">assets/2014/liber-primus-complete/55.jpg</x:t>
        </x:is>
      </x:c>
      <x:c r="D60" s="234" t="inlineStr">
        <x:is>
          <x:t xml:space="preserve">10ab76d6c31ea348bbc0f906adf6caac61398dc2</x:t>
        </x:is>
      </x:c>
      <x:c r="E60" s="234" t="inlineStr">
        <x:is>
          <x:t xml:space="preserve">Fetched successfully</x:t>
        </x:is>
      </x:c>
      <x:c r="F60" s="234" t="inlineStr">
        <x:is>
          <x:t xml:space="preserve">N/A — not in prior 8-page audit</x:t>
        </x:is>
      </x:c>
      <x:c r="G60" s="234" t="inlineStr">
        <x:is>
          <x:t xml:space="preserve">NO — decoder cross-check pending</x:t>
        </x:is>
      </x:c>
    </x:row>
    <x:row r="61">
      <x:c r="A61" s="234" t="n">
        <x:v>56</x:v>
      </x:c>
      <x:c r="B61" s="234" t="inlineStr">
        <x:is>
          <x:t xml:space="preserve">56.jpg</x:t>
        </x:is>
      </x:c>
      <x:c r="C61" s="234" t="inlineStr">
        <x:is>
          <x:t xml:space="preserve">assets/2014/liber-primus-complete/56.jpg</x:t>
        </x:is>
      </x:c>
      <x:c r="D61" s="234" t="inlineStr">
        <x:is>
          <x:t xml:space="preserve">819261c833837cbaa2bd200d210ca299d79031f3</x:t>
        </x:is>
      </x:c>
      <x:c r="E61" s="234" t="inlineStr">
        <x:is>
          <x:t xml:space="preserve">Fetched successfully</x:t>
        </x:is>
      </x:c>
      <x:c r="F61" s="234" t="inlineStr">
        <x:is>
          <x:t xml:space="preserve">MATCH</x:t>
        </x:is>
      </x:c>
      <x:c r="G61" s="234" t="inlineStr">
        <x:is>
          <x:t xml:space="preserve">NO — decoder cross-check pending</x:t>
        </x:is>
      </x:c>
    </x:row>
    <x:row r="62">
      <x:c r="A62" s="234" t="n">
        <x:v>57</x:v>
      </x:c>
      <x:c r="B62" s="234" t="inlineStr">
        <x:is>
          <x:t xml:space="preserve">57.jpg</x:t>
        </x:is>
      </x:c>
      <x:c r="C62" s="234" t="inlineStr">
        <x:is>
          <x:t xml:space="preserve">assets/2014/liber-primus-complete/57.jpg</x:t>
        </x:is>
      </x:c>
      <x:c r="D62" s="234" t="inlineStr">
        <x:is>
          <x:t xml:space="preserve">83f661b6107587c5d153d6dea3f6bf03090a70bc</x:t>
        </x:is>
      </x:c>
      <x:c r="E62" s="234" t="inlineStr">
        <x:is>
          <x:t xml:space="preserve">Fetched successfully</x:t>
        </x:is>
      </x:c>
      <x:c r="F62" s="234" t="inlineStr">
        <x:is>
          <x:t xml:space="preserve">MATCH</x:t>
        </x:is>
      </x:c>
      <x:c r="G62" s="234" t="inlineStr">
        <x:is>
          <x:t xml:space="preserve">NO — decoder cross-check pending</x:t>
        </x:is>
      </x:c>
    </x:row>
    <x:row r="63">
      <x:c r="A63" s="234" t="n">
        <x:v>58</x:v>
      </x:c>
      <x:c r="B63" s="234" t="inlineStr">
        <x:is>
          <x:t xml:space="preserve">58.jpg</x:t>
        </x:is>
      </x:c>
      <x:c r="C63" s="234" t="inlineStr">
        <x:is>
          <x:t xml:space="preserve">assets/2014/liber-primus-complete/58.jpg</x:t>
        </x:is>
      </x:c>
      <x:c r="D63" s="234" t="inlineStr">
        <x:is>
          <x:t xml:space="preserve">cef4a7baf17e31676ec219db99808287a63b6f33</x:t>
        </x:is>
      </x:c>
      <x:c r="E63" s="234" t="inlineStr">
        <x:is>
          <x:t xml:space="preserve">Fetched successfully</x:t>
        </x:is>
      </x:c>
      <x:c r="F63" s="234" t="inlineStr">
        <x:is>
          <x:t xml:space="preserve">N/A — not in prior 8-page audit</x:t>
        </x:is>
      </x:c>
      <x:c r="G63" s="234" t="inlineStr">
        <x:is>
          <x:t xml:space="preserve">NO — decoder cross-check pending</x:t>
        </x:is>
      </x:c>
    </x:row>
    <x:row r="64">
      <x:c r="A64" s="234" t="n">
        <x:v>59</x:v>
      </x:c>
      <x:c r="B64" s="234" t="inlineStr">
        <x:is>
          <x:t xml:space="preserve">59.jpg</x:t>
        </x:is>
      </x:c>
      <x:c r="C64" s="234" t="inlineStr">
        <x:is>
          <x:t xml:space="preserve">assets/2014/liber-primus-complete/59.jpg</x:t>
        </x:is>
      </x:c>
      <x:c r="D64" s="234" t="inlineStr">
        <x:is>
          <x:t xml:space="preserve">781940e751b879a4fe1a62bdcf4ac518e1e5c6a9</x:t>
        </x:is>
      </x:c>
      <x:c r="E64" s="234" t="inlineStr">
        <x:is>
          <x:t xml:space="preserve">Fetched successfully</x:t>
        </x:is>
      </x:c>
      <x:c r="F64" s="234" t="inlineStr">
        <x:is>
          <x:t xml:space="preserve">N/A — not in prior 8-page audit</x:t>
        </x:is>
      </x:c>
      <x:c r="G64" s="234" t="inlineStr">
        <x:is>
          <x:t xml:space="preserve">NO — decoder cross-check pending</x:t>
        </x:is>
      </x:c>
    </x:row>
    <x:row r="65">
      <x:c r="A65" s="234" t="n">
        <x:v>60</x:v>
      </x:c>
      <x:c r="B65" s="234" t="inlineStr">
        <x:is>
          <x:t xml:space="preserve">60.jpg</x:t>
        </x:is>
      </x:c>
      <x:c r="C65" s="234" t="inlineStr">
        <x:is>
          <x:t xml:space="preserve">assets/2014/liber-primus-complete/60.jpg</x:t>
        </x:is>
      </x:c>
      <x:c r="D65" s="234" t="inlineStr">
        <x:is>
          <x:t xml:space="preserve">165003151e37729d2b4fde70c92a432ad9c70d00</x:t>
        </x:is>
      </x:c>
      <x:c r="E65" s="234" t="inlineStr">
        <x:is>
          <x:t xml:space="preserve">Fetched successfully</x:t>
        </x:is>
      </x:c>
      <x:c r="F65" s="234" t="inlineStr">
        <x:is>
          <x:t xml:space="preserve">N/A — not in prior 8-page audit</x:t>
        </x:is>
      </x:c>
      <x:c r="G65" s="234" t="inlineStr">
        <x:is>
          <x:t xml:space="preserve">NO — decoder cross-check pending</x:t>
        </x:is>
      </x:c>
    </x:row>
    <x:row r="66">
      <x:c r="A66" s="234" t="n">
        <x:v>61</x:v>
      </x:c>
      <x:c r="B66" s="234" t="inlineStr">
        <x:is>
          <x:t xml:space="preserve">61.jpg</x:t>
        </x:is>
      </x:c>
      <x:c r="C66" s="234" t="inlineStr">
        <x:is>
          <x:t xml:space="preserve">assets/2014/liber-primus-complete/61.jpg</x:t>
        </x:is>
      </x:c>
      <x:c r="D66" s="234" t="inlineStr">
        <x:is>
          <x:t xml:space="preserve">6aaa4e0d3b89d652ef4eec43af4382d871e9e087</x:t>
        </x:is>
      </x:c>
      <x:c r="E66" s="234" t="inlineStr">
        <x:is>
          <x:t xml:space="preserve">Fetched successfully</x:t>
        </x:is>
      </x:c>
      <x:c r="F66" s="234" t="inlineStr">
        <x:is>
          <x:t xml:space="preserve">N/A — not in prior 8-page audit</x:t>
        </x:is>
      </x:c>
      <x:c r="G66" s="234" t="inlineStr">
        <x:is>
          <x:t xml:space="preserve">NO — decoder cross-check pending</x:t>
        </x:is>
      </x:c>
    </x:row>
    <x:row r="67">
      <x:c r="A67" s="234" t="n">
        <x:v>62</x:v>
      </x:c>
      <x:c r="B67" s="234" t="inlineStr">
        <x:is>
          <x:t xml:space="preserve">62.jpg</x:t>
        </x:is>
      </x:c>
      <x:c r="C67" s="234" t="inlineStr">
        <x:is>
          <x:t xml:space="preserve">assets/2014/liber-primus-complete/62.jpg</x:t>
        </x:is>
      </x:c>
      <x:c r="D67" s="234" t="inlineStr">
        <x:is>
          <x:t xml:space="preserve">5a29229e871ca21e28a2500b448c5df04b6d5545</x:t>
        </x:is>
      </x:c>
      <x:c r="E67" s="234" t="inlineStr">
        <x:is>
          <x:t xml:space="preserve">Fetched successfully</x:t>
        </x:is>
      </x:c>
      <x:c r="F67" s="234" t="inlineStr">
        <x:is>
          <x:t xml:space="preserve">N/A — not in prior 8-page audit</x:t>
        </x:is>
      </x:c>
      <x:c r="G67" s="234" t="inlineStr">
        <x:is>
          <x:t xml:space="preserve">NO — decoder cross-check pending</x:t>
        </x:is>
      </x:c>
    </x:row>
    <x:row r="68">
      <x:c r="A68" s="234" t="n">
        <x:v>63</x:v>
      </x:c>
      <x:c r="B68" s="234" t="inlineStr">
        <x:is>
          <x:t xml:space="preserve">63.jpg</x:t>
        </x:is>
      </x:c>
      <x:c r="C68" s="234" t="inlineStr">
        <x:is>
          <x:t xml:space="preserve">assets/2014/liber-primus-complete/63.jpg</x:t>
        </x:is>
      </x:c>
      <x:c r="D68" s="234" t="inlineStr">
        <x:is>
          <x:t xml:space="preserve">b02c15229caaecec339a5614f07396850e3b068c</x:t>
        </x:is>
      </x:c>
      <x:c r="E68" s="234" t="inlineStr">
        <x:is>
          <x:t xml:space="preserve">Fetched successfully</x:t>
        </x:is>
      </x:c>
      <x:c r="F68" s="234" t="inlineStr">
        <x:is>
          <x:t xml:space="preserve">N/A — not in prior 8-page audit</x:t>
        </x:is>
      </x:c>
      <x:c r="G68" s="234" t="inlineStr">
        <x:is>
          <x:t xml:space="preserve">NO — decoder cross-check pending</x:t>
        </x:is>
      </x:c>
    </x:row>
    <x:row r="69">
      <x:c r="A69" s="234" t="n">
        <x:v>64</x:v>
      </x:c>
      <x:c r="B69" s="234" t="inlineStr">
        <x:is>
          <x:t xml:space="preserve">64.jpg</x:t>
        </x:is>
      </x:c>
      <x:c r="C69" s="234" t="inlineStr">
        <x:is>
          <x:t xml:space="preserve">assets/2014/liber-primus-complete/64.jpg</x:t>
        </x:is>
      </x:c>
      <x:c r="D69" s="234" t="inlineStr">
        <x:is>
          <x:t xml:space="preserve">9cc071ca1f93dd29750deccc11f3a7cc056c94db</x:t>
        </x:is>
      </x:c>
      <x:c r="E69" s="234" t="inlineStr">
        <x:is>
          <x:t xml:space="preserve">Fetched successfully</x:t>
        </x:is>
      </x:c>
      <x:c r="F69" s="234" t="inlineStr">
        <x:is>
          <x:t xml:space="preserve">N/A — not in prior 8-page audit</x:t>
        </x:is>
      </x:c>
      <x:c r="G69" s="234" t="inlineStr">
        <x:is>
          <x:t xml:space="preserve">NO — decoder cross-check pending</x:t>
        </x:is>
      </x:c>
    </x:row>
    <x:row r="70">
      <x:c r="A70" s="234" t="n">
        <x:v>65</x:v>
      </x:c>
      <x:c r="B70" s="234" t="inlineStr">
        <x:is>
          <x:t xml:space="preserve">65.jpg</x:t>
        </x:is>
      </x:c>
      <x:c r="C70" s="234" t="inlineStr">
        <x:is>
          <x:t xml:space="preserve">assets/2014/liber-primus-complete/65.jpg</x:t>
        </x:is>
      </x:c>
      <x:c r="D70" s="234" t="inlineStr">
        <x:is>
          <x:t xml:space="preserve">a2db4b4363f4a991dc7a2f17855d7b238df9d09e</x:t>
        </x:is>
      </x:c>
      <x:c r="E70" s="234" t="inlineStr">
        <x:is>
          <x:t xml:space="preserve">Fetched successfully</x:t>
        </x:is>
      </x:c>
      <x:c r="F70" s="234" t="inlineStr">
        <x:is>
          <x:t xml:space="preserve">N/A — not in prior 8-page audit</x:t>
        </x:is>
      </x:c>
      <x:c r="G70" s="234" t="inlineStr">
        <x:is>
          <x:t xml:space="preserve">NO — decoder cross-check pending</x:t>
        </x:is>
      </x:c>
    </x:row>
    <x:row r="71">
      <x:c r="A71" s="234" t="n">
        <x:v>66</x:v>
      </x:c>
      <x:c r="B71" s="234" t="inlineStr">
        <x:is>
          <x:t xml:space="preserve">66.jpg</x:t>
        </x:is>
      </x:c>
      <x:c r="C71" s="234" t="inlineStr">
        <x:is>
          <x:t xml:space="preserve">assets/2014/liber-primus-complete/66.jpg</x:t>
        </x:is>
      </x:c>
      <x:c r="D71" s="234" t="inlineStr">
        <x:is>
          <x:t xml:space="preserve">c5243ea1324cf3b72b79a41366f8d0e434ce3978</x:t>
        </x:is>
      </x:c>
      <x:c r="E71" s="234" t="inlineStr">
        <x:is>
          <x:t xml:space="preserve">Fetched successfully</x:t>
        </x:is>
      </x:c>
      <x:c r="F71" s="234" t="inlineStr">
        <x:is>
          <x:t xml:space="preserve">N/A — not in prior 8-page audit</x:t>
        </x:is>
      </x:c>
      <x:c r="G71" s="234" t="inlineStr">
        <x:is>
          <x:t xml:space="preserve">NO — decoder cross-check pending</x:t>
        </x:is>
      </x:c>
    </x:row>
    <x:row r="72">
      <x:c r="A72" s="234" t="n">
        <x:v>67</x:v>
      </x:c>
      <x:c r="B72" s="234" t="inlineStr">
        <x:is>
          <x:t xml:space="preserve">67.jpg</x:t>
        </x:is>
      </x:c>
      <x:c r="C72" s="234" t="inlineStr">
        <x:is>
          <x:t xml:space="preserve">assets/2014/liber-primus-complete/67.jpg</x:t>
        </x:is>
      </x:c>
      <x:c r="D72" s="234" t="inlineStr">
        <x:is>
          <x:t xml:space="preserve">f5abe00085811319f5183c2468ea1171d9dbfb82</x:t>
        </x:is>
      </x:c>
      <x:c r="E72" s="234" t="inlineStr">
        <x:is>
          <x:t xml:space="preserve">Fetched successfully</x:t>
        </x:is>
      </x:c>
      <x:c r="F72" s="234" t="inlineStr">
        <x:is>
          <x:t xml:space="preserve">N/A — not in prior 8-page audit</x:t>
        </x:is>
      </x:c>
      <x:c r="G72" s="234" t="inlineStr">
        <x:is>
          <x:t xml:space="preserve">NO — decoder cross-check pending</x:t>
        </x:is>
      </x:c>
    </x:row>
    <x:row r="73">
      <x:c r="A73" s="234" t="n">
        <x:v>68</x:v>
      </x:c>
      <x:c r="B73" s="234" t="inlineStr">
        <x:is>
          <x:t xml:space="preserve">68.jpg</x:t>
        </x:is>
      </x:c>
      <x:c r="C73" s="234" t="inlineStr">
        <x:is>
          <x:t xml:space="preserve">assets/2014/liber-primus-complete/68.jpg</x:t>
        </x:is>
      </x:c>
      <x:c r="D73" s="234" t="inlineStr">
        <x:is>
          <x:t xml:space="preserve">701e47789abf4401d61420ff938c2b72aa03ad2c</x:t>
        </x:is>
      </x:c>
      <x:c r="E73" s="234" t="inlineStr">
        <x:is>
          <x:t xml:space="preserve">Fetched successfully</x:t>
        </x:is>
      </x:c>
      <x:c r="F73" s="234" t="inlineStr">
        <x:is>
          <x:t xml:space="preserve">MATCH</x:t>
        </x:is>
      </x:c>
      <x:c r="G73" s="234" t="inlineStr">
        <x:is>
          <x:t xml:space="preserve">NO — decoder cross-check pending</x:t>
        </x:is>
      </x:c>
    </x:row>
    <x:row r="74">
      <x:c r="A74" s="234" t="n">
        <x:v>69</x:v>
      </x:c>
      <x:c r="B74" s="234" t="inlineStr">
        <x:is>
          <x:t xml:space="preserve">69.jpg</x:t>
        </x:is>
      </x:c>
      <x:c r="C74" s="234" t="inlineStr">
        <x:is>
          <x:t xml:space="preserve">assets/2014/liber-primus-complete/69.jpg</x:t>
        </x:is>
      </x:c>
      <x:c r="D74" s="234" t="inlineStr">
        <x:is>
          <x:t xml:space="preserve">2bb9807409b2536feb788ec0cdf7a0fefb8ea5e6</x:t>
        </x:is>
      </x:c>
      <x:c r="E74" s="234" t="inlineStr">
        <x:is>
          <x:t xml:space="preserve">Fetched successfully</x:t>
        </x:is>
      </x:c>
      <x:c r="F74" s="234" t="inlineStr">
        <x:is>
          <x:t xml:space="preserve">N/A — not in prior 8-page audit</x:t>
        </x:is>
      </x:c>
      <x:c r="G74" s="234" t="inlineStr">
        <x:is>
          <x:t xml:space="preserve">NO — decoder cross-check pending</x:t>
        </x:is>
      </x:c>
    </x:row>
    <x:row r="75">
      <x:c r="A75" s="234" t="n">
        <x:v>70</x:v>
      </x:c>
      <x:c r="B75" s="234" t="inlineStr">
        <x:is>
          <x:t xml:space="preserve">70.jpg</x:t>
        </x:is>
      </x:c>
      <x:c r="C75" s="234" t="inlineStr">
        <x:is>
          <x:t xml:space="preserve">assets/2014/liber-primus-complete/70.jpg</x:t>
        </x:is>
      </x:c>
      <x:c r="D75" s="234" t="inlineStr">
        <x:is>
          <x:t xml:space="preserve">55791b97f20e57e9f0ffb4f28596712d5db2ed68</x:t>
        </x:is>
      </x:c>
      <x:c r="E75" s="234" t="inlineStr">
        <x:is>
          <x:t xml:space="preserve">Fetched successfully</x:t>
        </x:is>
      </x:c>
      <x:c r="F75" s="234" t="inlineStr">
        <x:is>
          <x:t xml:space="preserve">N/A — not in prior 8-page audit</x:t>
        </x:is>
      </x:c>
      <x:c r="G75" s="234" t="inlineStr">
        <x:is>
          <x:t xml:space="preserve">NO — decoder cross-check pending</x:t>
        </x:is>
      </x:c>
    </x:row>
    <x:row r="76">
      <x:c r="A76" s="234" t="n">
        <x:v>71</x:v>
      </x:c>
      <x:c r="B76" s="234" t="inlineStr">
        <x:is>
          <x:t xml:space="preserve">71.jpg</x:t>
        </x:is>
      </x:c>
      <x:c r="C76" s="234" t="inlineStr">
        <x:is>
          <x:t xml:space="preserve">assets/2014/liber-primus-complete/71.jpg</x:t>
        </x:is>
      </x:c>
      <x:c r="D76" s="234" t="inlineStr">
        <x:is>
          <x:t xml:space="preserve">5658a7f992c06ac7191f275cf32be2ce35b59754</x:t>
        </x:is>
      </x:c>
      <x:c r="E76" s="234" t="inlineStr">
        <x:is>
          <x:t xml:space="preserve">Fetched successfully</x:t>
        </x:is>
      </x:c>
      <x:c r="F76" s="234" t="inlineStr">
        <x:is>
          <x:t xml:space="preserve">N/A — not in prior 8-page audit</x:t>
        </x:is>
      </x:c>
      <x:c r="G76" s="234" t="inlineStr">
        <x:is>
          <x:t xml:space="preserve">NO — decoder cross-check pending</x:t>
        </x:is>
      </x:c>
    </x:row>
    <x:row r="77">
      <x:c r="A77" s="234" t="n">
        <x:v>72</x:v>
      </x:c>
      <x:c r="B77" s="234" t="inlineStr">
        <x:is>
          <x:t xml:space="preserve">72.jpg</x:t>
        </x:is>
      </x:c>
      <x:c r="C77" s="234" t="inlineStr">
        <x:is>
          <x:t xml:space="preserve">assets/2014/liber-primus-complete/72.jpg</x:t>
        </x:is>
      </x:c>
      <x:c r="D77" s="234" t="inlineStr">
        <x:is>
          <x:t xml:space="preserve">ee00cd34013fe3a5c6808650abb6d3206b6f1b13</x:t>
        </x:is>
      </x:c>
      <x:c r="E77" s="234" t="inlineStr">
        <x:is>
          <x:t xml:space="preserve">Fetched successfully</x:t>
        </x:is>
      </x:c>
      <x:c r="F77" s="234" t="inlineStr">
        <x:is>
          <x:t xml:space="preserve">N/A — not in prior 8-page audit</x:t>
        </x:is>
      </x:c>
      <x:c r="G77" s="234" t="inlineStr">
        <x:is>
          <x:t xml:space="preserve">NO — decoder cross-check pending</x:t>
        </x:is>
      </x:c>
    </x:row>
    <x:row r="78">
      <x:c r="A78" s="234" t="n">
        <x:v>73</x:v>
      </x:c>
      <x:c r="B78" s="234" t="inlineStr">
        <x:is>
          <x:t xml:space="preserve">73.jpg</x:t>
        </x:is>
      </x:c>
      <x:c r="C78" s="234" t="inlineStr">
        <x:is>
          <x:t xml:space="preserve">assets/2014/liber-primus-complete/73.jpg</x:t>
        </x:is>
      </x:c>
      <x:c r="D78" s="234" t="inlineStr">
        <x:is>
          <x:t xml:space="preserve">afa3428764199ddf590baf0c055c8caedc079cb1</x:t>
        </x:is>
      </x:c>
      <x:c r="E78" s="234" t="inlineStr">
        <x:is>
          <x:t xml:space="preserve">Fetched successfully</x:t>
        </x:is>
      </x:c>
      <x:c r="F78" s="234" t="inlineStr">
        <x:is>
          <x:t xml:space="preserve">MATCH</x:t>
        </x:is>
      </x:c>
      <x:c r="G78" s="234" t="inlineStr">
        <x:is>
          <x:t xml:space="preserve">NO — decoder cross-check pending</x:t>
        </x:is>
      </x:c>
    </x:row>
    <x:row r="79">
      <x:c r="A79" s="234" t="n">
        <x:v>74</x:v>
      </x:c>
      <x:c r="B79" s="234" t="inlineStr">
        <x:is>
          <x:t xml:space="preserve">74.jpg</x:t>
        </x:is>
      </x:c>
      <x:c r="C79" s="234" t="inlineStr">
        <x:is>
          <x:t xml:space="preserve">assets/2014/liber-primus-complete/74.jpg</x:t>
        </x:is>
      </x:c>
      <x:c r="D79" s="234" t="inlineStr">
        <x:is>
          <x:t xml:space="preserve">4397143b4df5ad729b00cfd740a74994052f46d2</x:t>
        </x:is>
      </x:c>
      <x:c r="E79" s="234" t="inlineStr">
        <x:is>
          <x:t xml:space="preserve">Fetched successfully</x:t>
        </x:is>
      </x:c>
      <x:c r="F79" s="234" t="inlineStr">
        <x:is>
          <x:t xml:space="preserve">N/A — not in prior 8-page audit</x:t>
        </x:is>
      </x:c>
      <x:c r="G79" s="234" t="inlineStr">
        <x:is>
          <x:t xml:space="preserve">NO — decoder cross-check pending</x:t>
        </x:is>
      </x:c>
    </x:row>
  </x:sheetData>
  <x:pageMargins left="0.7" right="0.7" top="0.75" bottom="0.75" header="0.3" footer="0.3"/>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baseColWidth="8" defaultRowHeight="15"/>
  <x:cols>
    <x:col min="1" max="1" width="14" style="232" customWidth="1"/>
    <x:col min="2" max="2" width="24" style="232" customWidth="1"/>
    <x:col min="3" max="3" width="27" style="232" customWidth="1"/>
    <x:col min="4" max="4" width="66" style="232" customWidth="1"/>
    <x:col min="5" max="5" width="55" style="232" customWidth="1"/>
    <x:col min="6" max="6" width="60" style="232" customWidth="1"/>
  </x:cols>
  <x:sheetData>
    <x:row r="1" s="232" customFormat="1" ht="24" customHeight="1">
      <x:c r="A1" s="316" t="inlineStr">
        <x:is>
          <x:t xml:space="preserve">Measurement pipeline audit — v1.5</x:t>
        </x:is>
      </x:c>
      <x:c r="B1" s="316" t="n"/>
      <x:c r="C1" s="316" t="n"/>
      <x:c r="D1" s="316" t="n"/>
      <x:c r="E1" s="316" t="n"/>
      <x:c r="F1" s="316" t="n"/>
    </x:row>
    <x:row r="2" s="232" customFormat="1" ht="36" customHeight="1">
      <x:c r="A2" s="234" t="inlineStr">
        <x:is>
          <x:t xml:space="preserve">Static review of measure_constellations_v0_2.py plus execution of its synthetic-only self-test. No original source JPEG bytes were processed in this pass.</x:t>
        </x:is>
      </x:c>
      <x:c r="B2" s="234" t="n"/>
      <x:c r="C2" s="234" t="n"/>
      <x:c r="D2" s="234" t="n"/>
      <x:c r="E2" s="234" t="n"/>
      <x:c r="F2" s="234" t="n"/>
    </x:row>
    <x:row r="3">
      <x:c r="A3" s="234" t="n"/>
      <x:c r="B3" s="234" t="n"/>
      <x:c r="C3" s="234" t="n"/>
      <x:c r="D3" s="234" t="n"/>
      <x:c r="E3" s="234" t="n"/>
      <x:c r="F3" s="234" t="n"/>
    </x:row>
    <x:row r="4">
      <x:c r="A4" s="317" t="inlineStr">
        <x:is>
          <x:t xml:space="preserve">Finding ID</x:t>
        </x:is>
      </x:c>
      <x:c r="B4" s="317" t="inlineStr">
        <x:is>
          <x:t xml:space="preserve">Area</x:t>
        </x:is>
      </x:c>
      <x:c r="C4" s="317" t="inlineStr">
        <x:is>
          <x:t xml:space="preserve">Status</x:t>
        </x:is>
      </x:c>
      <x:c r="D4" s="317" t="inlineStr">
        <x:is>
          <x:t xml:space="preserve">Finding</x:t>
        </x:is>
      </x:c>
      <x:c r="E4" s="317" t="inlineStr">
        <x:is>
          <x:t xml:space="preserve">Code / evidence</x:t>
        </x:is>
      </x:c>
      <x:c r="F4" s="317" t="inlineStr">
        <x:is>
          <x:t xml:space="preserve">Required next step</x:t>
        </x:is>
      </x:c>
    </x:row>
    <x:row r="5" s="232" customFormat="1" ht="78" customHeight="1">
      <x:c r="A5" s="234" t="inlineStr">
        <x:is>
          <x:t xml:space="preserve">PIPE-01</x:t>
        </x:is>
      </x:c>
      <x:c r="B5" s="234" t="inlineStr">
        <x:is>
          <x:t xml:space="preserve">Scope</x:t>
        </x:is>
      </x:c>
      <x:c r="C5" s="234" t="inlineStr">
        <x:is>
          <x:t xml:space="preserve">Confirmed limitation</x:t>
        </x:is>
      </x:c>
      <x:c r="D5" s="234" t="inlineStr">
        <x:is>
          <x:t xml:space="preserve">Only three predefined target ROIs (pages 24, 40, 73) are processed.</x:t>
        </x:is>
      </x:c>
      <x:c r="E5" s="234" t="inlineStr">
        <x:is>
          <x:t xml:space="preserve">PAGE_CONFIG and run() loop; this is a target-group extractor, not a corpus-wide detector.</x:t>
        </x:is>
      </x:c>
      <x:c r="F5" s="234" t="inlineStr">
        <x:is>
          <x:t xml:space="preserve">Do not use this script to claim all manuscript dot groups were searched.</x:t>
        </x:is>
      </x:c>
    </x:row>
    <x:row r="6" s="232" customFormat="1" ht="78" customHeight="1">
      <x:c r="A6" s="234" t="inlineStr">
        <x:is>
          <x:t xml:space="preserve">PIPE-02</x:t>
        </x:is>
      </x:c>
      <x:c r="B6" s="234" t="inlineStr">
        <x:is>
          <x:t xml:space="preserve">Source validation</x:t>
        </x:is>
      </x:c>
      <x:c r="C6" s="234" t="inlineStr">
        <x:is>
          <x:t xml:space="preserve">Good guard, untested locally</x:t>
        </x:is>
      </x:c>
      <x:c r="D6" s="234" t="inlineStr">
        <x:is>
          <x:t xml:space="preserve">Git blob SHA-1 and 2400×3600 dimensions are checked before measurement.</x:t>
        </x:is>
      </x:c>
      <x:c r="E6" s="234" t="inlineStr">
        <x:is>
          <x:t xml:space="preserve">git_blob_sha1() and run() source checks.</x:t>
        </x:is>
      </x:c>
      <x:c r="F6" s="234" t="inlineStr">
        <x:is>
          <x:t xml:space="preserve">Retain these guards; execute only after exact bytes are available.</x:t>
        </x:is>
      </x:c>
    </x:row>
    <x:row r="7" s="232" customFormat="1" ht="78" customHeight="1">
      <x:c r="A7" s="234" t="inlineStr">
        <x:is>
          <x:t xml:space="preserve">PIPE-03</x:t>
        </x:is>
      </x:c>
      <x:c r="B7" s="234" t="inlineStr">
        <x:is>
          <x:t xml:space="preserve">Rejected components</x:t>
        </x:is>
      </x:c>
      <x:c r="C7" s="234" t="inlineStr">
        <x:is>
          <x:t xml:space="preserve">Output omission</x:t>
        </x:is>
      </x:c>
      <x:c r="D7" s="234" t="inlineStr">
        <x:is>
          <x:t xml:space="preserve">Components that fail the dot-like filter are discarded, not emitted to an audit table; comments imply broader candidate reporting.</x:t>
        </x:is>
      </x:c>
      <x:c r="E7" s="234" t="inlineStr">
        <x:is>
          <x:t xml:space="preserve">extract_components() filter and return path.</x:t>
        </x:is>
      </x:c>
      <x:c r="F7" s="234" t="inlineStr">
        <x:is>
          <x:t xml:space="preserve">Modify extractor to log all components with accepted/rejected status and rejection reasons.</x:t>
        </x:is>
      </x:c>
    </x:row>
    <x:row r="8" s="232" customFormat="1" ht="78" customHeight="1">
      <x:c r="A8" s="234" t="inlineStr">
        <x:is>
          <x:t xml:space="preserve">PIPE-04</x:t>
        </x:is>
      </x:c>
      <x:c r="B8" s="234" t="inlineStr">
        <x:is>
          <x:t xml:space="preserve">Geometric signature</x:t>
        </x:is>
      </x:c>
      <x:c r="C8" s="234" t="inlineStr">
        <x:is>
          <x:t xml:space="preserve">Method mismatch</x:t>
        </x:is>
      </x:c>
      <x:c r="D8" s="234" t="inlineStr">
        <x:is>
          <x:t xml:space="preserve">pairwise_signature() divides distances by the median; workbook Cluster Signatures v1.2 says distances are normalized by RMS pairwise distance.</x:t>
        </x:is>
      </x:c>
      <x:c r="E8" s="234" t="inlineStr">
        <x:is>
          <x:t xml:space="preserve">pairwise_signature() near top of script vs workbook methodology.</x:t>
        </x:is>
      </x:c>
      <x:c r="F8" s="234" t="inlineStr">
        <x:is>
          <x:t xml:space="preserve">Do not compare script outputs numerically with workbook signatures unless normalization is unified.</x:t>
        </x:is>
      </x:c>
    </x:row>
    <x:row r="9" s="232" customFormat="1" ht="78" customHeight="1">
      <x:c r="A9" s="234" t="inlineStr">
        <x:is>
          <x:t xml:space="preserve">PIPE-05</x:t>
        </x:is>
      </x:c>
      <x:c r="B9" s="234" t="inlineStr">
        <x:is>
          <x:t xml:space="preserve">Null model</x:t>
        </x:is>
      </x:c>
      <x:c r="C9" s="234" t="inlineStr">
        <x:is>
          <x:t xml:space="preserve">Invalid for inference</x:t>
        </x:is>
      </x:c>
      <x:c r="D9" s="234" t="inlineStr">
        <x:is>
          <x:t xml:space="preserve">Random points in a rectangle ignore real manuscript marks, layouts, copied ornament, component detection, and target-selection procedure. Script can emit empirical p-values despite its own caveat.</x:t>
        </x:is>
      </x:c>
      <x:c r="E9" s="234" t="inlineStr">
        <x:is>
          <x:t xml:space="preserve">run() random control section.</x:t>
        </x:is>
      </x:c>
      <x:c r="F9" s="234" t="inlineStr">
        <x:is>
          <x:t xml:space="preserve">Disable inferential interpretation; use only as software smoke-test or historical exploratory diagnostic.</x:t>
        </x:is>
      </x:c>
    </x:row>
    <x:row r="10" s="232" customFormat="1" ht="78" customHeight="1">
      <x:c r="A10" s="234" t="inlineStr">
        <x:is>
          <x:t xml:space="preserve">PIPE-06</x:t>
        </x:is>
      </x:c>
      <x:c r="B10" s="234" t="inlineStr">
        <x:is>
          <x:t xml:space="preserve">Threshold matching</x:t>
        </x:is>
      </x:c>
      <x:c r="C10" s="234" t="inlineStr">
        <x:is>
          <x:t xml:space="preserve">Greedy matching</x:t>
        </x:is>
      </x:c>
      <x:c r="D10" s="234" t="inlineStr">
        <x:is>
          <x:t xml:space="preserve">Cross-threshold centroids are paired greedily by nearest distance, not via globally optimal assignment; in crowded ROIs this can create mismatches.</x:t>
        </x:is>
      </x:c>
      <x:c r="E10" s="234" t="inlineStr">
        <x:is>
          <x:t xml:space="preserve">threshold stability block in run().</x:t>
        </x:is>
      </x:c>
      <x:c r="F10" s="234" t="inlineStr">
        <x:is>
          <x:t xml:space="preserve">Use a minimum-cost bipartite assignment and preserve unmatched candidates.</x:t>
        </x:is>
      </x:c>
    </x:row>
    <x:row r="11" s="232" customFormat="1" ht="78" customHeight="1">
      <x:c r="A11" s="234" t="inlineStr">
        <x:is>
          <x:t xml:space="preserve">PIPE-07</x:t>
        </x:is>
      </x:c>
      <x:c r="B11" s="234" t="inlineStr">
        <x:is>
          <x:t xml:space="preserve">Detector bias</x:t>
        </x:is>
      </x:c>
      <x:c r="C11" s="234" t="inlineStr">
        <x:is>
          <x:t xml:space="preserve">Pre-filter selection</x:t>
        </x:is>
      </x:c>
      <x:c r="D11" s="234" t="inlineStr">
        <x:is>
          <x:t xml:space="preserve">Area, width, height, aspect, and fill cutoffs are tuned to solid circular marks; irregular, touching, faded, or small marks are excluded before any corpus-level comparison.</x:t>
        </x:is>
      </x:c>
      <x:c r="E11" s="234" t="inlineStr">
        <x:is>
          <x:t xml:space="preserve">extract_components() candidate filter.</x:t>
        </x:is>
      </x:c>
      <x:c r="F11" s="234" t="inlineStr">
        <x:is>
          <x:t xml:space="preserve">For corpus survey, retain every component and classify later; calibrate on labeled controls.</x:t>
        </x:is>
      </x:c>
    </x:row>
    <x:row r="12" s="232" customFormat="1" ht="78" customHeight="1">
      <x:c r="A12" s="234" t="inlineStr">
        <x:is>
          <x:t xml:space="preserve">PIPE-08</x:t>
        </x:is>
      </x:c>
      <x:c r="B12" s="234" t="inlineStr">
        <x:is>
          <x:t xml:space="preserve">Self-test</x:t>
        </x:is>
      </x:c>
      <x:c r="C12" s="234" t="inlineStr">
        <x:is>
          <x:t xml:space="preserve">Pass, limited scope</x:t>
        </x:is>
      </x:c>
      <x:c r="D12" s="234" t="inlineStr">
        <x:is>
          <x:t xml:space="preserve">Synthetic self-test passed for thresholds 40, 60, 80, 100 with five synthetic circles and zero rounded-center error.</x:t>
        </x:is>
      </x:c>
      <x:c r="E12" s="234" t="inlineStr">
        <x:is>
          <x:t xml:space="preserve">Executed during v1.5 audit.</x:t>
        </x:is>
      </x:c>
      <x:c r="F12" s="234" t="inlineStr">
        <x:is>
          <x:t xml:space="preserve">Validates a narrow component-extraction behavior only; not source images, JPEG decoding, ROIs, or cipher relevance.</x:t>
        </x:is>
      </x:c>
    </x:row>
    <x:row r="13" s="232" customFormat="1" ht="78" customHeight="1">
      <x:c r="A13" s="234" t="inlineStr">
        <x:is>
          <x:t xml:space="preserve">PIPE-09</x:t>
        </x:is>
      </x:c>
      <x:c r="B13" s="234" t="inlineStr">
        <x:is>
          <x:t xml:space="preserve">Pixel decoder</x:t>
        </x:is>
      </x:c>
      <x:c r="C13" s="234" t="inlineStr">
        <x:is>
          <x:t xml:space="preserve">Independent cross-check pending</x:t>
        </x:is>
      </x:c>
      <x:c r="D13" s="234" t="inlineStr">
        <x:is>
          <x:t xml:space="preserve">This script uses Pillow Image.convert("L"), whereas recorded centroid sheet attributes values to a separate JavaScript baseline-JPEG luma decoder.</x:t>
        </x:is>
      </x:c>
      <x:c r="E13" s="234" t="inlineStr">
        <x:is>
          <x:t xml:space="preserve">Pillow conversion in run(); Decoder Crosscheck v1.2.</x:t>
        </x:is>
      </x:c>
      <x:c r="F13" s="234" t="inlineStr">
        <x:is>
          <x:t xml:space="preserve">Re-run both decoders on identical verified bytes; compare luma arrays and component centroids.</x:t>
        </x:is>
      </x:c>
    </x:row>
    <x:row r="14" s="232" customFormat="1" ht="78" customHeight="1">
      <x:c r="A14" s="234" t="inlineStr">
        <x:is>
          <x:t xml:space="preserve">PIPE-10</x:t>
        </x:is>
      </x:c>
      <x:c r="B14" s="234" t="inlineStr">
        <x:is>
          <x:t xml:space="preserve">Pairwise function</x:t>
        </x:is>
      </x:c>
      <x:c r="C14" s="234" t="inlineStr">
        <x:is>
          <x:t xml:space="preserve">Input assumptions unchecked</x:t>
        </x:is>
      </x:c>
      <x:c r="D14" s="234" t="inlineStr">
        <x:is>
          <x:t xml:space="preserve">rms_difference() uses zip and would silently truncate mismatched signatures; callers currently expect ten distances from five points.</x:t>
        </x:is>
      </x:c>
      <x:c r="E14" s="234" t="inlineStr">
        <x:is>
          <x:t xml:space="preserve">rms_difference().</x:t>
        </x:is>
      </x:c>
      <x:c r="F14" s="234" t="inlineStr">
        <x:is>
          <x:t xml:space="preserve">Add equal-length assertions and report candidate count before any signature calculation.</x:t>
        </x:is>
      </x:c>
    </x:row>
    <x:row r="15" s="232" customFormat="1" ht="78" customHeight="1">
      <x:c r="A15" s="234" t="inlineStr">
        <x:is>
          <x:t xml:space="preserve">PIPE-11</x:t>
        </x:is>
      </x:c>
      <x:c r="B15" s="234" t="inlineStr">
        <x:is>
          <x:t xml:space="preserve">Output reproducibility</x:t>
        </x:is>
      </x:c>
      <x:c r="C15" s="234" t="inlineStr">
        <x:is>
          <x:t xml:space="preserve">Partial</x:t>
        </x:is>
      </x:c>
      <x:c r="D15" s="234" t="inlineStr">
        <x:is>
          <x:t xml:space="preserve">CSV fields are generated from accepted candidates only; rejected-component evidence and full pixel-decoder settings are absent.</x:t>
        </x:is>
      </x:c>
      <x:c r="E15" s="234" t="inlineStr">
        <x:is>
          <x:t xml:space="preserve">candidate CSV construction.</x:t>
        </x:is>
      </x:c>
      <x:c r="F15" s="234" t="inlineStr">
        <x:is>
          <x:t xml:space="preserve">Store full detector config, software versions, all components, and accepted/rejected reasons.</x:t>
        </x:is>
      </x:c>
    </x:row>
    <x:row r="16" s="232" customFormat="1" ht="78" customHeight="1">
      <x:c r="A16" s="234" t="inlineStr">
        <x:is>
          <x:t xml:space="preserve">PIPE-12</x:t>
        </x:is>
      </x:c>
      <x:c r="B16" s="234" t="inlineStr">
        <x:is>
          <x:t xml:space="preserve">Current research implication</x:t>
        </x:is>
      </x:c>
      <x:c r="C16" s="234" t="inlineStr">
        <x:is>
          <x:t xml:space="preserve">No new cipher evidence</x:t>
        </x:is>
      </x:c>
      <x:c r="D16" s="234" t="inlineStr">
        <x:is>
          <x:t xml:space="preserve">Static review and synthetic self-test do not independently validate the five-dot match, page 57/68 ornament identity, or any cipher relationship.</x:t>
        </x:is>
      </x:c>
      <x:c r="E16" s="234" t="inlineStr">
        <x:is>
          <x:t xml:space="preserve">Scope of this audit.</x:t>
        </x:is>
      </x:c>
      <x:c r="F16" s="234" t="inlineStr">
        <x:is>
          <x:t xml:space="preserve">Next evidence gate remains source-byte acquisition followed by independent decode and blind full-corpus detection.</x:t>
        </x:is>
      </x:c>
    </x:row>
  </x:sheetData>
  <x:pageMargins left="0.7" right="0.7" top="0.75" bottom="0.75" header="0.3" footer="0.3"/>
</x:worksheet>
</file>

<file path=xl/worksheets/sheet3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6" hidden="0" customWidth="1"/>
    <x:col min="2" max="2" width="20" hidden="0" customWidth="1"/>
    <x:col min="3" max="3" width="29" hidden="0" customWidth="1"/>
    <x:col min="4" max="4" width="14" hidden="0" customWidth="1"/>
    <x:col min="5" max="5" width="14" hidden="0" customWidth="1"/>
    <x:col min="6" max="6" width="14" hidden="0" customWidth="1"/>
    <x:col min="7" max="7" width="17" hidden="0" customWidth="1"/>
    <x:col min="8" max="8" width="17" hidden="0" customWidth="1"/>
    <x:col min="9" max="9" width="18" hidden="0" customWidth="1"/>
    <x:col min="10" max="10" width="20" hidden="0" customWidth="1"/>
    <x:col min="11" max="11" width="17" hidden="0" customWidth="1"/>
    <x:col min="12" max="12" width="18" hidden="0" customWidth="1"/>
    <x:col min="13" max="13" width="44" hidden="0" customWidth="1"/>
    <x:col min="14" max="14" width="50" hidden="0" customWidth="1"/>
  </x:cols>
  <x:sheetData>
    <x:row r="1" ht="26" customHeight="1">
      <x:c r="A1" s="471" t="str">
        <x:v>Inherited-coordinate refit — v1.6</x:v>
      </x:c>
      <x:c r="B1" s="471"/>
      <x:c r="C1" s="471"/>
      <x:c r="D1" s="471"/>
      <x:c r="E1" s="471"/>
      <x:c r="F1" s="471"/>
      <x:c r="G1" s="471"/>
      <x:c r="H1" s="471"/>
      <x:c r="I1" s="471"/>
      <x:c r="J1" s="471"/>
      <x:c r="K1" s="471"/>
      <x:c r="L1" s="471"/>
      <x:c r="M1" s="471"/>
      <x:c r="N1" s="471"/>
    </x:row>
    <x:row r="2" ht="42" customHeight="1">
      <x:c r="A2" s="475" t="str">
        <x:v>Independent recomputation of the transforms and signatures from the stored `Pixel Centroids v1.1` sheet. This is a math/provenance check on inherited coordinates only; original JPEG pixels were not processed.</x:v>
      </x:c>
      <x:c r="B2" s="475"/>
      <x:c r="C2" s="475"/>
      <x:c r="D2" s="475"/>
      <x:c r="E2" s="475"/>
      <x:c r="F2" s="475"/>
      <x:c r="G2" s="475"/>
      <x:c r="H2" s="475"/>
      <x:c r="I2" s="475"/>
      <x:c r="J2" s="475"/>
      <x:c r="K2" s="475"/>
      <x:c r="L2" s="475"/>
      <x:c r="M2" s="475"/>
      <x:c r="N2" s="475"/>
    </x:row>
    <x:row r="4">
      <x:c r="A4" s="480" t="str">
        <x:v>Page pair</x:v>
      </x:c>
      <x:c r="B4" s="480" t="str">
        <x:v>Model class</x:v>
      </x:c>
      <x:c r="C4" s="480" t="str">
        <x:v>Source label → target label mapping</x:v>
      </x:c>
      <x:c r="D4" s="480" t="str">
        <x:v>Requested det(R)</x:v>
      </x:c>
      <x:c r="E4" s="480" t="str">
        <x:v>Fitted det(R)</x:v>
      </x:c>
      <x:c r="F4" s="480" t="str">
        <x:v>Scale</x:v>
      </x:c>
      <x:c r="G4" s="480" t="str">
        <x:v>Translation X px</x:v>
      </x:c>
      <x:c r="H4" s="480" t="str">
        <x:v>Translation Y px</x:v>
      </x:c>
      <x:c r="I4" s="480" t="str">
        <x:v>RMS residual px</x:v>
      </x:c>
      <x:c r="J4" s="480" t="str">
        <x:v>Maximum residual px</x:v>
      </x:c>
      <x:c r="K4" s="480" t="str">
        <x:v>Permutations/model</x:v>
      </x:c>
      <x:c r="L4" s="480" t="str">
        <x:v>Fits searched/pair</x:v>
      </x:c>
      <x:c r="M4" s="480" t="str">
        <x:v>Input provenance</x:v>
      </x:c>
      <x:c r="N4" s="480" t="str">
        <x:v>Interpretation limit</x:v>
      </x:c>
    </x:row>
    <x:row r="5">
      <x:c r="A5" s="325" t="str">
        <x:v>24-&gt;40</x:v>
      </x:c>
      <x:c r="B5" s="325" t="str">
        <x:v>proper rotation</x:v>
      </x:c>
      <x:c r="C5" s="325" t="str">
        <x:v>1-&gt;1; 2-&gt;2; 3-&gt;3; 4-&gt;4; 5-&gt;5</x:v>
      </x:c>
      <x:c r="D5" s="325" t="n">
        <x:v>1</x:v>
      </x:c>
      <x:c r="E5" s="325" t="n">
        <x:v>0.9999999999999999</x:v>
      </x:c>
      <x:c r="F5" s="325" t="n">
        <x:v>0.949948735849789</x:v>
      </x:c>
      <x:c r="G5" s="325" t="n">
        <x:v>1918.545143214787</x:v>
      </x:c>
      <x:c r="H5" s="325" t="n">
        <x:v>-2398.5078121699175</x:v>
      </x:c>
      <x:c r="I5" s="325" t="n">
        <x:v>95.4969208578004</x:v>
      </x:c>
      <x:c r="J5" s="325" t="n">
        <x:v>126.56551361994198</x:v>
      </x:c>
      <x:c r="K5" s="325" t="n">
        <x:v>120</x:v>
      </x:c>
      <x:c r="L5" s="325" t="n">
        <x:v>240</x:v>
      </x:c>
      <x:c r="M5" s="325" t="str">
        <x:v>Pixel Centroids v1.1; source-pixel coordinates from workbook</x:v>
      </x:c>
      <x:c r="N5" s="325" t="str">
        <x:v>Refit uses inherited centroid numbers only; not independent image measurement.</x:v>
      </x:c>
    </x:row>
    <x:row r="6">
      <x:c r="A6" s="325" t="str">
        <x:v>24-&gt;40</x:v>
      </x:c>
      <x:c r="B6" s="325" t="str">
        <x:v>reflected</x:v>
      </x:c>
      <x:c r="C6" s="325" t="str">
        <x:v>1-&gt;1; 2-&gt;2; 3-&gt;5; 4-&gt;4; 5-&gt;3</x:v>
      </x:c>
      <x:c r="D6" s="325" t="n">
        <x:v>-1</x:v>
      </x:c>
      <x:c r="E6" s="325" t="n">
        <x:v>-0.9999999999999998</x:v>
      </x:c>
      <x:c r="F6" s="325" t="n">
        <x:v>1.0000209023250348</x:v>
      </x:c>
      <x:c r="G6" s="325" t="n">
        <x:v>-0.20987336158577818</x:v>
      </x:c>
      <x:c r="H6" s="325" t="n">
        <x:v>3674.0080060493606</x:v>
      </x:c>
      <x:c r="I6" s="325" t="n">
        <x:v>0.03113771330418054</x:v>
      </x:c>
      <x:c r="J6" s="325" t="n">
        <x:v>0.05269254735344714</x:v>
      </x:c>
      <x:c r="K6" s="325" t="n">
        <x:v>120</x:v>
      </x:c>
      <x:c r="L6" s="325" t="n">
        <x:v>240</x:v>
      </x:c>
      <x:c r="M6" s="325" t="str">
        <x:v>Pixel Centroids v1.1; source-pixel coordinates from workbook</x:v>
      </x:c>
      <x:c r="N6" s="325" t="str">
        <x:v>Refit uses inherited centroid numbers only; not independent image measurement.</x:v>
      </x:c>
    </x:row>
    <x:row r="7">
      <x:c r="A7" s="325" t="str">
        <x:v>24-&gt;73</x:v>
      </x:c>
      <x:c r="B7" s="325" t="str">
        <x:v>proper rotation</x:v>
      </x:c>
      <x:c r="C7" s="325" t="str">
        <x:v>1-&gt;4; 2-&gt;5; 3-&gt;1; 4-&gt;2; 5-&gt;3</x:v>
      </x:c>
      <x:c r="D7" s="325" t="n">
        <x:v>1</x:v>
      </x:c>
      <x:c r="E7" s="325" t="n">
        <x:v>1</x:v>
      </x:c>
      <x:c r="F7" s="325" t="n">
        <x:v>0.9502994356802461</x:v>
      </x:c>
      <x:c r="G7" s="325" t="n">
        <x:v>481.8360521777819</x:v>
      </x:c>
      <x:c r="H7" s="325" t="n">
        <x:v>5654.290747095664</x:v>
      </x:c>
      <x:c r="I7" s="325" t="n">
        <x:v>95.57240549772266</x:v>
      </x:c>
      <x:c r="J7" s="325" t="n">
        <x:v>126.61186637404164</x:v>
      </x:c>
      <x:c r="K7" s="325" t="n">
        <x:v>120</x:v>
      </x:c>
      <x:c r="L7" s="325" t="n">
        <x:v>240</x:v>
      </x:c>
      <x:c r="M7" s="325" t="str">
        <x:v>Pixel Centroids v1.1; source-pixel coordinates from workbook</x:v>
      </x:c>
      <x:c r="N7" s="325" t="str">
        <x:v>Refit uses inherited centroid numbers only; not independent image measurement.</x:v>
      </x:c>
    </x:row>
    <x:row r="8">
      <x:c r="A8" s="325" t="str">
        <x:v>24-&gt;73</x:v>
      </x:c>
      <x:c r="B8" s="325" t="str">
        <x:v>reflected</x:v>
      </x:c>
      <x:c r="C8" s="325" t="str">
        <x:v>1-&gt;4; 2-&gt;5; 3-&gt;3; 4-&gt;2; 5-&gt;1</x:v>
      </x:c>
      <x:c r="D8" s="325" t="n">
        <x:v>-1</x:v>
      </x:c>
      <x:c r="E8" s="325" t="n">
        <x:v>-1</x:v>
      </x:c>
      <x:c r="F8" s="325" t="n">
        <x:v>1.0004310035888802</x:v>
      </x:c>
      <x:c r="G8" s="325" t="n">
        <x:v>2401.4140163252187</x:v>
      </x:c>
      <x:c r="H8" s="325" t="n">
        <x:v>-420.5632457460242</x:v>
      </x:c>
      <x:c r="I8" s="325" t="n">
        <x:v>0.20642907963178406</x:v>
      </x:c>
      <x:c r="J8" s="325" t="n">
        <x:v>0.28824471704643206</x:v>
      </x:c>
      <x:c r="K8" s="325" t="n">
        <x:v>120</x:v>
      </x:c>
      <x:c r="L8" s="325" t="n">
        <x:v>240</x:v>
      </x:c>
      <x:c r="M8" s="325" t="str">
        <x:v>Pixel Centroids v1.1; source-pixel coordinates from workbook</x:v>
      </x:c>
      <x:c r="N8" s="325" t="str">
        <x:v>Refit uses inherited centroid numbers only; not independent image measurement.</x:v>
      </x:c>
    </x:row>
    <x:row r="9">
      <x:c r="A9" s="325" t="str">
        <x:v>40-&gt;73</x:v>
      </x:c>
      <x:c r="B9" s="325" t="str">
        <x:v>proper rotation</x:v>
      </x:c>
      <x:c r="C9" s="325" t="str">
        <x:v>1-&gt;4; 2-&gt;5; 3-&gt;1; 4-&gt;2; 5-&gt;3</x:v>
      </x:c>
      <x:c r="D9" s="325" t="n">
        <x:v>1</x:v>
      </x:c>
      <x:c r="E9" s="325" t="n">
        <x:v>1.0000000000000002</x:v>
      </x:c>
      <x:c r="F9" s="325" t="n">
        <x:v>1.00041002799585</x:v>
      </x:c>
      <x:c r="G9" s="325" t="n">
        <x:v>2401.110686585217</x:v>
      </x:c>
      <x:c r="H9" s="325" t="n">
        <x:v>3254.9513764517496</x:v>
      </x:c>
      <x:c r="I9" s="325" t="n">
        <x:v>0.23180491132032746</x:v>
      </x:c>
      <x:c r="J9" s="325" t="n">
        <x:v>0.3390072980331133</x:v>
      </x:c>
      <x:c r="K9" s="325" t="n">
        <x:v>120</x:v>
      </x:c>
      <x:c r="L9" s="325" t="n">
        <x:v>240</x:v>
      </x:c>
      <x:c r="M9" s="325" t="str">
        <x:v>Pixel Centroids v1.1; source-pixel coordinates from workbook</x:v>
      </x:c>
      <x:c r="N9" s="325" t="str">
        <x:v>Refit uses inherited centroid numbers only; not independent image measurement.</x:v>
      </x:c>
    </x:row>
    <x:row r="10">
      <x:c r="A10" s="325" t="str">
        <x:v>40-&gt;73</x:v>
      </x:c>
      <x:c r="B10" s="325" t="str">
        <x:v>reflected</x:v>
      </x:c>
      <x:c r="C10" s="325" t="str">
        <x:v>1-&gt;4; 2-&gt;5; 3-&gt;3; 4-&gt;2; 5-&gt;1</x:v>
      </x:c>
      <x:c r="D10" s="325" t="n">
        <x:v>-1</x:v>
      </x:c>
      <x:c r="E10" s="325" t="n">
        <x:v>-1.0000000000000002</x:v>
      </x:c>
      <x:c r="F10" s="325" t="n">
        <x:v>0.9502779390278133</x:v>
      </x:c>
      <x:c r="G10" s="325" t="n">
        <x:v>2476.3513372180923</x:v>
      </x:c>
      <x:c r="H10" s="325" t="n">
        <x:v>2788.7564446751994</x:v>
      </x:c>
      <x:c r="I10" s="325" t="n">
        <x:v>95.57391808426688</x:v>
      </x:c>
      <x:c r="J10" s="325" t="n">
        <x:v>126.62097641982771</x:v>
      </x:c>
      <x:c r="K10" s="325" t="n">
        <x:v>120</x:v>
      </x:c>
      <x:c r="L10" s="325" t="n">
        <x:v>240</x:v>
      </x:c>
      <x:c r="M10" s="325" t="str">
        <x:v>Pixel Centroids v1.1; source-pixel coordinates from workbook</x:v>
      </x:c>
      <x:c r="N10" s="325" t="str">
        <x:v>Refit uses inherited centroid numbers only; not independent image measurement.</x:v>
      </x:c>
    </x:row>
    <x:row r="12">
      <x:c r="A12" s="485" t="str">
        <x:v>Normalized signature comparison — inherited centroids</x:v>
      </x:c>
      <x:c r="B12" s="485"/>
      <x:c r="C12" s="485"/>
      <x:c r="D12" s="485"/>
      <x:c r="E12" s="485"/>
      <x:c r="F12" s="485"/>
    </x:row>
    <x:row r="13">
      <x:c r="A13" s="480" t="str">
        <x:v>Page pair</x:v>
      </x:c>
      <x:c r="B13" s="480" t="str">
        <x:v>RMS difference of normalized sorted distances</x:v>
      </x:c>
      <x:c r="C13" s="480" t="str">
        <x:v>Page A RMS pair distance px</x:v>
      </x:c>
      <x:c r="D13" s="480" t="str">
        <x:v>Page B RMS pair distance px</x:v>
      </x:c>
      <x:c r="E13" s="480" t="str">
        <x:v>Normalization</x:v>
      </x:c>
      <x:c r="F13" s="480" t="str">
        <x:v>Interpretation limit</x:v>
      </x:c>
    </x:row>
    <x:row r="14">
      <x:c r="A14" s="325" t="str">
        <x:v>24-40</x:v>
      </x:c>
      <x:c r="B14" s="325" t="n">
        <x:v>0.00006364689830712701</x:v>
      </x:c>
      <x:c r="C14" s="325" t="n">
        <x:v>483.2225959166935</x:v>
      </x:c>
      <x:c r="D14" s="325" t="n">
        <x:v>483.23269890045515</x:v>
      </x:c>
      <x:c r="E14" s="325" t="str">
        <x:v>Sorted ten pairwise distances, normalized by within-group RMS distance.</x:v>
      </x:c>
      <x:c r="F14" s="325" t="str">
        <x:v>Inherited centroid coordinates; descriptive only, no inferential p-value.</x:v>
      </x:c>
    </x:row>
    <x:row r="15">
      <x:c r="A15" s="325" t="str">
        <x:v>24-73</x:v>
      </x:c>
      <x:c r="B15" s="325" t="n">
        <x:v>0.00048502383330336046</x:v>
      </x:c>
      <x:c r="C15" s="325" t="n">
        <x:v>483.2225959166935</x:v>
      </x:c>
      <x:c r="D15" s="325" t="n">
        <x:v>483.4309767734583</x:v>
      </x:c>
      <x:c r="E15" s="325" t="str">
        <x:v>Sorted ten pairwise distances, normalized by within-group RMS distance.</x:v>
      </x:c>
      <x:c r="F15" s="325" t="str">
        <x:v>Inherited centroid coordinates; descriptive only, no inferential p-value.</x:v>
      </x:c>
    </x:row>
    <x:row r="16">
      <x:c r="A16" s="325" t="str">
        <x:v>40-73</x:v>
      </x:c>
      <x:c r="B16" s="325" t="n">
        <x:v>0.0005306005632708764</x:v>
      </x:c>
      <x:c r="C16" s="325" t="n">
        <x:v>483.23269890045515</x:v>
      </x:c>
      <x:c r="D16" s="325" t="n">
        <x:v>483.4309767734583</x:v>
      </x:c>
      <x:c r="E16" s="325" t="str">
        <x:v>Sorted ten pairwise distances, normalized by within-group RMS distance.</x:v>
      </x:c>
      <x:c r="F16" s="325" t="str">
        <x:v>Inherited centroid coordinates; descriptive only, no inferential p-value.</x:v>
      </x:c>
    </x:row>
    <x:row r="20">
      <x:c r="A20" s="485" t="str">
        <x:v>Best-fit point residuals — in-sample; source labels are workbook labels, target labels reflect searched correspondence</x:v>
      </x:c>
      <x:c r="B20" s="485"/>
      <x:c r="C20" s="485"/>
      <x:c r="D20" s="485"/>
      <x:c r="E20" s="485"/>
      <x:c r="F20" s="485"/>
      <x:c r="G20" s="485"/>
      <x:c r="H20" s="485"/>
      <x:c r="I20" s="485"/>
      <x:c r="J20" s="485"/>
      <x:c r="K20" s="485"/>
    </x:row>
    <x:row r="21">
      <x:c r="A21" s="480" t="str">
        <x:v>Page pair</x:v>
      </x:c>
      <x:c r="B21" s="480" t="str">
        <x:v>Model class</x:v>
      </x:c>
      <x:c r="C21" s="480" t="str">
        <x:v>Source label</x:v>
      </x:c>
      <x:c r="D21" s="480" t="str">
        <x:v>Target label</x:v>
      </x:c>
      <x:c r="E21" s="480" t="str">
        <x:v>Source X px</x:v>
      </x:c>
      <x:c r="F21" s="480" t="str">
        <x:v>Source Y px</x:v>
      </x:c>
      <x:c r="G21" s="480" t="str">
        <x:v>Target X px</x:v>
      </x:c>
      <x:c r="H21" s="480" t="str">
        <x:v>Target Y px</x:v>
      </x:c>
      <x:c r="I21" s="480" t="str">
        <x:v>Fitted target X px</x:v>
      </x:c>
      <x:c r="J21" s="480" t="str">
        <x:v>Fitted target Y px</x:v>
      </x:c>
      <x:c r="K21" s="480" t="str">
        <x:v>Residual px</x:v>
      </x:c>
    </x:row>
    <x:row r="22">
      <x:c r="A22" s="325" t="str">
        <x:v>24-&gt;40</x:v>
      </x:c>
      <x:c r="B22" s="325" t="str">
        <x:v>reflected</x:v>
      </x:c>
      <x:c r="C22" s="325" t="n">
        <x:v>1</x:v>
      </x:c>
      <x:c r="D22" s="325" t="n">
        <x:v>1</x:v>
      </x:c>
      <x:c r="E22" s="325" t="n">
        <x:v>796.9413</x:v>
      </x:c>
      <x:c r="F22" s="325" t="n">
        <x:v>3105.7733</x:v>
      </x:c>
      <x:c r="G22" s="325" t="n">
        <x:v>796.9413</x:v>
      </x:c>
      <x:c r="H22" s="325" t="n">
        <x:v>568.2267</x:v>
      </x:c>
      <x:c r="I22" s="325" t="n">
        <x:v>796.9365445777966</x:v>
      </x:c>
      <x:c r="J22" s="325" t="n">
        <x:v>568.2181530923417</x:v>
      </x:c>
      <x:c r="K22" s="325" t="n">
        <x:v>0.009780780687288734</x:v>
      </x:c>
    </x:row>
    <x:row r="23">
      <x:c r="A23" s="325" t="str">
        <x:v>24-&gt;40</x:v>
      </x:c>
      <x:c r="B23" s="325" t="str">
        <x:v>reflected</x:v>
      </x:c>
      <x:c r="C23" s="325" t="n">
        <x:v>2</x:v>
      </x:c>
      <x:c r="D23" s="325" t="n">
        <x:v>2</x:v>
      </x:c>
      <x:c r="E23" s="325" t="n">
        <x:v>992.5</x:v>
      </x:c>
      <x:c r="F23" s="325" t="n">
        <x:v>3166.6371</x:v>
      </x:c>
      <x:c r="G23" s="325" t="n">
        <x:v>992.5</x:v>
      </x:c>
      <x:c r="H23" s="325" t="n">
        <x:v>507.3629</x:v>
      </x:c>
      <x:c r="I23" s="325" t="n">
        <x:v>992.5030251265182</x:v>
      </x:c>
      <x:c r="J23" s="325" t="n">
        <x:v>507.36494771014395</x:v>
      </x:c>
      <x:c r="K23" s="325" t="n">
        <x:v>0.003653013452566751</x:v>
      </x:c>
    </x:row>
    <x:row r="24">
      <x:c r="A24" s="325" t="str">
        <x:v>24-&gt;40</x:v>
      </x:c>
      <x:c r="B24" s="325" t="str">
        <x:v>reflected</x:v>
      </x:c>
      <x:c r="C24" s="325" t="n">
        <x:v>3</x:v>
      </x:c>
      <x:c r="D24" s="325" t="n">
        <x:v>5</x:v>
      </x:c>
      <x:c r="E24" s="325" t="n">
        <x:v>1479.2647</x:v>
      </x:c>
      <x:c r="F24" s="325" t="n">
        <x:v>3127.5</x:v>
      </x:c>
      <x:c r="G24" s="325" t="n">
        <x:v>1479.2647</x:v>
      </x:c>
      <x:c r="H24" s="325" t="n">
        <x:v>546.5</x:v>
      </x:c>
      <x:c r="I24" s="325" t="n">
        <x:v>1479.2755238653265</x:v>
      </x:c>
      <x:c r="J24" s="325" t="n">
        <x:v>546.5324030712122</x:v>
      </x:c>
      <x:c r="K24" s="325" t="n">
        <x:v>0.03416306608885749</x:v>
      </x:c>
    </x:row>
    <x:row r="25">
      <x:c r="A25" s="325" t="str">
        <x:v>24-&gt;40</x:v>
      </x:c>
      <x:c r="B25" s="325" t="str">
        <x:v>reflected</x:v>
      </x:c>
      <x:c r="C25" s="325" t="n">
        <x:v>4</x:v>
      </x:c>
      <x:c r="D25" s="325" t="n">
        <x:v>4</x:v>
      </x:c>
      <x:c r="E25" s="325" t="n">
        <x:v>1527.1531</x:v>
      </x:c>
      <x:c r="F25" s="325" t="n">
        <x:v>2936.1531</x:v>
      </x:c>
      <x:c r="G25" s="325" t="n">
        <x:v>1527.1536</x:v>
      </x:c>
      <x:c r="H25" s="325" t="n">
        <x:v>737.9389</x:v>
      </x:c>
      <x:c r="I25" s="325" t="n">
        <x:v>1527.1533136316891</x:v>
      </x:c>
      <x:c r="J25" s="325" t="n">
        <x:v>737.8862082308156</x:v>
      </x:c>
      <x:c r="K25" s="325" t="n">
        <x:v>0.05269254735344714</x:v>
      </x:c>
    </x:row>
    <x:row r="26">
      <x:c r="A26" s="325" t="str">
        <x:v>24-&gt;40</x:v>
      </x:c>
      <x:c r="B26" s="325" t="str">
        <x:v>reflected</x:v>
      </x:c>
      <x:c r="C26" s="325" t="n">
        <x:v>5</x:v>
      </x:c>
      <x:c r="D26" s="325" t="n">
        <x:v>3</x:v>
      </x:c>
      <x:c r="E26" s="325" t="n">
        <x:v>1296.9315</x:v>
      </x:c>
      <x:c r="F26" s="325" t="n">
        <x:v>2866.7889</x:v>
      </x:c>
      <x:c r="G26" s="325" t="n">
        <x:v>1296.9315</x:v>
      </x:c>
      <x:c r="H26" s="325" t="n">
        <x:v>807.2111</x:v>
      </x:c>
      <x:c r="I26" s="325" t="n">
        <x:v>1296.9226927986697</x:v>
      </x:c>
      <x:c r="J26" s="325" t="n">
        <x:v>807.2378878954842</x:v>
      </x:c>
      <x:c r="K26" s="325" t="n">
        <x:v>0.028198548539638022</x:v>
      </x:c>
    </x:row>
    <x:row r="27">
      <x:c r="A27" s="325" t="str">
        <x:v>24-&gt;73</x:v>
      </x:c>
      <x:c r="B27" s="325" t="str">
        <x:v>reflected</x:v>
      </x:c>
      <x:c r="C27" s="325" t="n">
        <x:v>1</x:v>
      </x:c>
      <x:c r="D27" s="325" t="n">
        <x:v>4</x:v>
      </x:c>
      <x:c r="E27" s="325" t="n">
        <x:v>796.9413</x:v>
      </x:c>
      <x:c r="F27" s="325" t="n">
        <x:v>3105.7733</x:v>
      </x:c>
      <x:c r="G27" s="325" t="n">
        <x:v>1603.9264</x:v>
      </x:c>
      <x:c r="H27" s="325" t="n">
        <x:v>2686.5</x:v>
      </x:c>
      <x:c r="I27" s="325" t="n">
        <x:v>1603.861822734692</x:v>
      </x:c>
      <x:c r="J27" s="325" t="n">
        <x:v>2686.4800242814667</x:v>
      </x:c>
      <x:c r="K27" s="325" t="n">
        <x:v>0.0675962463868736</x:v>
      </x:c>
    </x:row>
    <x:row r="28">
      <x:c r="A28" s="325" t="str">
        <x:v>24-&gt;73</x:v>
      </x:c>
      <x:c r="B28" s="325" t="str">
        <x:v>reflected</x:v>
      </x:c>
      <x:c r="C28" s="325" t="n">
        <x:v>2</x:v>
      </x:c>
      <x:c r="D28" s="325" t="n">
        <x:v>5</x:v>
      </x:c>
      <x:c r="E28" s="325" t="n">
        <x:v>992.5</x:v>
      </x:c>
      <x:c r="F28" s="325" t="n">
        <x:v>3166.6371</x:v>
      </x:c>
      <x:c r="G28" s="325" t="n">
        <x:v>1408.0659</x:v>
      </x:c>
      <x:c r="H28" s="325" t="n">
        <x:v>2747.2819</x:v>
      </x:c>
      <x:c r="I28" s="325" t="n">
        <x:v>1408.2135964884887</x:v>
      </x:c>
      <x:c r="J28" s="325" t="n">
        <x:v>2747.353218659476</x:v>
      </x:c>
      <x:c r="K28" s="325" t="n">
        <x:v>0.16401403568406872</x:v>
      </x:c>
    </x:row>
    <x:row r="29">
      <x:c r="A29" s="325" t="str">
        <x:v>24-&gt;73</x:v>
      </x:c>
      <x:c r="B29" s="325" t="str">
        <x:v>reflected</x:v>
      </x:c>
      <x:c r="C29" s="325" t="n">
        <x:v>3</x:v>
      </x:c>
      <x:c r="D29" s="325" t="n">
        <x:v>3</x:v>
      </x:c>
      <x:c r="E29" s="325" t="n">
        <x:v>1479.2647</x:v>
      </x:c>
      <x:c r="F29" s="325" t="n">
        <x:v>3127.5</x:v>
      </x:c>
      <x:c r="G29" s="325" t="n">
        <x:v>921.1536</x:v>
      </x:c>
      <x:c r="H29" s="325" t="n">
        <x:v>2708.0611</x:v>
      </x:c>
      <x:c r="I29" s="325" t="n">
        <x:v>921.2424707254609</x:v>
      </x:c>
      <x:c r="J29" s="325" t="n">
        <x:v>2708.1573393650096</x:v>
      </x:c>
      <x:c r="K29" s="325" t="n">
        <x:v>0.13099626415063526</x:v>
      </x:c>
    </x:row>
    <x:row r="30">
      <x:c r="A30" s="325" t="str">
        <x:v>24-&gt;73</x:v>
      </x:c>
      <x:c r="B30" s="325" t="str">
        <x:v>reflected</x:v>
      </x:c>
      <x:c r="C30" s="325" t="n">
        <x:v>4</x:v>
      </x:c>
      <x:c r="D30" s="325" t="n">
        <x:v>2</x:v>
      </x:c>
      <x:c r="E30" s="325" t="n">
        <x:v>1527.1531</x:v>
      </x:c>
      <x:c r="F30" s="325" t="n">
        <x:v>2936.1531</x:v>
      </x:c>
      <x:c r="G30" s="325" t="n">
        <x:v>873.2673</x:v>
      </x:c>
      <x:c r="H30" s="325" t="n">
        <x:v>2517</x:v>
      </x:c>
      <x:c r="I30" s="325" t="n">
        <x:v>873.349906100716</x:v>
      </x:c>
      <x:c r="J30" s="325" t="n">
        <x:v>2516.7238456065356</x:v>
      </x:c>
      <x:c r="K30" s="325" t="n">
        <x:v>0.28824471704643206</x:v>
      </x:c>
    </x:row>
    <x:row r="31">
      <x:c r="A31" s="325" t="str">
        <x:v>24-&gt;73</x:v>
      </x:c>
      <x:c r="B31" s="325" t="str">
        <x:v>reflected</x:v>
      </x:c>
      <x:c r="C31" s="325" t="n">
        <x:v>5</x:v>
      </x:c>
      <x:c r="D31" s="325" t="n">
        <x:v>1</x:v>
      </x:c>
      <x:c r="E31" s="325" t="n">
        <x:v>1296.9315</x:v>
      </x:c>
      <x:c r="F31" s="325" t="n">
        <x:v>2866.7889</x:v>
      </x:c>
      <x:c r="G31" s="325" t="n">
        <x:v>1103.9313</x:v>
      </x:c>
      <x:c r="H31" s="325" t="n">
        <x:v>2447.221</x:v>
      </x:c>
      <x:c r="I31" s="325" t="n">
        <x:v>1103.6767039506449</x:v>
      </x:c>
      <x:c r="J31" s="325" t="n">
        <x:v>2447.3495720875126</x:v>
      </x:c>
      <x:c r="K31" s="325" t="n">
        <x:v>0.2852190912869555</x:v>
      </x:c>
    </x:row>
    <x:row r="32">
      <x:c r="A32" s="325" t="str">
        <x:v>40-&gt;73</x:v>
      </x:c>
      <x:c r="B32" s="325" t="str">
        <x:v>proper rotation</x:v>
      </x:c>
      <x:c r="C32" s="325" t="n">
        <x:v>1</x:v>
      </x:c>
      <x:c r="D32" s="325" t="n">
        <x:v>4</x:v>
      </x:c>
      <x:c r="E32" s="325" t="n">
        <x:v>796.9413</x:v>
      </x:c>
      <x:c r="F32" s="325" t="n">
        <x:v>568.2267</x:v>
      </x:c>
      <x:c r="G32" s="325" t="n">
        <x:v>1603.9264</x:v>
      </x:c>
      <x:c r="H32" s="325" t="n">
        <x:v>2686.5</x:v>
      </x:c>
      <x:c r="I32" s="325" t="n">
        <x:v>1603.8570393832001</x:v>
      </x:c>
      <x:c r="J32" s="325" t="n">
        <x:v>2686.471462542919</x:v>
      </x:c>
      <x:c r="K32" s="325" t="n">
        <x:v>0.07500187743988009</x:v>
      </x:c>
    </x:row>
    <x:row r="33">
      <x:c r="A33" s="325" t="str">
        <x:v>40-&gt;73</x:v>
      </x:c>
      <x:c r="B33" s="325" t="str">
        <x:v>proper rotation</x:v>
      </x:c>
      <x:c r="C33" s="325" t="n">
        <x:v>2</x:v>
      </x:c>
      <x:c r="D33" s="325" t="n">
        <x:v>5</x:v>
      </x:c>
      <x:c r="E33" s="325" t="n">
        <x:v>992.5</x:v>
      </x:c>
      <x:c r="F33" s="325" t="n">
        <x:v>507.3629</x:v>
      </x:c>
      <x:c r="G33" s="325" t="n">
        <x:v>1408.0659</x:v>
      </x:c>
      <x:c r="H33" s="325" t="n">
        <x:v>2747.2819</x:v>
      </x:c>
      <x:c r="I33" s="325" t="n">
        <x:v>1408.2166102676379</x:v>
      </x:c>
      <x:c r="J33" s="325" t="n">
        <x:v>2747.3552553835852</x:v>
      </x:c>
      <x:c r="K33" s="325" t="n">
        <x:v>0.16761442978575747</x:v>
      </x:c>
    </x:row>
    <x:row r="34">
      <x:c r="A34" s="325" t="str">
        <x:v>40-&gt;73</x:v>
      </x:c>
      <x:c r="B34" s="325" t="str">
        <x:v>proper rotation</x:v>
      </x:c>
      <x:c r="C34" s="325" t="n">
        <x:v>3</x:v>
      </x:c>
      <x:c r="D34" s="325" t="n">
        <x:v>1</x:v>
      </x:c>
      <x:c r="E34" s="325" t="n">
        <x:v>1296.9315</x:v>
      </x:c>
      <x:c r="F34" s="325" t="n">
        <x:v>807.2111</x:v>
      </x:c>
      <x:c r="G34" s="325" t="n">
        <x:v>1103.9313</x:v>
      </x:c>
      <x:c r="H34" s="325" t="n">
        <x:v>2447.221</x:v>
      </x:c>
      <x:c r="I34" s="325" t="n">
        <x:v>1103.6678946486782</x:v>
      </x:c>
      <x:c r="J34" s="325" t="n">
        <x:v>2447.376383285106</x:v>
      </x:c>
      <x:c r="K34" s="325" t="n">
        <x:v>0.30582077168706956</x:v>
      </x:c>
    </x:row>
    <x:row r="35">
      <x:c r="A35" s="325" t="str">
        <x:v>40-&gt;73</x:v>
      </x:c>
      <x:c r="B35" s="325" t="str">
        <x:v>proper rotation</x:v>
      </x:c>
      <x:c r="C35" s="325" t="n">
        <x:v>4</x:v>
      </x:c>
      <x:c r="D35" s="325" t="n">
        <x:v>2</x:v>
      </x:c>
      <x:c r="E35" s="325" t="n">
        <x:v>1527.1536</x:v>
      </x:c>
      <x:c r="F35" s="325" t="n">
        <x:v>737.9389</x:v>
      </x:c>
      <x:c r="G35" s="325" t="n">
        <x:v>873.2673</x:v>
      </x:c>
      <x:c r="H35" s="325" t="n">
        <x:v>2517</x:v>
      </x:c>
      <x:c r="I35" s="325" t="n">
        <x:v>873.3496391866092</x:v>
      </x:c>
      <x:c r="J35" s="325" t="n">
        <x:v>2516.6711440946733</x:v>
      </x:c>
      <x:c r="K35" s="325" t="n">
        <x:v>0.3390072980331133</x:v>
      </x:c>
    </x:row>
    <x:row r="36">
      <x:c r="A36" s="325" t="str">
        <x:v>40-&gt;73</x:v>
      </x:c>
      <x:c r="B36" s="325" t="str">
        <x:v>proper rotation</x:v>
      </x:c>
      <x:c r="C36" s="325" t="n">
        <x:v>5</x:v>
      </x:c>
      <x:c r="D36" s="325" t="n">
        <x:v>3</x:v>
      </x:c>
      <x:c r="E36" s="325" t="n">
        <x:v>1479.2647</x:v>
      </x:c>
      <x:c r="F36" s="325" t="n">
        <x:v>546.5</x:v>
      </x:c>
      <x:c r="G36" s="325" t="n">
        <x:v>921.1536</x:v>
      </x:c>
      <x:c r="H36" s="325" t="n">
        <x:v>2708.0611</x:v>
      </x:c>
      <x:c r="I36" s="325" t="n">
        <x:v>921.2533165138736</x:v>
      </x:c>
      <x:c r="J36" s="325" t="n">
        <x:v>2708.1897546937157</x:v>
      </x:c>
      <x:c r="K36" s="325" t="n">
        <x:v>0.1627741175808555</x:v>
      </x:c>
    </x:row>
  </x:sheetData>
  <x:mergeCells>
    <x:mergeCell ref="A1:N1"/>
    <x:mergeCell ref="A2:N2"/>
  </x:mergeCells>
  <x:pageMargins left="0.7" right="0.7" top="0.75" bottom="0.75" header="0.3" footer="0.3"/>
</x:worksheet>
</file>

<file path=xl/worksheets/sheet3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30" hidden="0" customWidth="1"/>
    <x:col min="3" max="3" width="52" hidden="0" customWidth="1"/>
    <x:col min="4" max="4" width="70" hidden="0" customWidth="1"/>
    <x:col min="5" max="5" width="24" hidden="0" customWidth="1"/>
    <x:col min="6" max="6" width="54" hidden="0" customWidth="1"/>
  </x:cols>
  <x:sheetData>
    <x:row r="1" ht="26" customHeight="1">
      <x:c r="A1" s="471" t="str">
        <x:v>Source-image acquisition status — v1.6</x:v>
      </x:c>
      <x:c r="B1" s="471"/>
      <x:c r="C1" s="471"/>
      <x:c r="D1" s="471"/>
      <x:c r="E1" s="471"/>
      <x:c r="F1" s="471"/>
    </x:row>
    <x:row r="2" ht="45" customHeight="1">
      <x:c r="A2" s="475" t="str">
        <x:v>The repository directory metadata was retrieved through the GitHub connector, but exact image bytes were not written into this local runtime. Direct raw-image retrieval failed on DNS resolution; no pixel-level remeasurement is claimed.</x:v>
      </x:c>
      <x:c r="B2" s="475"/>
      <x:c r="C2" s="475"/>
      <x:c r="D2" s="475"/>
      <x:c r="E2" s="475"/>
      <x:c r="F2" s="475"/>
    </x:row>
    <x:row r="4">
      <x:c r="A4" s="480" t="str">
        <x:v>Date</x:v>
      </x:c>
      <x:c r="B4" s="480" t="str">
        <x:v>Step / source</x:v>
      </x:c>
      <x:c r="C4" s="480" t="str">
        <x:v>Observed result</x:v>
      </x:c>
      <x:c r="D4" s="480" t="str">
        <x:v>Evidence / details</x:v>
      </x:c>
      <x:c r="E4" s="480" t="str">
        <x:v>Status</x:v>
      </x:c>
      <x:c r="F4" s="480" t="str">
        <x:v>What this establishes</x:v>
      </x:c>
    </x:row>
    <x:row r="5" ht="56" customHeight="1">
      <x:c r="A5" s="325" t="str">
        <x:v>2026-10-10</x:v>
      </x:c>
      <x:c r="B5" s="325" t="str">
        <x:v>Local runtime check</x:v>
      </x:c>
      <x:c r="C5" s="325" t="str">
        <x:v>Only project artifacts were initially mounted; v1.5 artifacts were then materialized from the Library.</x:v>
      </x:c>
      <x:c r="D5" s="325" t="str">
        <x:v>Workbook 186,221 bytes; source manifest 18,479 bytes; audit script 11,861 bytes; audit JSON 6,262 bytes; report 4,841 bytes.</x:v>
      </x:c>
      <x:c r="E5" s="325" t="str">
        <x:v>Completed</x:v>
      </x:c>
      <x:c r="F5" s="325" t="str">
        <x:v>The project context files are present and inspectable.</x:v>
      </x:c>
    </x:row>
    <x:row r="6" ht="56" customHeight="1">
      <x:c r="A6" s="325" t="str">
        <x:v>2026-10-10</x:v>
      </x:c>
      <x:c r="B6" s="325" t="str">
        <x:v>GitHub directory inventory</x:v>
      </x:c>
      <x:c r="C6" s="325" t="str">
        <x:v>Entries found for pages 24, 39, 40, 50, 56, 57, 68, and 73 in source directory metadata.</x:v>
      </x:c>
      <x:c r="D6" s="325" t="str">
        <x:v>https://github.com/scream314/cicada3301/tree/master/assets/2014/liber-primus-complete</x:v>
      </x:c>
      <x:c r="E6" s="325" t="str">
        <x:v>Metadata retrieved</x:v>
      </x:c>
      <x:c r="F6" s="325" t="str">
        <x:v>The listed Git blob identifiers are returned by GitHub metadata; they are not freshly computed from local bytes.</x:v>
      </x:c>
    </x:row>
    <x:row r="7" ht="56" customHeight="1">
      <x:c r="A7" s="325" t="str">
        <x:v>2026-10-10</x:v>
      </x:c>
      <x:c r="B7" s="325" t="str">
        <x:v>Page 24 raw download in local runtime</x:v>
      </x:c>
      <x:c r="C7" s="325" t="str">
        <x:v>Failed: `curl: (6) Could not resolve host: raw.githubusercontent.com`.</x:v>
      </x:c>
      <x:c r="D7" s="325" t="str">
        <x:v>Attempted `curl -L --fail --max-time 15` against the repository raw page URL; output file was not created.</x:v>
      </x:c>
      <x:c r="E7" s="325" t="str">
        <x:v>Blocked</x:v>
      </x:c>
      <x:c r="F7" s="325" t="str">
        <x:v>The runtime cannot resolve the source host; no local JPEG was acquired by this route.</x:v>
      </x:c>
    </x:row>
    <x:row r="8" ht="56" customHeight="1">
      <x:c r="A8" s="325" t="str">
        <x:v>2026-10-10</x:v>
      </x:c>
      <x:c r="B8" s="325" t="str">
        <x:v>Page 24 via GitHub connector</x:v>
      </x:c>
      <x:c r="C8" s="325" t="str">
        <x:v>Base64 content was returned by the connector but not transferred into the local pixel-analysis filesystem.</x:v>
      </x:c>
      <x:c r="D8" s="325" t="str">
        <x:v>GitHub `fetch_file` on `assets/2014/liber-primus-complete/24.jpg`, encoding `base64`.</x:v>
      </x:c>
      <x:c r="E8" s="325" t="str">
        <x:v>Partial / not pixel-usable</x:v>
      </x:c>
      <x:c r="F8" s="325" t="str">
        <x:v>Connector response is not the same as locally decoding and measuring the bytes.</x:v>
      </x:c>
    </x:row>
    <x:row r="9" ht="56" customHeight="1">
      <x:c r="A9" s="325" t="str">
        <x:v>2026-10-10</x:v>
      </x:c>
      <x:c r="B9" s="325" t="str">
        <x:v>Centroid and source SHA reconciliation</x:v>
      </x:c>
      <x:c r="C9" s="325" t="str">
        <x:v>The inherited source blob IDs for pages 24, 40, and 73 match the IDs in current GitHub directory metadata.</x:v>
      </x:c>
      <x:c r="D9" s="325" t="str">
        <x:v>24: 2b4e09dbad1a9c602a2919864b1a84f49d7ff501; 40: feee4eed2a4f6d66456ff5a977f43c7ef297f8eb; 73: afa3428764199ddf590baf0c055c8caedc079cb1.</x:v>
      </x:c>
      <x:c r="E9" s="325" t="str">
        <x:v>Metadata cross-check only</x:v>
      </x:c>
      <x:c r="F9" s="325" t="str">
        <x:v>This reconciles identifiers; it does not recompute a Git blob hash from raw image bytes.</x:v>
      </x:c>
    </x:row>
    <x:row r="10" ht="56" customHeight="1">
      <x:c r="A10" s="325" t="str">
        <x:v>2026-10-10</x:v>
      </x:c>
      <x:c r="B10" s="325" t="str">
        <x:v>Original image-pixel measurements</x:v>
      </x:c>
      <x:c r="C10" s="325" t="str">
        <x:v>Not performed in this runtime.</x:v>
      </x:c>
      <x:c r="D10" s="325" t="str">
        <x:v>No exact source JPEG bytes available as a local file for independent Pillow/JavaScript decoder comparison.</x:v>
      </x:c>
      <x:c r="E10" s="325" t="str">
        <x:v>Blocked</x:v>
      </x:c>
      <x:c r="F10" s="325" t="str">
        <x:v>Five-dot centroids, thresholds, areas, bounding boxes, and page 57/68 plant-region equality remain inherited, not newly verified.</x:v>
      </x:c>
    </x:row>
    <x:row r="11" ht="64" customHeight="1">
      <x:c r="A11" s="345" t="str">
        <x:v>2026-10-10</x:v>
      </x:c>
      <x:c r="B11" s="345" t="str">
        <x:v>v1.6 acquisition-script test</x:v>
      </x:c>
      <x:c r="C11" s="345" t="str">
        <x:v>Page 24 attempt reproduced the network blocker; the script wrote a failure audit instead of treating the page as acquired.</x:v>
      </x:c>
      <x:c r="D11" s="345" t="str">
        <x:v>URLError: &lt;urlopen error [Errno -3] Temporary failure in name resolution&gt;; output: /mnt/data/lp_v16_acq_test/source_acquisition_audit_v1_6.json</x:v>
      </x:c>
      <x:c r="E11" s="345" t="str">
        <x:v>Blocked / audit generated</x:v>
      </x:c>
      <x:c r="F11" s="345" t="str">
        <x:v>The downloader's failure path behaves as intended; no image byte hash or pixel measurement was produced.</x:v>
      </x:c>
    </x:row>
    <x:row r="13" ht="52" customHeight="1">
      <x:c r="A13" s="488" t="str">
        <x:v>Next path: run `acquire_verify_liber_primus_sources_v1_6.py` in an environment with network access. It downloads selected pages, validates each Git blob SHA-1 against the manifest, records SHA-256 and dimensions, and only marks the file acquired after byte-level validation.</x:v>
      </x:c>
      <x:c r="B13" s="488"/>
      <x:c r="C13" s="488"/>
      <x:c r="D13" s="488"/>
      <x:c r="E13" s="488"/>
      <x:c r="F13" s="488"/>
    </x:row>
  </x:sheetData>
  <x:mergeCells>
    <x:mergeCell ref="A1:F1"/>
    <x:mergeCell ref="A2:F2"/>
    <x:mergeCell ref="A13:F13"/>
  </x:mergeCells>
  <x:pageMargins left="0.7" right="0.7" top="0.75" bottom="0.75" header="0.3" footer="0.3"/>
</x:worksheet>
</file>

<file path=xl/worksheets/sheet3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0" hidden="0" customWidth="1"/>
    <x:col min="3" max="3" width="29" hidden="0" customWidth="1"/>
    <x:col min="4" max="4" width="25" hidden="0" customWidth="1"/>
    <x:col min="5" max="5" width="16" hidden="0" customWidth="1"/>
    <x:col min="6" max="6" width="16" hidden="0" customWidth="1"/>
    <x:col min="7" max="7" width="15" hidden="0" customWidth="1"/>
    <x:col min="8" max="8" width="15" hidden="0" customWidth="1"/>
    <x:col min="9" max="9" width="14" hidden="0" customWidth="1"/>
    <x:col min="10" max="10" width="14" hidden="0" customWidth="1"/>
    <x:col min="11" max="11" width="20" hidden="0" customWidth="1"/>
    <x:col min="12" max="12" width="38" hidden="0" customWidth="1"/>
    <x:col min="13" max="13" width="13" hidden="0" customWidth="1"/>
    <x:col min="14" max="14" width="13" hidden="0" customWidth="1"/>
    <x:col min="15" max="15" width="18" hidden="0" customWidth="1"/>
    <x:col min="16" max="16" width="18" hidden="0" customWidth="1"/>
    <x:col min="17" max="17" width="18" hidden="0" customWidth="1"/>
    <x:col min="18" max="18" width="18" hidden="0" customWidth="1"/>
    <x:col min="19" max="19" width="14" hidden="0" customWidth="1"/>
    <x:col min="20" max="20" width="16" hidden="0" customWidth="1"/>
    <x:col min="21" max="21" width="16" hidden="0" customWidth="1"/>
    <x:col min="22" max="22" width="18" hidden="0" customWidth="1"/>
  </x:cols>
  <x:sheetData>
    <x:row r="1" ht="30" customHeight="1">
      <x:c r="A1" s="492" t="str">
        <x:v>Fixed-transform robustness — inherited threshold records, v1.7</x:v>
      </x:c>
      <x:c r="B1" s="492"/>
      <x:c r="C1" s="492"/>
      <x:c r="D1" s="492"/>
      <x:c r="E1" s="492"/>
      <x:c r="F1" s="492"/>
      <x:c r="G1" s="492"/>
      <x:c r="H1" s="492"/>
      <x:c r="I1" s="492"/>
      <x:c r="J1" s="492"/>
      <x:c r="K1" s="492"/>
      <x:c r="L1" s="492"/>
    </x:row>
    <x:row r="2" ht="38" customHeight="1">
      <x:c r="A2" s="496" t="str">
        <x:v>Uses Pixel Thresholds v1.1 records at T=40/60/80/100. Point mappings were selected in prior exploratory fits and are held fixed here. No source JPEG bytes were independently decoded in this run; results are descriptive and non-inferential.</x:v>
      </x:c>
      <x:c r="B2" s="496"/>
      <x:c r="C2" s="496"/>
      <x:c r="D2" s="496"/>
      <x:c r="E2" s="496"/>
      <x:c r="F2" s="496"/>
      <x:c r="G2" s="496"/>
      <x:c r="H2" s="496"/>
      <x:c r="I2" s="496"/>
      <x:c r="J2" s="496"/>
      <x:c r="K2" s="496"/>
      <x:c r="L2" s="496"/>
    </x:row>
    <x:row r="4" ht="32" customHeight="1">
      <x:c r="A4" s="501" t="str">
        <x:v>Page pair</x:v>
      </x:c>
      <x:c r="B4" s="501" t="str">
        <x:v>Threshold</x:v>
      </x:c>
      <x:c r="C4" s="501" t="str">
        <x:v>Restricted transform</x:v>
      </x:c>
      <x:c r="D4" s="501" t="str">
        <x:v>Mapping (source→target)</x:v>
      </x:c>
      <x:c r="E4" s="501" t="str">
        <x:v>Fitted parameter X (px)</x:v>
      </x:c>
      <x:c r="F4" s="501" t="str">
        <x:v>Fitted parameter Y (px)</x:v>
      </x:c>
      <x:c r="G4" s="501" t="str">
        <x:v>RMS residual (px)</x:v>
      </x:c>
      <x:c r="H4" s="501" t="str">
        <x:v>Max residual (px)</x:v>
      </x:c>
      <x:c r="I4" s="501" t="str">
        <x:v>Equal areas (#/5)</x:v>
      </x:c>
      <x:c r="J4" s="501" t="str">
        <x:v>Equal bbox dimensions (#/5)</x:v>
      </x:c>
      <x:c r="K4" s="501" t="str">
        <x:v>Mean absolute area delta (px²)</x:v>
      </x:c>
      <x:c r="L4" s="501" t="str">
        <x:v>Evidence status</x:v>
      </x:c>
    </x:row>
    <x:row r="5" ht="30" customHeight="1">
      <x:c r="A5" s="508" t="str">
        <x:v>24-&gt;40</x:v>
      </x:c>
      <x:c r="B5" s="508" t="n">
        <x:v>40</x:v>
      </x:c>
      <x:c r="C5" s="508" t="str">
        <x:v>vertical reflection + translation</x:v>
      </x:c>
      <x:c r="D5" s="508" t="str">
        <x:v>1→1; 2→2; 3→5; 4→4; 5→3</x:v>
      </x:c>
      <x:c r="E5" s="510" t="n">
        <x:f>AVERAGE(O20:O24)</x:f>
        <x:v>0.0015999999999849023</x:v>
      </x:c>
      <x:c r="F5" s="510" t="n">
        <x:f>AVERAGE(P20:P24)</x:f>
        <x:v>3674.0146</x:v>
      </x:c>
      <x:c r="G5" s="510" t="n">
        <x:f>SQRT((S20^2+S21^2+S22^2+S23^2+S24^2)/5)</x:f>
        <x:v>0.06090057470985754</x:v>
      </x:c>
      <x:c r="H5" s="510" t="n">
        <x:f>MAX(S20:S24)</x:f>
        <x:v>0.09769605928583729</x:v>
      </x:c>
      <x:c r="I5" s="508" t="n">
        <x:f>SUM(T20:T24)</x:f>
        <x:v>2</x:v>
      </x:c>
      <x:c r="J5" s="508" t="n">
        <x:f>SUM(U20:U24)</x:f>
        <x:v>4</x:v>
      </x:c>
      <x:c r="K5" s="511" t="n">
        <x:f>AVERAGE(V20:V24)</x:f>
        <x:v>7.6</x:v>
      </x:c>
      <x:c r="L5" s="508" t="str">
        <x:v>Inherited threshold records; no source-pixel remeasurement</x:v>
      </x:c>
    </x:row>
    <x:row r="6" ht="30" customHeight="1">
      <x:c r="A6" s="508" t="str">
        <x:v>24-&gt;40</x:v>
      </x:c>
      <x:c r="B6" s="508" t="n">
        <x:v>60</x:v>
      </x:c>
      <x:c r="C6" s="508" t="str">
        <x:v>vertical reflection + translation</x:v>
      </x:c>
      <x:c r="D6" s="508" t="str">
        <x:v>1→1; 2→2; 3→5; 4→4; 5→3</x:v>
      </x:c>
      <x:c r="E6" s="510" t="n">
        <x:f>AVERAGE(O25:O29)</x:f>
        <x:v>0.00019999999999527064</x:v>
      </x:c>
      <x:c r="F6" s="510" t="n">
        <x:f>AVERAGE(P25:P29)</x:f>
        <x:v>3674.0184</x:v>
      </x:c>
      <x:c r="G6" s="510" t="n">
        <x:f>SQRT((S25^2+S26^2+S27^2+S28^2+S29^2)/5)</x:f>
        <x:v>0.036802173848688315</x:v>
      </x:c>
      <x:c r="H6" s="510" t="n">
        <x:f>MAX(S25:S29)</x:f>
        <x:v>0.07360434769750217</x:v>
      </x:c>
      <x:c r="I6" s="508" t="n">
        <x:f>SUM(T25:T29)</x:f>
        <x:v>4</x:v>
      </x:c>
      <x:c r="J6" s="508" t="n">
        <x:f>SUM(U25:U29)</x:f>
        <x:v>4</x:v>
      </x:c>
      <x:c r="K6" s="511" t="n">
        <x:f>AVERAGE(V25:V29)</x:f>
        <x:v>1.8</x:v>
      </x:c>
      <x:c r="L6" s="508" t="str">
        <x:v>Inherited threshold records; no source-pixel remeasurement</x:v>
      </x:c>
    </x:row>
    <x:row r="7" ht="30" customHeight="1">
      <x:c r="A7" s="508" t="str">
        <x:v>24-&gt;40</x:v>
      </x:c>
      <x:c r="B7" s="508" t="n">
        <x:v>80</x:v>
      </x:c>
      <x:c r="C7" s="508" t="str">
        <x:v>vertical reflection + translation</x:v>
      </x:c>
      <x:c r="D7" s="508" t="str">
        <x:v>1→1; 2→2; 3→5; 4→4; 5→3</x:v>
      </x:c>
      <x:c r="E7" s="510" t="n">
        <x:f>AVERAGE(O30:O34)</x:f>
        <x:v>0.00019999999999527064</x:v>
      </x:c>
      <x:c r="F7" s="510" t="n">
        <x:f>AVERAGE(P30:P34)</x:f>
        <x:v>3674.0184</x:v>
      </x:c>
      <x:c r="G7" s="510" t="n">
        <x:f>SQRT((S30^2+S31^2+S32^2+S33^2+S34^2)/5)</x:f>
        <x:v>0.036802173848688315</x:v>
      </x:c>
      <x:c r="H7" s="510" t="n">
        <x:f>MAX(S30:S34)</x:f>
        <x:v>0.07360434769750217</x:v>
      </x:c>
      <x:c r="I7" s="508" t="n">
        <x:f>SUM(T30:T34)</x:f>
        <x:v>4</x:v>
      </x:c>
      <x:c r="J7" s="508" t="n">
        <x:f>SUM(U30:U34)</x:f>
        <x:v>4</x:v>
      </x:c>
      <x:c r="K7" s="511" t="n">
        <x:f>AVERAGE(V30:V34)</x:f>
        <x:v>1.8</x:v>
      </x:c>
      <x:c r="L7" s="508" t="str">
        <x:v>Inherited threshold records; no source-pixel remeasurement</x:v>
      </x:c>
    </x:row>
    <x:row r="8" ht="30" customHeight="1">
      <x:c r="A8" s="508" t="str">
        <x:v>24-&gt;40</x:v>
      </x:c>
      <x:c r="B8" s="508" t="n">
        <x:v>100</x:v>
      </x:c>
      <x:c r="C8" s="508" t="str">
        <x:v>vertical reflection + translation</x:v>
      </x:c>
      <x:c r="D8" s="508" t="str">
        <x:v>1→1; 2→2; 3→5; 4→4; 5→3</x:v>
      </x:c>
      <x:c r="E8" s="510" t="n">
        <x:f>AVERAGE(O35:O39)</x:f>
        <x:v>-0.03919999999998254</x:v>
      </x:c>
      <x:c r="F8" s="510" t="n">
        <x:f>AVERAGE(P35:P39)</x:f>
        <x:v>3674.0101999999997</x:v>
      </x:c>
      <x:c r="G8" s="510" t="n">
        <x:f>SQRT((S35^2+S36^2+S37^2+S38^2+S39^2)/5)</x:f>
        <x:v>0.04706931059624129</x:v>
      </x:c>
      <x:c r="H8" s="510" t="n">
        <x:f>MAX(S35:S39)</x:f>
        <x:v>0.06787547421589378</x:v>
      </x:c>
      <x:c r="I8" s="508" t="n">
        <x:f>SUM(T35:T39)</x:f>
        <x:v>0</x:v>
      </x:c>
      <x:c r="J8" s="508" t="n">
        <x:f>SUM(U35:U39)</x:f>
        <x:v>4</x:v>
      </x:c>
      <x:c r="K8" s="511" t="n">
        <x:f>AVERAGE(V35:V39)</x:f>
        <x:v>9.8</x:v>
      </x:c>
      <x:c r="L8" s="508" t="str">
        <x:v>Inherited threshold records; no source-pixel remeasurement</x:v>
      </x:c>
    </x:row>
    <x:row r="9" ht="30" customHeight="1">
      <x:c r="A9" s="508" t="str">
        <x:v>24-&gt;73</x:v>
      </x:c>
      <x:c r="B9" s="508" t="n">
        <x:v>40</x:v>
      </x:c>
      <x:c r="C9" s="508" t="str">
        <x:v>horizontal reflection + translation</x:v>
      </x:c>
      <x:c r="D9" s="508" t="str">
        <x:v>1→4; 2→5; 3→3; 4→2; 5→1</x:v>
      </x:c>
      <x:c r="E9" s="510" t="n">
        <x:f>AVERAGE(O40:O44)</x:f>
        <x:v>2400.6396</x:v>
      </x:c>
      <x:c r="F9" s="510" t="n">
        <x:f>AVERAGE(P40:P44)</x:f>
        <x:v>-419.4200000000001</x:v>
      </x:c>
      <x:c r="G9" s="510" t="n">
        <x:f>SQRT((S40^2+S41^2+S42^2+S43^2+S44^2)/5)</x:f>
        <x:v>0.24308895491165852</x:v>
      </x:c>
      <x:c r="H9" s="510" t="n">
        <x:f>MAX(S40:S44)</x:f>
        <x:v>0.34570675434550857</x:v>
      </x:c>
      <x:c r="I9" s="508" t="n">
        <x:f>SUM(T40:T44)</x:f>
        <x:v>0</x:v>
      </x:c>
      <x:c r="J9" s="508" t="n">
        <x:f>SUM(U40:U44)</x:f>
        <x:v>2</x:v>
      </x:c>
      <x:c r="K9" s="511" t="n">
        <x:f>AVERAGE(V40:V44)</x:f>
        <x:v>29.6</x:v>
      </x:c>
      <x:c r="L9" s="508" t="str">
        <x:v>Inherited threshold records; no source-pixel remeasurement</x:v>
      </x:c>
    </x:row>
    <x:row r="10" ht="30" customHeight="1">
      <x:c r="A10" s="508" t="str">
        <x:v>24-&gt;73</x:v>
      </x:c>
      <x:c r="B10" s="508" t="n">
        <x:v>60</x:v>
      </x:c>
      <x:c r="C10" s="508" t="str">
        <x:v>horizontal reflection + translation</x:v>
      </x:c>
      <x:c r="D10" s="508" t="str">
        <x:v>1→4; 2→5; 3→3; 4→2; 5→1</x:v>
      </x:c>
      <x:c r="E10" s="510" t="n">
        <x:f>AVERAGE(O45:O49)</x:f>
        <x:v>2400.6268000000005</x:v>
      </x:c>
      <x:c r="F10" s="510" t="n">
        <x:f>AVERAGE(P45:P49)</x:f>
        <x:v>-419.3576</x:v>
      </x:c>
      <x:c r="G10" s="510" t="n">
        <x:f>SQRT((S45^2+S46^2+S47^2+S48^2+S49^2)/5)</x:f>
        <x:v>0.24599918699055542</x:v>
      </x:c>
      <x:c r="H10" s="510" t="n">
        <x:f>MAX(S45:S49)</x:f>
        <x:v>0.3155743969335706</x:v>
      </x:c>
      <x:c r="I10" s="508" t="n">
        <x:f>SUM(T45:T49)</x:f>
        <x:v>0</x:v>
      </x:c>
      <x:c r="J10" s="508" t="n">
        <x:f>SUM(U45:U49)</x:f>
        <x:v>2</x:v>
      </x:c>
      <x:c r="K10" s="511" t="n">
        <x:f>AVERAGE(V45:V49)</x:f>
        <x:v>14</x:v>
      </x:c>
      <x:c r="L10" s="508" t="str">
        <x:v>Inherited threshold records; no source-pixel remeasurement</x:v>
      </x:c>
    </x:row>
    <x:row r="11" ht="30" customHeight="1">
      <x:c r="A11" s="508" t="str">
        <x:v>24-&gt;73</x:v>
      </x:c>
      <x:c r="B11" s="508" t="n">
        <x:v>80</x:v>
      </x:c>
      <x:c r="C11" s="508" t="str">
        <x:v>horizontal reflection + translation</x:v>
      </x:c>
      <x:c r="D11" s="508" t="str">
        <x:v>1→4; 2→5; 3→3; 4→2; 5→1</x:v>
      </x:c>
      <x:c r="E11" s="510" t="n">
        <x:f>AVERAGE(O50:O54)</x:f>
        <x:v>2400.6268000000005</x:v>
      </x:c>
      <x:c r="F11" s="510" t="n">
        <x:f>AVERAGE(P50:P54)</x:f>
        <x:v>-419.3576</x:v>
      </x:c>
      <x:c r="G11" s="510" t="n">
        <x:f>SQRT((S50^2+S51^2+S52^2+S53^2+S54^2)/5)</x:f>
        <x:v>0.24599918699055542</x:v>
      </x:c>
      <x:c r="H11" s="510" t="n">
        <x:f>MAX(S50:S54)</x:f>
        <x:v>0.3155743969335706</x:v>
      </x:c>
      <x:c r="I11" s="508" t="n">
        <x:f>SUM(T50:T54)</x:f>
        <x:v>0</x:v>
      </x:c>
      <x:c r="J11" s="508" t="n">
        <x:f>SUM(U50:U54)</x:f>
        <x:v>2</x:v>
      </x:c>
      <x:c r="K11" s="511" t="n">
        <x:f>AVERAGE(V50:V54)</x:f>
        <x:v>14</x:v>
      </x:c>
      <x:c r="L11" s="508" t="str">
        <x:v>Inherited threshold records; no source-pixel remeasurement</x:v>
      </x:c>
    </x:row>
    <x:row r="12" ht="30" customHeight="1">
      <x:c r="A12" s="508" t="str">
        <x:v>24-&gt;73</x:v>
      </x:c>
      <x:c r="B12" s="508" t="n">
        <x:v>100</x:v>
      </x:c>
      <x:c r="C12" s="508" t="str">
        <x:v>horizontal reflection + translation</x:v>
      </x:c>
      <x:c r="D12" s="508" t="str">
        <x:v>1→4; 2→5; 3→3; 4→2; 5→1</x:v>
      </x:c>
      <x:c r="E12" s="510" t="n">
        <x:f>AVERAGE(O55:O59)</x:f>
        <x:v>2400.6407999999997</x:v>
      </x:c>
      <x:c r="F12" s="510" t="n">
        <x:f>AVERAGE(P55:P59)</x:f>
        <x:v>-419.33059999999995</x:v>
      </x:c>
      <x:c r="G12" s="510" t="n">
        <x:f>SQRT((S55^2+S56^2+S57^2+S58^2+S59^2)/5)</x:f>
        <x:v>0.2233866603000677</x:v>
      </x:c>
      <x:c r="H12" s="510" t="n">
        <x:f>MAX(S55:S59)</x:f>
        <x:v>0.3031151596338494</x:v>
      </x:c>
      <x:c r="I12" s="508" t="n">
        <x:f>SUM(T55:T59)</x:f>
        <x:v>0</x:v>
      </x:c>
      <x:c r="J12" s="508" t="n">
        <x:f>SUM(U55:U59)</x:f>
        <x:v>2</x:v>
      </x:c>
      <x:c r="K12" s="511" t="n">
        <x:f>AVERAGE(V55:V59)</x:f>
        <x:v>11.2</x:v>
      </x:c>
      <x:c r="L12" s="508" t="str">
        <x:v>Inherited threshold records; no source-pixel remeasurement</x:v>
      </x:c>
    </x:row>
    <x:row r="13" ht="30" customHeight="1">
      <x:c r="A13" s="508" t="str">
        <x:v>40-&gt;73</x:v>
      </x:c>
      <x:c r="B13" s="508" t="n">
        <x:v>40</x:v>
      </x:c>
      <x:c r="C13" s="508" t="str">
        <x:v>180-degree rotation + translation</x:v>
      </x:c>
      <x:c r="D13" s="508" t="str">
        <x:v>1→4; 2→5; 3→1; 4→2; 5→3</x:v>
      </x:c>
      <x:c r="E13" s="510" t="n">
        <x:f>AVERAGE(O60:O64)</x:f>
        <x:v>2400.6412</x:v>
      </x:c>
      <x:c r="F13" s="510" t="n">
        <x:f>AVERAGE(P60:P64)</x:f>
        <x:v>3254.5945999999994</x:v>
      </x:c>
      <x:c r="G13" s="510" t="n">
        <x:f>SQRT((S60^2+S61^2+S62^2+S63^2+S64^2)/5)</x:f>
        <x:v>0.2744113700267515</x:v>
      </x:c>
      <x:c r="H13" s="510" t="n">
        <x:f>MAX(S60:S64)</x:f>
        <x:v>0.4087779348255836</x:v>
      </x:c>
      <x:c r="I13" s="508" t="n">
        <x:f>SUM(T60:T64)</x:f>
        <x:v>0</x:v>
      </x:c>
      <x:c r="J13" s="508" t="n">
        <x:f>SUM(U60:U64)</x:f>
        <x:v>3</x:v>
      </x:c>
      <x:c r="K13" s="511" t="n">
        <x:f>AVERAGE(V60:V64)</x:f>
        <x:v>22.8</x:v>
      </x:c>
      <x:c r="L13" s="508" t="str">
        <x:v>Inherited threshold records; no source-pixel remeasurement</x:v>
      </x:c>
    </x:row>
    <x:row r="14" ht="30" customHeight="1">
      <x:c r="A14" s="508" t="str">
        <x:v>40-&gt;73</x:v>
      </x:c>
      <x:c r="B14" s="508" t="n">
        <x:v>60</x:v>
      </x:c>
      <x:c r="C14" s="508" t="str">
        <x:v>180-degree rotation + translation</x:v>
      </x:c>
      <x:c r="D14" s="508" t="str">
        <x:v>1→4; 2→5; 3→1; 4→2; 5→3</x:v>
      </x:c>
      <x:c r="E14" s="510" t="n">
        <x:f>AVERAGE(O65:O69)</x:f>
        <x:v>2400.627</x:v>
      </x:c>
      <x:c r="F14" s="510" t="n">
        <x:f>AVERAGE(P65:P69)</x:f>
        <x:v>3254.6608</x:v>
      </x:c>
      <x:c r="G14" s="510" t="n">
        <x:f>SQRT((S65^2+S66^2+S67^2+S68^2+S69^2)/5)</x:f>
        <x:v>0.2632803828620436</x:v>
      </x:c>
      <x:c r="H14" s="510" t="n">
        <x:f>MAX(S65:S69)</x:f>
        <x:v>0.34616649173456543</x:v>
      </x:c>
      <x:c r="I14" s="508" t="n">
        <x:f>SUM(T65:T69)</x:f>
        <x:v>0</x:v>
      </x:c>
      <x:c r="J14" s="508" t="n">
        <x:f>SUM(U65:U69)</x:f>
        <x:v>3</x:v>
      </x:c>
      <x:c r="K14" s="511" t="n">
        <x:f>AVERAGE(V65:V69)</x:f>
        <x:v>13</x:v>
      </x:c>
      <x:c r="L14" s="508" t="str">
        <x:v>Inherited threshold records; no source-pixel remeasurement</x:v>
      </x:c>
    </x:row>
    <x:row r="15" ht="30" customHeight="1">
      <x:c r="A15" s="508" t="str">
        <x:v>40-&gt;73</x:v>
      </x:c>
      <x:c r="B15" s="508" t="n">
        <x:v>80</x:v>
      </x:c>
      <x:c r="C15" s="508" t="str">
        <x:v>180-degree rotation + translation</x:v>
      </x:c>
      <x:c r="D15" s="508" t="str">
        <x:v>1→4; 2→5; 3→1; 4→2; 5→3</x:v>
      </x:c>
      <x:c r="E15" s="510" t="n">
        <x:f>AVERAGE(O70:O74)</x:f>
        <x:v>2400.627</x:v>
      </x:c>
      <x:c r="F15" s="510" t="n">
        <x:f>AVERAGE(P70:P74)</x:f>
        <x:v>3254.6608</x:v>
      </x:c>
      <x:c r="G15" s="510" t="n">
        <x:f>SQRT((S70^2+S71^2+S72^2+S73^2+S74^2)/5)</x:f>
        <x:v>0.2632803828620436</x:v>
      </x:c>
      <x:c r="H15" s="510" t="n">
        <x:f>MAX(S70:S74)</x:f>
        <x:v>0.34616649173456543</x:v>
      </x:c>
      <x:c r="I15" s="508" t="n">
        <x:f>SUM(T70:T74)</x:f>
        <x:v>0</x:v>
      </x:c>
      <x:c r="J15" s="508" t="n">
        <x:f>SUM(U70:U74)</x:f>
        <x:v>3</x:v>
      </x:c>
      <x:c r="K15" s="511" t="n">
        <x:f>AVERAGE(V70:V74)</x:f>
        <x:v>13</x:v>
      </x:c>
      <x:c r="L15" s="508" t="str">
        <x:v>Inherited threshold records; no source-pixel remeasurement</x:v>
      </x:c>
    </x:row>
    <x:row r="16" ht="30" customHeight="1">
      <x:c r="A16" s="508" t="str">
        <x:v>40-&gt;73</x:v>
      </x:c>
      <x:c r="B16" s="508" t="n">
        <x:v>100</x:v>
      </x:c>
      <x:c r="C16" s="508" t="str">
        <x:v>180-degree rotation + translation</x:v>
      </x:c>
      <x:c r="D16" s="508" t="str">
        <x:v>1→4; 2→5; 3→1; 4→2; 5→3</x:v>
      </x:c>
      <x:c r="E16" s="510" t="n">
        <x:f>AVERAGE(O75:O79)</x:f>
        <x:v>2400.6016000000004</x:v>
      </x:c>
      <x:c r="F16" s="510" t="n">
        <x:f>AVERAGE(P75:P79)</x:f>
        <x:v>3254.6796000000004</x:v>
      </x:c>
      <x:c r="G16" s="510" t="n">
        <x:f>SQRT((S75^2+S76^2+S77^2+S78^2+S79^2)/5)</x:f>
        <x:v>0.23082738139142314</x:v>
      </x:c>
      <x:c r="H16" s="510" t="n">
        <x:f>MAX(S75:S79)</x:f>
        <x:v>0.29901926359373937</x:v>
      </x:c>
      <x:c r="I16" s="508" t="n">
        <x:f>SUM(T75:T79)</x:f>
        <x:v>0</x:v>
      </x:c>
      <x:c r="J16" s="508" t="n">
        <x:f>SUM(U75:U79)</x:f>
        <x:v>3</x:v>
      </x:c>
      <x:c r="K16" s="511" t="n">
        <x:f>AVERAGE(V75:V79)</x:f>
        <x:v>13.4</x:v>
      </x:c>
      <x:c r="L16" s="508" t="str">
        <x:v>Inherited threshold records; no source-pixel remeasurement</x:v>
      </x:c>
    </x:row>
    <x:row r="18">
      <x:c r="A18" s="503" t="str">
        <x:v>Point-level audit (summary values link to these rows)</x:v>
      </x:c>
      <x:c r="B18" s="503"/>
      <x:c r="C18" s="503"/>
      <x:c r="D18" s="503"/>
      <x:c r="E18" s="503"/>
      <x:c r="F18" s="503"/>
      <x:c r="G18" s="503"/>
      <x:c r="H18" s="503"/>
      <x:c r="I18" s="503"/>
      <x:c r="J18" s="503"/>
      <x:c r="K18" s="503"/>
      <x:c r="L18" s="503"/>
      <x:c r="M18" s="503"/>
      <x:c r="N18" s="503"/>
      <x:c r="O18" s="503"/>
      <x:c r="P18" s="503"/>
      <x:c r="Q18" s="503"/>
      <x:c r="R18" s="503"/>
      <x:c r="S18" s="503"/>
      <x:c r="T18" s="503"/>
      <x:c r="U18" s="503"/>
      <x:c r="V18" s="503"/>
    </x:row>
    <x:row r="19" ht="34" customHeight="1">
      <x:c r="A19" s="507" t="str">
        <x:v>Pair</x:v>
      </x:c>
      <x:c r="B19" s="507" t="str">
        <x:v>Threshold</x:v>
      </x:c>
      <x:c r="C19" s="507" t="str">
        <x:v>Source label</x:v>
      </x:c>
      <x:c r="D19" s="507" t="str">
        <x:v>Target label</x:v>
      </x:c>
      <x:c r="E19" s="507" t="str">
        <x:v>Source X</x:v>
      </x:c>
      <x:c r="F19" s="507" t="str">
        <x:v>Source Y</x:v>
      </x:c>
      <x:c r="G19" s="507" t="str">
        <x:v>Target X</x:v>
      </x:c>
      <x:c r="H19" s="507" t="str">
        <x:v>Target Y</x:v>
      </x:c>
      <x:c r="I19" s="507" t="str">
        <x:v>Source area</x:v>
      </x:c>
      <x:c r="J19" s="507" t="str">
        <x:v>Target area</x:v>
      </x:c>
      <x:c r="K19" s="507" t="str">
        <x:v>Source bbox W</x:v>
      </x:c>
      <x:c r="L19" s="507" t="str">
        <x:v>Source bbox H</x:v>
      </x:c>
      <x:c r="M19" s="507" t="str">
        <x:v>Target bbox W</x:v>
      </x:c>
      <x:c r="N19" s="507" t="str">
        <x:v>Target bbox H</x:v>
      </x:c>
      <x:c r="O19" s="507" t="str">
        <x:v>X parameter component</x:v>
      </x:c>
      <x:c r="P19" s="507" t="str">
        <x:v>Y parameter component</x:v>
      </x:c>
      <x:c r="Q19" s="507" t="str">
        <x:v>Predicted target X</x:v>
      </x:c>
      <x:c r="R19" s="507" t="str">
        <x:v>Predicted target Y</x:v>
      </x:c>
      <x:c r="S19" s="507" t="str">
        <x:v>Residual (px)</x:v>
      </x:c>
      <x:c r="T19" s="507" t="str">
        <x:v>Area equal (1/0)</x:v>
      </x:c>
      <x:c r="U19" s="507" t="str">
        <x:v>BBox dims equal (1/0)</x:v>
      </x:c>
      <x:c r="V19" s="507" t="str">
        <x:v>Absolute area delta</x:v>
      </x:c>
    </x:row>
    <x:row r="20" ht="18" customHeight="1">
      <x:c r="A20" s="509" t="str">
        <x:v>24-&gt;40</x:v>
      </x:c>
      <x:c r="B20" s="509" t="n">
        <x:v>40</x:v>
      </x:c>
      <x:c r="C20" s="509" t="n">
        <x:v>1</x:v>
      </x:c>
      <x:c r="D20" s="509" t="n">
        <x:v>1</x:v>
      </x:c>
      <x:c r="E20" s="512" t="n">
        <x:v>796.938</x:v>
      </x:c>
      <x:c r="F20" s="512" t="n">
        <x:v>3105.88</x:v>
      </x:c>
      <x:c r="G20" s="512" t="n">
        <x:v>796.919</x:v>
      </x:c>
      <x:c r="H20" s="512" t="n">
        <x:v>568.181</x:v>
      </x:c>
      <x:c r="I20" s="512" t="n">
        <x:v>3443</x:v>
      </x:c>
      <x:c r="J20" s="512" t="n">
        <x:v>3433</x:v>
      </x:c>
      <x:c r="K20" s="512" t="n">
        <x:v>69</x:v>
      </x:c>
      <x:c r="L20" s="512" t="n">
        <x:v>70</x:v>
      </x:c>
      <x:c r="M20" s="512" t="n">
        <x:v>69</x:v>
      </x:c>
      <x:c r="N20" s="512" t="n">
        <x:v>70</x:v>
      </x:c>
      <x:c r="O20" s="512" t="n">
        <x:f>G20-E20</x:f>
        <x:v>-0.019000000000005457</x:v>
      </x:c>
      <x:c r="P20" s="512" t="n">
        <x:f>F20+H20</x:f>
        <x:v>3674.061</x:v>
      </x:c>
      <x:c r="Q20" s="512" t="n">
        <x:f>E20+$E$5</x:f>
        <x:v>796.9395999999999</x:v>
      </x:c>
      <x:c r="R20" s="512" t="n">
        <x:f>$F$5-F20</x:f>
        <x:v>568.1345999999999</x:v>
      </x:c>
      <x:c r="S20" s="512" t="n">
        <x:f>SQRT((G20-Q20)^2+(H20-R20)^2)</x:f>
        <x:v>0.050767312318204014</x:v>
      </x:c>
      <x:c r="T20" s="509" t="n">
        <x:f>IF(I20=J20,1,0)</x:f>
        <x:v>0</x:v>
      </x:c>
      <x:c r="U20" s="509" t="n">
        <x:f>IF(AND(K20=M20,L20=N20),1,0)</x:f>
        <x:v>1</x:v>
      </x:c>
      <x:c r="V20" s="509" t="n">
        <x:f>ABS(J20-I20)</x:f>
        <x:v>10</x:v>
      </x:c>
    </x:row>
    <x:row r="21" ht="18" customHeight="1">
      <x:c r="A21" s="509" t="str">
        <x:v>24-&gt;40</x:v>
      </x:c>
      <x:c r="B21" s="509" t="n">
        <x:v>40</x:v>
      </x:c>
      <x:c r="C21" s="509" t="n">
        <x:v>2</x:v>
      </x:c>
      <x:c r="D21" s="509" t="n">
        <x:v>2</x:v>
      </x:c>
      <x:c r="E21" s="512" t="n">
        <x:v>992.504</x:v>
      </x:c>
      <x:c r="F21" s="512" t="n">
        <x:v>3166.728</x:v>
      </x:c>
      <x:c r="G21" s="512" t="n">
        <x:v>992.53</x:v>
      </x:c>
      <x:c r="H21" s="512" t="n">
        <x:v>507.192</x:v>
      </x:c>
      <x:c r="I21" s="512" t="n">
        <x:v>3403</x:v>
      </x:c>
      <x:c r="J21" s="512" t="n">
        <x:v>3422</x:v>
      </x:c>
      <x:c r="K21" s="512" t="n">
        <x:v>70</x:v>
      </x:c>
      <x:c r="L21" s="512" t="n">
        <x:v>70</x:v>
      </x:c>
      <x:c r="M21" s="512" t="n">
        <x:v>70</x:v>
      </x:c>
      <x:c r="N21" s="512" t="n">
        <x:v>70</x:v>
      </x:c>
      <x:c r="O21" s="512" t="n">
        <x:f>G21-E21</x:f>
        <x:v>0.025999999999953616</x:v>
      </x:c>
      <x:c r="P21" s="512" t="n">
        <x:f>F21+H21</x:f>
        <x:v>3673.92</x:v>
      </x:c>
      <x:c r="Q21" s="512" t="n">
        <x:f>E21+$E$5</x:f>
        <x:v>992.5056</x:v>
      </x:c>
      <x:c r="R21" s="512" t="n">
        <x:f>$F$5-F21</x:f>
        <x:v>507.2865999999999</x:v>
      </x:c>
      <x:c r="S21" s="512" t="n">
        <x:f>SQRT((G21-Q21)^2+(H21-R21)^2)</x:f>
        <x:v>0.09769605928583729</x:v>
      </x:c>
      <x:c r="T21" s="509" t="n">
        <x:f>IF(I21=J21,1,0)</x:f>
        <x:v>0</x:v>
      </x:c>
      <x:c r="U21" s="509" t="n">
        <x:f>IF(AND(K21=M21,L21=N21),1,0)</x:f>
        <x:v>1</x:v>
      </x:c>
      <x:c r="V21" s="509" t="n">
        <x:f>ABS(J21-I21)</x:f>
        <x:v>19</x:v>
      </x:c>
    </x:row>
    <x:row r="22" ht="18" customHeight="1">
      <x:c r="A22" s="509" t="str">
        <x:v>24-&gt;40</x:v>
      </x:c>
      <x:c r="B22" s="509" t="n">
        <x:v>40</x:v>
      </x:c>
      <x:c r="C22" s="509" t="n">
        <x:v>3</x:v>
      </x:c>
      <x:c r="D22" s="509" t="n">
        <x:v>5</x:v>
      </x:c>
      <x:c r="E22" s="512" t="n">
        <x:v>1479.265</x:v>
      </x:c>
      <x:c r="F22" s="512" t="n">
        <x:v>3127.5</x:v>
      </x:c>
      <x:c r="G22" s="512" t="n">
        <x:v>1479.265</x:v>
      </x:c>
      <x:c r="H22" s="512" t="n">
        <x:v>546.5</x:v>
      </x:c>
      <x:c r="I22" s="512" t="n">
        <x:v>3370</x:v>
      </x:c>
      <x:c r="J22" s="512" t="n">
        <x:v>3370</x:v>
      </x:c>
      <x:c r="K22" s="512" t="n">
        <x:v>70</x:v>
      </x:c>
      <x:c r="L22" s="512" t="n">
        <x:v>70</x:v>
      </x:c>
      <x:c r="M22" s="512" t="n">
        <x:v>70</x:v>
      </x:c>
      <x:c r="N22" s="512" t="n">
        <x:v>70</x:v>
      </x:c>
      <x:c r="O22" s="512" t="n">
        <x:f>G22-E22</x:f>
        <x:v>0</x:v>
      </x:c>
      <x:c r="P22" s="512" t="n">
        <x:f>F22+H22</x:f>
        <x:v>3674</x:v>
      </x:c>
      <x:c r="Q22" s="512" t="n">
        <x:f>E22+$E$5</x:f>
        <x:v>1479.2666000000002</x:v>
      </x:c>
      <x:c r="R22" s="512" t="n">
        <x:f>$F$5-F22</x:f>
        <x:v>546.5146</x:v>
      </x:c>
      <x:c r="S22" s="512" t="n">
        <x:f>SQRT((G22-Q22)^2+(H22-R22)^2)</x:f>
        <x:v>0.014687409574168751</x:v>
      </x:c>
      <x:c r="T22" s="509" t="n">
        <x:f>IF(I22=J22,1,0)</x:f>
        <x:v>1</x:v>
      </x:c>
      <x:c r="U22" s="509" t="n">
        <x:f>IF(AND(K22=M22,L22=N22),1,0)</x:f>
        <x:v>1</x:v>
      </x:c>
      <x:c r="V22" s="509" t="n">
        <x:f>ABS(J22-I22)</x:f>
        <x:v>0</x:v>
      </x:c>
    </x:row>
    <x:row r="23" ht="18" customHeight="1">
      <x:c r="A23" s="509" t="str">
        <x:v>24-&gt;40</x:v>
      </x:c>
      <x:c r="B23" s="509" t="n">
        <x:v>40</x:v>
      </x:c>
      <x:c r="C23" s="509" t="n">
        <x:v>4</x:v>
      </x:c>
      <x:c r="D23" s="509" t="n">
        <x:v>4</x:v>
      </x:c>
      <x:c r="E23" s="512" t="n">
        <x:v>1527.153</x:v>
      </x:c>
      <x:c r="F23" s="512" t="n">
        <x:v>2936.153</x:v>
      </x:c>
      <x:c r="G23" s="512" t="n">
        <x:v>1527.154</x:v>
      </x:c>
      <x:c r="H23" s="512" t="n">
        <x:v>737.939</x:v>
      </x:c>
      <x:c r="I23" s="512" t="n">
        <x:v>3415</x:v>
      </x:c>
      <x:c r="J23" s="512" t="n">
        <x:v>3406</x:v>
      </x:c>
      <x:c r="K23" s="512" t="n">
        <x:v>70</x:v>
      </x:c>
      <x:c r="L23" s="512" t="n">
        <x:v>70</x:v>
      </x:c>
      <x:c r="M23" s="512" t="n">
        <x:v>70</x:v>
      </x:c>
      <x:c r="N23" s="512" t="n">
        <x:v>69</x:v>
      </x:c>
      <x:c r="O23" s="512" t="n">
        <x:f>G23-E23</x:f>
        <x:v>0.0009999999999763531</x:v>
      </x:c>
      <x:c r="P23" s="512" t="n">
        <x:f>F23+H23</x:f>
        <x:v>3674.0919999999996</x:v>
      </x:c>
      <x:c r="Q23" s="512" t="n">
        <x:f>E23+$E$5</x:f>
        <x:v>1527.1546</x:v>
      </x:c>
      <x:c r="R23" s="512" t="n">
        <x:f>$F$5-F23</x:f>
        <x:v>737.8616000000002</x:v>
      </x:c>
      <x:c r="S23" s="512" t="n">
        <x:f>SQRT((G23-Q23)^2+(H23-R23)^2)</x:f>
        <x:v>0.07740232554624356</x:v>
      </x:c>
      <x:c r="T23" s="509" t="n">
        <x:f>IF(I23=J23,1,0)</x:f>
        <x:v>0</x:v>
      </x:c>
      <x:c r="U23" s="509" t="n">
        <x:f>IF(AND(K23=M23,L23=N23),1,0)</x:f>
        <x:v>0</x:v>
      </x:c>
      <x:c r="V23" s="509" t="n">
        <x:f>ABS(J23-I23)</x:f>
        <x:v>9</x:v>
      </x:c>
    </x:row>
    <x:row r="24" ht="18" customHeight="1">
      <x:c r="A24" s="509" t="str">
        <x:v>24-&gt;40</x:v>
      </x:c>
      <x:c r="B24" s="509" t="n">
        <x:v>40</x:v>
      </x:c>
      <x:c r="C24" s="509" t="n">
        <x:v>5</x:v>
      </x:c>
      <x:c r="D24" s="509" t="n">
        <x:v>3</x:v>
      </x:c>
      <x:c r="E24" s="512" t="n">
        <x:v>1296.931</x:v>
      </x:c>
      <x:c r="F24" s="512" t="n">
        <x:v>2866.789</x:v>
      </x:c>
      <x:c r="G24" s="512" t="n">
        <x:v>1296.931</x:v>
      </x:c>
      <x:c r="H24" s="512" t="n">
        <x:v>807.211</x:v>
      </x:c>
      <x:c r="I24" s="512" t="n">
        <x:v>3415</x:v>
      </x:c>
      <x:c r="J24" s="512" t="n">
        <x:v>3415</x:v>
      </x:c>
      <x:c r="K24" s="512" t="n">
        <x:v>69</x:v>
      </x:c>
      <x:c r="L24" s="512" t="n">
        <x:v>70</x:v>
      </x:c>
      <x:c r="M24" s="512" t="n">
        <x:v>69</x:v>
      </x:c>
      <x:c r="N24" s="512" t="n">
        <x:v>70</x:v>
      </x:c>
      <x:c r="O24" s="512" t="n">
        <x:f>G24-E24</x:f>
        <x:v>0</x:v>
      </x:c>
      <x:c r="P24" s="512" t="n">
        <x:f>F24+H24</x:f>
        <x:v>3674</x:v>
      </x:c>
      <x:c r="Q24" s="512" t="n">
        <x:f>E24+$E$5</x:f>
        <x:v>1296.9326</x:v>
      </x:c>
      <x:c r="R24" s="512" t="n">
        <x:f>$F$5-F24</x:f>
        <x:v>807.2255999999998</x:v>
      </x:c>
      <x:c r="S24" s="512" t="n">
        <x:f>SQRT((G24-Q24)^2+(H24-R24)^2)</x:f>
        <x:v>0.01468740957394273</x:v>
      </x:c>
      <x:c r="T24" s="509" t="n">
        <x:f>IF(I24=J24,1,0)</x:f>
        <x:v>1</x:v>
      </x:c>
      <x:c r="U24" s="509" t="n">
        <x:f>IF(AND(K24=M24,L24=N24),1,0)</x:f>
        <x:v>1</x:v>
      </x:c>
      <x:c r="V24" s="509" t="n">
        <x:f>ABS(J24-I24)</x:f>
        <x:v>0</x:v>
      </x:c>
    </x:row>
    <x:row r="25" ht="18" customHeight="1">
      <x:c r="A25" s="509" t="str">
        <x:v>24-&gt;40</x:v>
      </x:c>
      <x:c r="B25" s="509" t="n">
        <x:v>60</x:v>
      </x:c>
      <x:c r="C25" s="509" t="n">
        <x:v>1</x:v>
      </x:c>
      <x:c r="D25" s="509" t="n">
        <x:v>1</x:v>
      </x:c>
      <x:c r="E25" s="512" t="n">
        <x:v>796.941</x:v>
      </x:c>
      <x:c r="F25" s="512" t="n">
        <x:v>3105.773</x:v>
      </x:c>
      <x:c r="G25" s="512" t="n">
        <x:v>796.941</x:v>
      </x:c>
      <x:c r="H25" s="512" t="n">
        <x:v>568.227</x:v>
      </x:c>
      <x:c r="I25" s="512" t="n">
        <x:v>3542</x:v>
      </x:c>
      <x:c r="J25" s="512" t="n">
        <x:v>3542</x:v>
      </x:c>
      <x:c r="K25" s="512" t="n">
        <x:v>69</x:v>
      </x:c>
      <x:c r="L25" s="512" t="n">
        <x:v>70</x:v>
      </x:c>
      <x:c r="M25" s="512" t="n">
        <x:v>69</x:v>
      </x:c>
      <x:c r="N25" s="512" t="n">
        <x:v>70</x:v>
      </x:c>
      <x:c r="O25" s="512" t="n">
        <x:f>G25-E25</x:f>
        <x:v>0</x:v>
      </x:c>
      <x:c r="P25" s="512" t="n">
        <x:f>F25+H25</x:f>
        <x:v>3674</x:v>
      </x:c>
      <x:c r="Q25" s="512" t="n">
        <x:f>E25+$E$6</x:f>
        <x:v>796.9412</x:v>
      </x:c>
      <x:c r="R25" s="512" t="n">
        <x:f>$F$6-F25</x:f>
        <x:v>568.2453999999998</x:v>
      </x:c>
      <x:c r="S25" s="512" t="n">
        <x:f>SQRT((G25-Q25)^2+(H25-R25)^2)</x:f>
        <x:v>0.018401086924232823</x:v>
      </x:c>
      <x:c r="T25" s="509" t="n">
        <x:f>IF(I25=J25,1,0)</x:f>
        <x:v>1</x:v>
      </x:c>
      <x:c r="U25" s="509" t="n">
        <x:f>IF(AND(K25=M25,L25=N25),1,0)</x:f>
        <x:v>1</x:v>
      </x:c>
      <x:c r="V25" s="509" t="n">
        <x:f>ABS(J25-I25)</x:f>
        <x:v>0</x:v>
      </x:c>
    </x:row>
    <x:row r="26" ht="18" customHeight="1">
      <x:c r="A26" s="509" t="str">
        <x:v>24-&gt;40</x:v>
      </x:c>
      <x:c r="B26" s="509" t="n">
        <x:v>60</x:v>
      </x:c>
      <x:c r="C26" s="509" t="n">
        <x:v>2</x:v>
      </x:c>
      <x:c r="D26" s="509" t="n">
        <x:v>2</x:v>
      </x:c>
      <x:c r="E26" s="512" t="n">
        <x:v>992.5</x:v>
      </x:c>
      <x:c r="F26" s="512" t="n">
        <x:v>3166.637</x:v>
      </x:c>
      <x:c r="G26" s="512" t="n">
        <x:v>992.5</x:v>
      </x:c>
      <x:c r="H26" s="512" t="n">
        <x:v>507.363</x:v>
      </x:c>
      <x:c r="I26" s="512" t="n">
        <x:v>3560</x:v>
      </x:c>
      <x:c r="J26" s="512" t="n">
        <x:v>3560</x:v>
      </x:c>
      <x:c r="K26" s="512" t="n">
        <x:v>70</x:v>
      </x:c>
      <x:c r="L26" s="512" t="n">
        <x:v>70</x:v>
      </x:c>
      <x:c r="M26" s="512" t="n">
        <x:v>70</x:v>
      </x:c>
      <x:c r="N26" s="512" t="n">
        <x:v>70</x:v>
      </x:c>
      <x:c r="O26" s="512" t="n">
        <x:f>G26-E26</x:f>
        <x:v>0</x:v>
      </x:c>
      <x:c r="P26" s="512" t="n">
        <x:f>F26+H26</x:f>
        <x:v>3674</x:v>
      </x:c>
      <x:c r="Q26" s="512" t="n">
        <x:f>E26+$E$6</x:f>
        <x:v>992.5002</x:v>
      </x:c>
      <x:c r="R26" s="512" t="n">
        <x:f>$F$6-F26</x:f>
        <x:v>507.38139999999976</x:v>
      </x:c>
      <x:c r="S26" s="512" t="n">
        <x:f>SQRT((G26-Q26)^2+(H26-R26)^2)</x:f>
        <x:v>0.018401086924175986</x:v>
      </x:c>
      <x:c r="T26" s="509" t="n">
        <x:f>IF(I26=J26,1,0)</x:f>
        <x:v>1</x:v>
      </x:c>
      <x:c r="U26" s="509" t="n">
        <x:f>IF(AND(K26=M26,L26=N26),1,0)</x:f>
        <x:v>1</x:v>
      </x:c>
      <x:c r="V26" s="509" t="n">
        <x:f>ABS(J26-I26)</x:f>
        <x:v>0</x:v>
      </x:c>
    </x:row>
    <x:row r="27" ht="18" customHeight="1">
      <x:c r="A27" s="509" t="str">
        <x:v>24-&gt;40</x:v>
      </x:c>
      <x:c r="B27" s="509" t="n">
        <x:v>60</x:v>
      </x:c>
      <x:c r="C27" s="509" t="n">
        <x:v>3</x:v>
      </x:c>
      <x:c r="D27" s="509" t="n">
        <x:v>5</x:v>
      </x:c>
      <x:c r="E27" s="512" t="n">
        <x:v>1479.265</x:v>
      </x:c>
      <x:c r="F27" s="512" t="n">
        <x:v>3127.5</x:v>
      </x:c>
      <x:c r="G27" s="512" t="n">
        <x:v>1479.265</x:v>
      </x:c>
      <x:c r="H27" s="512" t="n">
        <x:v>546.5</x:v>
      </x:c>
      <x:c r="I27" s="512" t="n">
        <x:v>3370</x:v>
      </x:c>
      <x:c r="J27" s="512" t="n">
        <x:v>3370</x:v>
      </x:c>
      <x:c r="K27" s="512" t="n">
        <x:v>70</x:v>
      </x:c>
      <x:c r="L27" s="512" t="n">
        <x:v>70</x:v>
      </x:c>
      <x:c r="M27" s="512" t="n">
        <x:v>70</x:v>
      </x:c>
      <x:c r="N27" s="512" t="n">
        <x:v>70</x:v>
      </x:c>
      <x:c r="O27" s="512" t="n">
        <x:f>G27-E27</x:f>
        <x:v>0</x:v>
      </x:c>
      <x:c r="P27" s="512" t="n">
        <x:f>F27+H27</x:f>
        <x:v>3674</x:v>
      </x:c>
      <x:c r="Q27" s="512" t="n">
        <x:f>E27+$E$6</x:f>
        <x:v>1479.2652</x:v>
      </x:c>
      <x:c r="R27" s="512" t="n">
        <x:f>$F$6-F27</x:f>
        <x:v>546.5183999999999</x:v>
      </x:c>
      <x:c r="S27" s="512" t="n">
        <x:f>SQRT((G27-Q27)^2+(H27-R27)^2)</x:f>
        <x:v>0.018401086924346506</x:v>
      </x:c>
      <x:c r="T27" s="509" t="n">
        <x:f>IF(I27=J27,1,0)</x:f>
        <x:v>1</x:v>
      </x:c>
      <x:c r="U27" s="509" t="n">
        <x:f>IF(AND(K27=M27,L27=N27),1,0)</x:f>
        <x:v>1</x:v>
      </x:c>
      <x:c r="V27" s="509" t="n">
        <x:f>ABS(J27-I27)</x:f>
        <x:v>0</x:v>
      </x:c>
    </x:row>
    <x:row r="28" ht="18" customHeight="1">
      <x:c r="A28" s="509" t="str">
        <x:v>24-&gt;40</x:v>
      </x:c>
      <x:c r="B28" s="509" t="n">
        <x:v>60</x:v>
      </x:c>
      <x:c r="C28" s="509" t="n">
        <x:v>4</x:v>
      </x:c>
      <x:c r="D28" s="509" t="n">
        <x:v>4</x:v>
      </x:c>
      <x:c r="E28" s="512" t="n">
        <x:v>1527.153</x:v>
      </x:c>
      <x:c r="F28" s="512" t="n">
        <x:v>2936.153</x:v>
      </x:c>
      <x:c r="G28" s="512" t="n">
        <x:v>1527.154</x:v>
      </x:c>
      <x:c r="H28" s="512" t="n">
        <x:v>737.939</x:v>
      </x:c>
      <x:c r="I28" s="512" t="n">
        <x:v>3415</x:v>
      </x:c>
      <x:c r="J28" s="512" t="n">
        <x:v>3406</x:v>
      </x:c>
      <x:c r="K28" s="512" t="n">
        <x:v>70</x:v>
      </x:c>
      <x:c r="L28" s="512" t="n">
        <x:v>70</x:v>
      </x:c>
      <x:c r="M28" s="512" t="n">
        <x:v>70</x:v>
      </x:c>
      <x:c r="N28" s="512" t="n">
        <x:v>69</x:v>
      </x:c>
      <x:c r="O28" s="512" t="n">
        <x:f>G28-E28</x:f>
        <x:v>0.0009999999999763531</x:v>
      </x:c>
      <x:c r="P28" s="512" t="n">
        <x:f>F28+H28</x:f>
        <x:v>3674.0919999999996</x:v>
      </x:c>
      <x:c r="Q28" s="512" t="n">
        <x:f>E28+$E$6</x:f>
        <x:v>1527.1532</x:v>
      </x:c>
      <x:c r="R28" s="512" t="n">
        <x:f>$F$6-F28</x:f>
        <x:v>737.8654000000001</x:v>
      </x:c>
      <x:c r="S28" s="512" t="n">
        <x:f>SQRT((G28-Q28)^2+(H28-R28)^2)</x:f>
        <x:v>0.07360434769750217</x:v>
      </x:c>
      <x:c r="T28" s="509" t="n">
        <x:f>IF(I28=J28,1,0)</x:f>
        <x:v>0</x:v>
      </x:c>
      <x:c r="U28" s="509" t="n">
        <x:f>IF(AND(K28=M28,L28=N28),1,0)</x:f>
        <x:v>0</x:v>
      </x:c>
      <x:c r="V28" s="509" t="n">
        <x:f>ABS(J28-I28)</x:f>
        <x:v>9</x:v>
      </x:c>
    </x:row>
    <x:row r="29" ht="18" customHeight="1">
      <x:c r="A29" s="509" t="str">
        <x:v>24-&gt;40</x:v>
      </x:c>
      <x:c r="B29" s="509" t="n">
        <x:v>60</x:v>
      </x:c>
      <x:c r="C29" s="509" t="n">
        <x:v>5</x:v>
      </x:c>
      <x:c r="D29" s="509" t="n">
        <x:v>3</x:v>
      </x:c>
      <x:c r="E29" s="512" t="n">
        <x:v>1296.931</x:v>
      </x:c>
      <x:c r="F29" s="512" t="n">
        <x:v>2866.789</x:v>
      </x:c>
      <x:c r="G29" s="512" t="n">
        <x:v>1296.931</x:v>
      </x:c>
      <x:c r="H29" s="512" t="n">
        <x:v>807.211</x:v>
      </x:c>
      <x:c r="I29" s="512" t="n">
        <x:v>3415</x:v>
      </x:c>
      <x:c r="J29" s="512" t="n">
        <x:v>3415</x:v>
      </x:c>
      <x:c r="K29" s="512" t="n">
        <x:v>69</x:v>
      </x:c>
      <x:c r="L29" s="512" t="n">
        <x:v>70</x:v>
      </x:c>
      <x:c r="M29" s="512" t="n">
        <x:v>69</x:v>
      </x:c>
      <x:c r="N29" s="512" t="n">
        <x:v>70</x:v>
      </x:c>
      <x:c r="O29" s="512" t="n">
        <x:f>G29-E29</x:f>
        <x:v>0</x:v>
      </x:c>
      <x:c r="P29" s="512" t="n">
        <x:f>F29+H29</x:f>
        <x:v>3674</x:v>
      </x:c>
      <x:c r="Q29" s="512" t="n">
        <x:f>E29+$E$6</x:f>
        <x:v>1296.9312</x:v>
      </x:c>
      <x:c r="R29" s="512" t="n">
        <x:f>$F$6-F29</x:f>
        <x:v>807.2293999999997</x:v>
      </x:c>
      <x:c r="S29" s="512" t="n">
        <x:f>SQRT((G29-Q29)^2+(H29-R29)^2)</x:f>
        <x:v>0.018401086924119146</x:v>
      </x:c>
      <x:c r="T29" s="509" t="n">
        <x:f>IF(I29=J29,1,0)</x:f>
        <x:v>1</x:v>
      </x:c>
      <x:c r="U29" s="509" t="n">
        <x:f>IF(AND(K29=M29,L29=N29),1,0)</x:f>
        <x:v>1</x:v>
      </x:c>
      <x:c r="V29" s="509" t="n">
        <x:f>ABS(J29-I29)</x:f>
        <x:v>0</x:v>
      </x:c>
    </x:row>
    <x:row r="30" ht="18" customHeight="1">
      <x:c r="A30" s="509" t="str">
        <x:v>24-&gt;40</x:v>
      </x:c>
      <x:c r="B30" s="509" t="n">
        <x:v>80</x:v>
      </x:c>
      <x:c r="C30" s="509" t="n">
        <x:v>1</x:v>
      </x:c>
      <x:c r="D30" s="509" t="n">
        <x:v>1</x:v>
      </x:c>
      <x:c r="E30" s="512" t="n">
        <x:v>796.941</x:v>
      </x:c>
      <x:c r="F30" s="512" t="n">
        <x:v>3105.773</x:v>
      </x:c>
      <x:c r="G30" s="512" t="n">
        <x:v>796.941</x:v>
      </x:c>
      <x:c r="H30" s="512" t="n">
        <x:v>568.227</x:v>
      </x:c>
      <x:c r="I30" s="512" t="n">
        <x:v>3542</x:v>
      </x:c>
      <x:c r="J30" s="512" t="n">
        <x:v>3542</x:v>
      </x:c>
      <x:c r="K30" s="512" t="n">
        <x:v>69</x:v>
      </x:c>
      <x:c r="L30" s="512" t="n">
        <x:v>70</x:v>
      </x:c>
      <x:c r="M30" s="512" t="n">
        <x:v>69</x:v>
      </x:c>
      <x:c r="N30" s="512" t="n">
        <x:v>70</x:v>
      </x:c>
      <x:c r="O30" s="512" t="n">
        <x:f>G30-E30</x:f>
        <x:v>0</x:v>
      </x:c>
      <x:c r="P30" s="512" t="n">
        <x:f>F30+H30</x:f>
        <x:v>3674</x:v>
      </x:c>
      <x:c r="Q30" s="512" t="n">
        <x:f>E30+$E$7</x:f>
        <x:v>796.9412</x:v>
      </x:c>
      <x:c r="R30" s="512" t="n">
        <x:f>$F$7-F30</x:f>
        <x:v>568.2453999999998</x:v>
      </x:c>
      <x:c r="S30" s="512" t="n">
        <x:f>SQRT((G30-Q30)^2+(H30-R30)^2)</x:f>
        <x:v>0.018401086924232823</x:v>
      </x:c>
      <x:c r="T30" s="509" t="n">
        <x:f>IF(I30=J30,1,0)</x:f>
        <x:v>1</x:v>
      </x:c>
      <x:c r="U30" s="509" t="n">
        <x:f>IF(AND(K30=M30,L30=N30),1,0)</x:f>
        <x:v>1</x:v>
      </x:c>
      <x:c r="V30" s="509" t="n">
        <x:f>ABS(J30-I30)</x:f>
        <x:v>0</x:v>
      </x:c>
    </x:row>
    <x:row r="31" ht="18" customHeight="1">
      <x:c r="A31" s="509" t="str">
        <x:v>24-&gt;40</x:v>
      </x:c>
      <x:c r="B31" s="509" t="n">
        <x:v>80</x:v>
      </x:c>
      <x:c r="C31" s="509" t="n">
        <x:v>2</x:v>
      </x:c>
      <x:c r="D31" s="509" t="n">
        <x:v>2</x:v>
      </x:c>
      <x:c r="E31" s="512" t="n">
        <x:v>992.5</x:v>
      </x:c>
      <x:c r="F31" s="512" t="n">
        <x:v>3166.637</x:v>
      </x:c>
      <x:c r="G31" s="512" t="n">
        <x:v>992.5</x:v>
      </x:c>
      <x:c r="H31" s="512" t="n">
        <x:v>507.363</x:v>
      </x:c>
      <x:c r="I31" s="512" t="n">
        <x:v>3560</x:v>
      </x:c>
      <x:c r="J31" s="512" t="n">
        <x:v>3560</x:v>
      </x:c>
      <x:c r="K31" s="512" t="n">
        <x:v>70</x:v>
      </x:c>
      <x:c r="L31" s="512" t="n">
        <x:v>70</x:v>
      </x:c>
      <x:c r="M31" s="512" t="n">
        <x:v>70</x:v>
      </x:c>
      <x:c r="N31" s="512" t="n">
        <x:v>70</x:v>
      </x:c>
      <x:c r="O31" s="512" t="n">
        <x:f>G31-E31</x:f>
        <x:v>0</x:v>
      </x:c>
      <x:c r="P31" s="512" t="n">
        <x:f>F31+H31</x:f>
        <x:v>3674</x:v>
      </x:c>
      <x:c r="Q31" s="512" t="n">
        <x:f>E31+$E$7</x:f>
        <x:v>992.5002</x:v>
      </x:c>
      <x:c r="R31" s="512" t="n">
        <x:f>$F$7-F31</x:f>
        <x:v>507.38139999999976</x:v>
      </x:c>
      <x:c r="S31" s="512" t="n">
        <x:f>SQRT((G31-Q31)^2+(H31-R31)^2)</x:f>
        <x:v>0.018401086924175986</x:v>
      </x:c>
      <x:c r="T31" s="509" t="n">
        <x:f>IF(I31=J31,1,0)</x:f>
        <x:v>1</x:v>
      </x:c>
      <x:c r="U31" s="509" t="n">
        <x:f>IF(AND(K31=M31,L31=N31),1,0)</x:f>
        <x:v>1</x:v>
      </x:c>
      <x:c r="V31" s="509" t="n">
        <x:f>ABS(J31-I31)</x:f>
        <x:v>0</x:v>
      </x:c>
    </x:row>
    <x:row r="32" ht="18" customHeight="1">
      <x:c r="A32" s="509" t="str">
        <x:v>24-&gt;40</x:v>
      </x:c>
      <x:c r="B32" s="509" t="n">
        <x:v>80</x:v>
      </x:c>
      <x:c r="C32" s="509" t="n">
        <x:v>3</x:v>
      </x:c>
      <x:c r="D32" s="509" t="n">
        <x:v>5</x:v>
      </x:c>
      <x:c r="E32" s="512" t="n">
        <x:v>1479.265</x:v>
      </x:c>
      <x:c r="F32" s="512" t="n">
        <x:v>3127.5</x:v>
      </x:c>
      <x:c r="G32" s="512" t="n">
        <x:v>1479.265</x:v>
      </x:c>
      <x:c r="H32" s="512" t="n">
        <x:v>546.5</x:v>
      </x:c>
      <x:c r="I32" s="512" t="n">
        <x:v>3370</x:v>
      </x:c>
      <x:c r="J32" s="512" t="n">
        <x:v>3370</x:v>
      </x:c>
      <x:c r="K32" s="512" t="n">
        <x:v>70</x:v>
      </x:c>
      <x:c r="L32" s="512" t="n">
        <x:v>70</x:v>
      </x:c>
      <x:c r="M32" s="512" t="n">
        <x:v>70</x:v>
      </x:c>
      <x:c r="N32" s="512" t="n">
        <x:v>70</x:v>
      </x:c>
      <x:c r="O32" s="512" t="n">
        <x:f>G32-E32</x:f>
        <x:v>0</x:v>
      </x:c>
      <x:c r="P32" s="512" t="n">
        <x:f>F32+H32</x:f>
        <x:v>3674</x:v>
      </x:c>
      <x:c r="Q32" s="512" t="n">
        <x:f>E32+$E$7</x:f>
        <x:v>1479.2652</x:v>
      </x:c>
      <x:c r="R32" s="512" t="n">
        <x:f>$F$7-F32</x:f>
        <x:v>546.5183999999999</x:v>
      </x:c>
      <x:c r="S32" s="512" t="n">
        <x:f>SQRT((G32-Q32)^2+(H32-R32)^2)</x:f>
        <x:v>0.018401086924346506</x:v>
      </x:c>
      <x:c r="T32" s="509" t="n">
        <x:f>IF(I32=J32,1,0)</x:f>
        <x:v>1</x:v>
      </x:c>
      <x:c r="U32" s="509" t="n">
        <x:f>IF(AND(K32=M32,L32=N32),1,0)</x:f>
        <x:v>1</x:v>
      </x:c>
      <x:c r="V32" s="509" t="n">
        <x:f>ABS(J32-I32)</x:f>
        <x:v>0</x:v>
      </x:c>
    </x:row>
    <x:row r="33" ht="18" customHeight="1">
      <x:c r="A33" s="509" t="str">
        <x:v>24-&gt;40</x:v>
      </x:c>
      <x:c r="B33" s="509" t="n">
        <x:v>80</x:v>
      </x:c>
      <x:c r="C33" s="509" t="n">
        <x:v>4</x:v>
      </x:c>
      <x:c r="D33" s="509" t="n">
        <x:v>4</x:v>
      </x:c>
      <x:c r="E33" s="512" t="n">
        <x:v>1527.153</x:v>
      </x:c>
      <x:c r="F33" s="512" t="n">
        <x:v>2936.153</x:v>
      </x:c>
      <x:c r="G33" s="512" t="n">
        <x:v>1527.154</x:v>
      </x:c>
      <x:c r="H33" s="512" t="n">
        <x:v>737.939</x:v>
      </x:c>
      <x:c r="I33" s="512" t="n">
        <x:v>3415</x:v>
      </x:c>
      <x:c r="J33" s="512" t="n">
        <x:v>3406</x:v>
      </x:c>
      <x:c r="K33" s="512" t="n">
        <x:v>70</x:v>
      </x:c>
      <x:c r="L33" s="512" t="n">
        <x:v>70</x:v>
      </x:c>
      <x:c r="M33" s="512" t="n">
        <x:v>70</x:v>
      </x:c>
      <x:c r="N33" s="512" t="n">
        <x:v>69</x:v>
      </x:c>
      <x:c r="O33" s="512" t="n">
        <x:f>G33-E33</x:f>
        <x:v>0.0009999999999763531</x:v>
      </x:c>
      <x:c r="P33" s="512" t="n">
        <x:f>F33+H33</x:f>
        <x:v>3674.0919999999996</x:v>
      </x:c>
      <x:c r="Q33" s="512" t="n">
        <x:f>E33+$E$7</x:f>
        <x:v>1527.1532</x:v>
      </x:c>
      <x:c r="R33" s="512" t="n">
        <x:f>$F$7-F33</x:f>
        <x:v>737.8654000000001</x:v>
      </x:c>
      <x:c r="S33" s="512" t="n">
        <x:f>SQRT((G33-Q33)^2+(H33-R33)^2)</x:f>
        <x:v>0.07360434769750217</x:v>
      </x:c>
      <x:c r="T33" s="509" t="n">
        <x:f>IF(I33=J33,1,0)</x:f>
        <x:v>0</x:v>
      </x:c>
      <x:c r="U33" s="509" t="n">
        <x:f>IF(AND(K33=M33,L33=N33),1,0)</x:f>
        <x:v>0</x:v>
      </x:c>
      <x:c r="V33" s="509" t="n">
        <x:f>ABS(J33-I33)</x:f>
        <x:v>9</x:v>
      </x:c>
    </x:row>
    <x:row r="34" ht="18" customHeight="1">
      <x:c r="A34" s="509" t="str">
        <x:v>24-&gt;40</x:v>
      </x:c>
      <x:c r="B34" s="509" t="n">
        <x:v>80</x:v>
      </x:c>
      <x:c r="C34" s="509" t="n">
        <x:v>5</x:v>
      </x:c>
      <x:c r="D34" s="509" t="n">
        <x:v>3</x:v>
      </x:c>
      <x:c r="E34" s="512" t="n">
        <x:v>1296.931</x:v>
      </x:c>
      <x:c r="F34" s="512" t="n">
        <x:v>2866.789</x:v>
      </x:c>
      <x:c r="G34" s="512" t="n">
        <x:v>1296.931</x:v>
      </x:c>
      <x:c r="H34" s="512" t="n">
        <x:v>807.211</x:v>
      </x:c>
      <x:c r="I34" s="512" t="n">
        <x:v>3415</x:v>
      </x:c>
      <x:c r="J34" s="512" t="n">
        <x:v>3415</x:v>
      </x:c>
      <x:c r="K34" s="512" t="n">
        <x:v>69</x:v>
      </x:c>
      <x:c r="L34" s="512" t="n">
        <x:v>70</x:v>
      </x:c>
      <x:c r="M34" s="512" t="n">
        <x:v>69</x:v>
      </x:c>
      <x:c r="N34" s="512" t="n">
        <x:v>70</x:v>
      </x:c>
      <x:c r="O34" s="512" t="n">
        <x:f>G34-E34</x:f>
        <x:v>0</x:v>
      </x:c>
      <x:c r="P34" s="512" t="n">
        <x:f>F34+H34</x:f>
        <x:v>3674</x:v>
      </x:c>
      <x:c r="Q34" s="512" t="n">
        <x:f>E34+$E$7</x:f>
        <x:v>1296.9312</x:v>
      </x:c>
      <x:c r="R34" s="512" t="n">
        <x:f>$F$7-F34</x:f>
        <x:v>807.2293999999997</x:v>
      </x:c>
      <x:c r="S34" s="512" t="n">
        <x:f>SQRT((G34-Q34)^2+(H34-R34)^2)</x:f>
        <x:v>0.018401086924119146</x:v>
      </x:c>
      <x:c r="T34" s="509" t="n">
        <x:f>IF(I34=J34,1,0)</x:f>
        <x:v>1</x:v>
      </x:c>
      <x:c r="U34" s="509" t="n">
        <x:f>IF(AND(K34=M34,L34=N34),1,0)</x:f>
        <x:v>1</x:v>
      </x:c>
      <x:c r="V34" s="509" t="n">
        <x:f>ABS(J34-I34)</x:f>
        <x:v>0</x:v>
      </x:c>
    </x:row>
    <x:row r="35" ht="18" customHeight="1">
      <x:c r="A35" s="509" t="str">
        <x:v>24-&gt;40</x:v>
      </x:c>
      <x:c r="B35" s="509" t="n">
        <x:v>100</x:v>
      </x:c>
      <x:c r="C35" s="509" t="n">
        <x:v>1</x:v>
      </x:c>
      <x:c r="D35" s="509" t="n">
        <x:v>1</x:v>
      </x:c>
      <x:c r="E35" s="512" t="n">
        <x:v>796.935</x:v>
      </x:c>
      <x:c r="F35" s="512" t="n">
        <x:v>3105.782</x:v>
      </x:c>
      <x:c r="G35" s="512" t="n">
        <x:v>796.941</x:v>
      </x:c>
      <x:c r="H35" s="512" t="n">
        <x:v>568.255</x:v>
      </x:c>
      <x:c r="I35" s="512" t="n">
        <x:v>3547</x:v>
      </x:c>
      <x:c r="J35" s="512" t="n">
        <x:v>3552</x:v>
      </x:c>
      <x:c r="K35" s="512" t="n">
        <x:v>69</x:v>
      </x:c>
      <x:c r="L35" s="512" t="n">
        <x:v>70</x:v>
      </x:c>
      <x:c r="M35" s="512" t="n">
        <x:v>69</x:v>
      </x:c>
      <x:c r="N35" s="512" t="n">
        <x:v>70</x:v>
      </x:c>
      <x:c r="O35" s="512" t="n">
        <x:f>G35-E35</x:f>
        <x:v>0.0060000000000854925</x:v>
      </x:c>
      <x:c r="P35" s="512" t="n">
        <x:f>F35+H35</x:f>
        <x:v>3674.0370000000003</x:v>
      </x:c>
      <x:c r="Q35" s="512" t="n">
        <x:f>E35+$E$8</x:f>
        <x:v>796.8958</x:v>
      </x:c>
      <x:c r="R35" s="512" t="n">
        <x:f>$F$8-F35</x:f>
        <x:v>568.2281999999996</x:v>
      </x:c>
      <x:c r="S35" s="512" t="n">
        <x:f>SQRT((G35-Q35)^2+(H35-R35)^2)</x:f>
        <x:v>0.05254788292619743</x:v>
      </x:c>
      <x:c r="T35" s="509" t="n">
        <x:f>IF(I35=J35,1,0)</x:f>
        <x:v>0</x:v>
      </x:c>
      <x:c r="U35" s="509" t="n">
        <x:f>IF(AND(K35=M35,L35=N35),1,0)</x:f>
        <x:v>1</x:v>
      </x:c>
      <x:c r="V35" s="509" t="n">
        <x:f>ABS(J35-I35)</x:f>
        <x:v>5</x:v>
      </x:c>
    </x:row>
    <x:row r="36" ht="18" customHeight="1">
      <x:c r="A36" s="509" t="str">
        <x:v>24-&gt;40</x:v>
      </x:c>
      <x:c r="B36" s="509" t="n">
        <x:v>100</x:v>
      </x:c>
      <x:c r="C36" s="509" t="n">
        <x:v>2</x:v>
      </x:c>
      <x:c r="D36" s="509" t="n">
        <x:v>2</x:v>
      </x:c>
      <x:c r="E36" s="512" t="n">
        <x:v>992.521</x:v>
      </x:c>
      <x:c r="F36" s="512" t="n">
        <x:v>3166.63</x:v>
      </x:c>
      <x:c r="G36" s="512" t="n">
        <x:v>992.499</x:v>
      </x:c>
      <x:c r="H36" s="512" t="n">
        <x:v>507.363</x:v>
      </x:c>
      <x:c r="I36" s="512" t="n">
        <x:v>3565</x:v>
      </x:c>
      <x:c r="J36" s="512" t="n">
        <x:v>3568</x:v>
      </x:c>
      <x:c r="K36" s="512" t="n">
        <x:v>70</x:v>
      </x:c>
      <x:c r="L36" s="512" t="n">
        <x:v>70</x:v>
      </x:c>
      <x:c r="M36" s="512" t="n">
        <x:v>70</x:v>
      </x:c>
      <x:c r="N36" s="512" t="n">
        <x:v>70</x:v>
      </x:c>
      <x:c r="O36" s="512" t="n">
        <x:f>G36-E36</x:f>
        <x:v>-0.021999999999934516</x:v>
      </x:c>
      <x:c r="P36" s="512" t="n">
        <x:f>F36+H36</x:f>
        <x:v>3673.993</x:v>
      </x:c>
      <x:c r="Q36" s="512" t="n">
        <x:f>E36+$E$8</x:f>
        <x:v>992.4818</x:v>
      </x:c>
      <x:c r="R36" s="512" t="n">
        <x:f>$F$8-F36</x:f>
        <x:v>507.3801999999996</x:v>
      </x:c>
      <x:c r="S36" s="512" t="n">
        <x:f>SQRT((G36-Q36)^2+(H36-R36)^2)</x:f>
        <x:v>0.024324473272539476</x:v>
      </x:c>
      <x:c r="T36" s="509" t="n">
        <x:f>IF(I36=J36,1,0)</x:f>
        <x:v>0</x:v>
      </x:c>
      <x:c r="U36" s="509" t="n">
        <x:f>IF(AND(K36=M36,L36=N36),1,0)</x:f>
        <x:v>1</x:v>
      </x:c>
      <x:c r="V36" s="509" t="n">
        <x:f>ABS(J36-I36)</x:f>
        <x:v>3</x:v>
      </x:c>
    </x:row>
    <x:row r="37" ht="18" customHeight="1">
      <x:c r="A37" s="509" t="str">
        <x:v>24-&gt;40</x:v>
      </x:c>
      <x:c r="B37" s="509" t="n">
        <x:v>100</x:v>
      </x:c>
      <x:c r="C37" s="509" t="n">
        <x:v>3</x:v>
      </x:c>
      <x:c r="D37" s="509" t="n">
        <x:v>5</x:v>
      </x:c>
      <x:c r="E37" s="512" t="n">
        <x:v>1479.321</x:v>
      </x:c>
      <x:c r="F37" s="512" t="n">
        <x:v>3127.5</x:v>
      </x:c>
      <x:c r="G37" s="512" t="n">
        <x:v>1479.256</x:v>
      </x:c>
      <x:c r="H37" s="512" t="n">
        <x:v>546.48</x:v>
      </x:c>
      <x:c r="I37" s="512" t="n">
        <x:v>3412</x:v>
      </x:c>
      <x:c r="J37" s="512" t="n">
        <x:v>3395</x:v>
      </x:c>
      <x:c r="K37" s="512" t="n">
        <x:v>70</x:v>
      </x:c>
      <x:c r="L37" s="512" t="n">
        <x:v>70</x:v>
      </x:c>
      <x:c r="M37" s="512" t="n">
        <x:v>70</x:v>
      </x:c>
      <x:c r="N37" s="512" t="n">
        <x:v>70</x:v>
      </x:c>
      <x:c r="O37" s="512" t="n">
        <x:f>G37-E37</x:f>
        <x:v>-0.0649999999998272</x:v>
      </x:c>
      <x:c r="P37" s="512" t="n">
        <x:f>F37+H37</x:f>
        <x:v>3673.98</x:v>
      </x:c>
      <x:c r="Q37" s="512" t="n">
        <x:f>E37+$E$8</x:f>
        <x:v>1479.2818</x:v>
      </x:c>
      <x:c r="R37" s="512" t="n">
        <x:f>$F$8-F37</x:f>
        <x:v>546.5101999999997</x:v>
      </x:c>
      <x:c r="S37" s="512" t="n">
        <x:f>SQRT((G37-Q37)^2+(H37-R37)^2)</x:f>
        <x:v>0.039720020140678644</x:v>
      </x:c>
      <x:c r="T37" s="509" t="n">
        <x:f>IF(I37=J37,1,0)</x:f>
        <x:v>0</x:v>
      </x:c>
      <x:c r="U37" s="509" t="n">
        <x:f>IF(AND(K37=M37,L37=N37),1,0)</x:f>
        <x:v>1</x:v>
      </x:c>
      <x:c r="V37" s="509" t="n">
        <x:f>ABS(J37-I37)</x:f>
        <x:v>17</x:v>
      </x:c>
    </x:row>
    <x:row r="38" ht="18" customHeight="1">
      <x:c r="A38" s="509" t="str">
        <x:v>24-&gt;40</x:v>
      </x:c>
      <x:c r="B38" s="509" t="n">
        <x:v>100</x:v>
      </x:c>
      <x:c r="C38" s="509" t="n">
        <x:v>4</x:v>
      </x:c>
      <x:c r="D38" s="509" t="n">
        <x:v>4</x:v>
      </x:c>
      <x:c r="E38" s="512" t="n">
        <x:v>1527.174</x:v>
      </x:c>
      <x:c r="F38" s="512" t="n">
        <x:v>2936.127</x:v>
      </x:c>
      <x:c r="G38" s="512" t="n">
        <x:v>1527.166</x:v>
      </x:c>
      <x:c r="H38" s="512" t="n">
        <x:v>737.907</x:v>
      </x:c>
      <x:c r="I38" s="512" t="n">
        <x:v>3442</x:v>
      </x:c>
      <x:c r="J38" s="512" t="n">
        <x:v>3421</x:v>
      </x:c>
      <x:c r="K38" s="512" t="n">
        <x:v>70</x:v>
      </x:c>
      <x:c r="L38" s="512" t="n">
        <x:v>70</x:v>
      </x:c>
      <x:c r="M38" s="512" t="n">
        <x:v>70</x:v>
      </x:c>
      <x:c r="N38" s="512" t="n">
        <x:v>69</x:v>
      </x:c>
      <x:c r="O38" s="512" t="n">
        <x:f>G38-E38</x:f>
        <x:v>-0.008000000000038199</x:v>
      </x:c>
      <x:c r="P38" s="512" t="n">
        <x:f>F38+H38</x:f>
        <x:v>3674.034</x:v>
      </x:c>
      <x:c r="Q38" s="512" t="n">
        <x:f>E38+$E$8</x:f>
        <x:v>1527.1348</x:v>
      </x:c>
      <x:c r="R38" s="512" t="n">
        <x:f>$F$8-F38</x:f>
        <x:v>737.8831999999998</x:v>
      </x:c>
      <x:c r="S38" s="512" t="n">
        <x:f>SQRT((G38-Q38)^2+(H38-R38)^2)</x:f>
        <x:v>0.039241304769425604</x:v>
      </x:c>
      <x:c r="T38" s="509" t="n">
        <x:f>IF(I38=J38,1,0)</x:f>
        <x:v>0</x:v>
      </x:c>
      <x:c r="U38" s="509" t="n">
        <x:f>IF(AND(K38=M38,L38=N38),1,0)</x:f>
        <x:v>0</x:v>
      </x:c>
      <x:c r="V38" s="509" t="n">
        <x:f>ABS(J38-I38)</x:f>
        <x:v>21</x:v>
      </x:c>
    </x:row>
    <x:row r="39" ht="18" customHeight="1">
      <x:c r="A39" s="509" t="str">
        <x:v>24-&gt;40</x:v>
      </x:c>
      <x:c r="B39" s="509" t="n">
        <x:v>100</x:v>
      </x:c>
      <x:c r="C39" s="509" t="n">
        <x:v>5</x:v>
      </x:c>
      <x:c r="D39" s="509" t="n">
        <x:v>3</x:v>
      </x:c>
      <x:c r="E39" s="512" t="n">
        <x:v>1296.977</x:v>
      </x:c>
      <x:c r="F39" s="512" t="n">
        <x:v>2866.771</x:v>
      </x:c>
      <x:c r="G39" s="512" t="n">
        <x:v>1296.87</x:v>
      </x:c>
      <x:c r="H39" s="512" t="n">
        <x:v>807.236</x:v>
      </x:c>
      <x:c r="I39" s="512" t="n">
        <x:v>3428</x:v>
      </x:c>
      <x:c r="J39" s="512" t="n">
        <x:v>3431</x:v>
      </x:c>
      <x:c r="K39" s="512" t="n">
        <x:v>69</x:v>
      </x:c>
      <x:c r="L39" s="512" t="n">
        <x:v>70</x:v>
      </x:c>
      <x:c r="M39" s="512" t="n">
        <x:v>69</x:v>
      </x:c>
      <x:c r="N39" s="512" t="n">
        <x:v>70</x:v>
      </x:c>
      <x:c r="O39" s="512" t="n">
        <x:f>G39-E39</x:f>
        <x:v>-0.10700000000019827</x:v>
      </x:c>
      <x:c r="P39" s="512" t="n">
        <x:f>F39+H39</x:f>
        <x:v>3674.007</x:v>
      </x:c>
      <x:c r="Q39" s="512" t="n">
        <x:f>E39+$E$8</x:f>
        <x:v>1296.9378000000002</x:v>
      </x:c>
      <x:c r="R39" s="512" t="n">
        <x:f>$F$8-F39</x:f>
        <x:v>807.2391999999995</x:v>
      </x:c>
      <x:c r="S39" s="512" t="n">
        <x:f>SQRT((G39-Q39)^2+(H39-R39)^2)</x:f>
        <x:v>0.06787547421589378</x:v>
      </x:c>
      <x:c r="T39" s="509" t="n">
        <x:f>IF(I39=J39,1,0)</x:f>
        <x:v>0</x:v>
      </x:c>
      <x:c r="U39" s="509" t="n">
        <x:f>IF(AND(K39=M39,L39=N39),1,0)</x:f>
        <x:v>1</x:v>
      </x:c>
      <x:c r="V39" s="509" t="n">
        <x:f>ABS(J39-I39)</x:f>
        <x:v>3</x:v>
      </x:c>
    </x:row>
    <x:row r="40" ht="18" customHeight="1">
      <x:c r="A40" s="509" t="str">
        <x:v>24-&gt;73</x:v>
      </x:c>
      <x:c r="B40" s="509" t="n">
        <x:v>40</x:v>
      </x:c>
      <x:c r="C40" s="509" t="n">
        <x:v>1</x:v>
      </x:c>
      <x:c r="D40" s="509" t="n">
        <x:v>4</x:v>
      </x:c>
      <x:c r="E40" s="512" t="n">
        <x:v>796.938</x:v>
      </x:c>
      <x:c r="F40" s="512" t="n">
        <x:v>3105.88</x:v>
      </x:c>
      <x:c r="G40" s="512" t="n">
        <x:v>1603.905</x:v>
      </x:c>
      <x:c r="H40" s="512" t="n">
        <x:v>2686.477</x:v>
      </x:c>
      <x:c r="I40" s="512" t="n">
        <x:v>3443</x:v>
      </x:c>
      <x:c r="J40" s="512" t="n">
        <x:v>3390</x:v>
      </x:c>
      <x:c r="K40" s="512" t="n">
        <x:v>69</x:v>
      </x:c>
      <x:c r="L40" s="512" t="n">
        <x:v>70</x:v>
      </x:c>
      <x:c r="M40" s="512" t="n">
        <x:v>69</x:v>
      </x:c>
      <x:c r="N40" s="512" t="n">
        <x:v>70</x:v>
      </x:c>
      <x:c r="O40" s="512" t="n">
        <x:f>E40+G40</x:f>
        <x:v>2400.843</x:v>
      </x:c>
      <x:c r="P40" s="512" t="n">
        <x:f>H40-F40</x:f>
        <x:v>-419.40300000000025</x:v>
      </x:c>
      <x:c r="Q40" s="512" t="n">
        <x:f>$E$9-E40</x:f>
        <x:v>1603.7015999999999</x:v>
      </x:c>
      <x:c r="R40" s="512" t="n">
        <x:f>F40+$F$9</x:f>
        <x:v>2686.46</x:v>
      </x:c>
      <x:c r="S40" s="512" t="n">
        <x:f>SQRT((G40-Q40)^2+(H40-R40)^2)</x:f>
        <x:v>0.20410918646654627</x:v>
      </x:c>
      <x:c r="T40" s="509" t="n">
        <x:f>IF(I40=J40,1,0)</x:f>
        <x:v>0</x:v>
      </x:c>
      <x:c r="U40" s="509" t="n">
        <x:f>IF(AND(K40=M40,L40=N40),1,0)</x:f>
        <x:v>1</x:v>
      </x:c>
      <x:c r="V40" s="509" t="n">
        <x:f>ABS(J40-I40)</x:f>
        <x:v>53</x:v>
      </x:c>
    </x:row>
    <x:row r="41" ht="18" customHeight="1">
      <x:c r="A41" s="509" t="str">
        <x:v>24-&gt;73</x:v>
      </x:c>
      <x:c r="B41" s="509" t="n">
        <x:v>40</x:v>
      </x:c>
      <x:c r="C41" s="509" t="n">
        <x:v>2</x:v>
      </x:c>
      <x:c r="D41" s="509" t="n">
        <x:v>5</x:v>
      </x:c>
      <x:c r="E41" s="512" t="n">
        <x:v>992.504</x:v>
      </x:c>
      <x:c r="F41" s="512" t="n">
        <x:v>3166.728</x:v>
      </x:c>
      <x:c r="G41" s="512" t="n">
        <x:v>1408.15</x:v>
      </x:c>
      <x:c r="H41" s="512" t="n">
        <x:v>2747.191</x:v>
      </x:c>
      <x:c r="I41" s="512" t="n">
        <x:v>3403</x:v>
      </x:c>
      <x:c r="J41" s="512" t="n">
        <x:v>3447</x:v>
      </x:c>
      <x:c r="K41" s="512" t="n">
        <x:v>70</x:v>
      </x:c>
      <x:c r="L41" s="512" t="n">
        <x:v>70</x:v>
      </x:c>
      <x:c r="M41" s="512" t="n">
        <x:v>69</x:v>
      </x:c>
      <x:c r="N41" s="512" t="n">
        <x:v>70</x:v>
      </x:c>
      <x:c r="O41" s="512" t="n">
        <x:f>E41+G41</x:f>
        <x:v>2400.654</x:v>
      </x:c>
      <x:c r="P41" s="512" t="n">
        <x:f>H41-F41</x:f>
        <x:v>-419.53700000000026</x:v>
      </x:c>
      <x:c r="Q41" s="512" t="n">
        <x:f>$E$9-E41</x:f>
        <x:v>1408.1356</x:v>
      </x:c>
      <x:c r="R41" s="512" t="n">
        <x:f>F41+$F$9</x:f>
        <x:v>2747.308</x:v>
      </x:c>
      <x:c r="S41" s="512" t="n">
        <x:f>SQRT((G41-Q41)^2+(H41-R41)^2)</x:f>
        <x:v>0.11788282317642777</x:v>
      </x:c>
      <x:c r="T41" s="509" t="n">
        <x:f>IF(I41=J41,1,0)</x:f>
        <x:v>0</x:v>
      </x:c>
      <x:c r="U41" s="509" t="n">
        <x:f>IF(AND(K41=M41,L41=N41),1,0)</x:f>
        <x:v>0</x:v>
      </x:c>
      <x:c r="V41" s="509" t="n">
        <x:f>ABS(J41-I41)</x:f>
        <x:v>44</x:v>
      </x:c>
    </x:row>
    <x:row r="42" ht="18" customHeight="1">
      <x:c r="A42" s="509" t="str">
        <x:v>24-&gt;73</x:v>
      </x:c>
      <x:c r="B42" s="509" t="n">
        <x:v>40</x:v>
      </x:c>
      <x:c r="C42" s="509" t="n">
        <x:v>3</x:v>
      </x:c>
      <x:c r="D42" s="509" t="n">
        <x:v>3</x:v>
      </x:c>
      <x:c r="E42" s="512" t="n">
        <x:v>1479.265</x:v>
      </x:c>
      <x:c r="F42" s="512" t="n">
        <x:v>3127.5</x:v>
      </x:c>
      <x:c r="G42" s="512" t="n">
        <x:v>921.154</x:v>
      </x:c>
      <x:c r="H42" s="512" t="n">
        <x:v>2708.061</x:v>
      </x:c>
      <x:c r="I42" s="512" t="n">
        <x:v>3370</x:v>
      </x:c>
      <x:c r="J42" s="512" t="n">
        <x:v>3406</x:v>
      </x:c>
      <x:c r="K42" s="512" t="n">
        <x:v>70</x:v>
      </x:c>
      <x:c r="L42" s="512" t="n">
        <x:v>70</x:v>
      </x:c>
      <x:c r="M42" s="512" t="n">
        <x:v>70</x:v>
      </x:c>
      <x:c r="N42" s="512" t="n">
        <x:v>69</x:v>
      </x:c>
      <x:c r="O42" s="512" t="n">
        <x:f>E42+G42</x:f>
        <x:v>2400.419</x:v>
      </x:c>
      <x:c r="P42" s="512" t="n">
        <x:f>H42-F42</x:f>
        <x:v>-419.43899999999985</x:v>
      </x:c>
      <x:c r="Q42" s="512" t="n">
        <x:f>$E$9-E42</x:f>
        <x:v>921.3745999999999</x:v>
      </x:c>
      <x:c r="R42" s="512" t="n">
        <x:f>F42+$F$9</x:f>
        <x:v>2708.08</x:v>
      </x:c>
      <x:c r="S42" s="512" t="n">
        <x:f>SQRT((G42-Q42)^2+(H42-R42)^2)</x:f>
        <x:v>0.22141671120296488</x:v>
      </x:c>
      <x:c r="T42" s="509" t="n">
        <x:f>IF(I42=J42,1,0)</x:f>
        <x:v>0</x:v>
      </x:c>
      <x:c r="U42" s="509" t="n">
        <x:f>IF(AND(K42=M42,L42=N42),1,0)</x:f>
        <x:v>0</x:v>
      </x:c>
      <x:c r="V42" s="509" t="n">
        <x:f>ABS(J42-I42)</x:f>
        <x:v>36</x:v>
      </x:c>
    </x:row>
    <x:row r="43" ht="18" customHeight="1">
      <x:c r="A43" s="509" t="str">
        <x:v>24-&gt;73</x:v>
      </x:c>
      <x:c r="B43" s="509" t="n">
        <x:v>40</x:v>
      </x:c>
      <x:c r="C43" s="509" t="n">
        <x:v>4</x:v>
      </x:c>
      <x:c r="D43" s="509" t="n">
        <x:v>2</x:v>
      </x:c>
      <x:c r="E43" s="512" t="n">
        <x:v>1527.153</x:v>
      </x:c>
      <x:c r="F43" s="512" t="n">
        <x:v>2936.153</x:v>
      </x:c>
      <x:c r="G43" s="512" t="n">
        <x:v>873.267</x:v>
      </x:c>
      <x:c r="H43" s="512" t="n">
        <x:v>2517</x:v>
      </x:c>
      <x:c r="I43" s="512" t="n">
        <x:v>3415</x:v>
      </x:c>
      <x:c r="J43" s="512" t="n">
        <x:v>3408</x:v>
      </x:c>
      <x:c r="K43" s="512" t="n">
        <x:v>70</x:v>
      </x:c>
      <x:c r="L43" s="512" t="n">
        <x:v>70</x:v>
      </x:c>
      <x:c r="M43" s="512" t="n">
        <x:v>70</x:v>
      </x:c>
      <x:c r="N43" s="512" t="n">
        <x:v>69</x:v>
      </x:c>
      <x:c r="O43" s="512" t="n">
        <x:f>E43+G43</x:f>
        <x:v>2400.42</x:v>
      </x:c>
      <x:c r="P43" s="512" t="n">
        <x:f>H43-F43</x:f>
        <x:v>-419.1529999999998</x:v>
      </x:c>
      <x:c r="Q43" s="512" t="n">
        <x:f>$E$9-E43</x:f>
        <x:v>873.4866</x:v>
      </x:c>
      <x:c r="R43" s="512" t="n">
        <x:f>F43+$F$9</x:f>
        <x:v>2516.7329999999997</x:v>
      </x:c>
      <x:c r="S43" s="512" t="n">
        <x:f>SQRT((G43-Q43)^2+(H43-R43)^2)</x:f>
        <x:v>0.34570675434550857</x:v>
      </x:c>
      <x:c r="T43" s="509" t="n">
        <x:f>IF(I43=J43,1,0)</x:f>
        <x:v>0</x:v>
      </x:c>
      <x:c r="U43" s="509" t="n">
        <x:f>IF(AND(K43=M43,L43=N43),1,0)</x:f>
        <x:v>0</x:v>
      </x:c>
      <x:c r="V43" s="509" t="n">
        <x:f>ABS(J43-I43)</x:f>
        <x:v>7</x:v>
      </x:c>
    </x:row>
    <x:row r="44" ht="18" customHeight="1">
      <x:c r="A44" s="509" t="str">
        <x:v>24-&gt;73</x:v>
      </x:c>
      <x:c r="B44" s="509" t="n">
        <x:v>40</x:v>
      </x:c>
      <x:c r="C44" s="509" t="n">
        <x:v>5</x:v>
      </x:c>
      <x:c r="D44" s="509" t="n">
        <x:v>1</x:v>
      </x:c>
      <x:c r="E44" s="512" t="n">
        <x:v>1296.931</x:v>
      </x:c>
      <x:c r="F44" s="512" t="n">
        <x:v>2866.789</x:v>
      </x:c>
      <x:c r="G44" s="512" t="n">
        <x:v>1103.931</x:v>
      </x:c>
      <x:c r="H44" s="512" t="n">
        <x:v>2447.221</x:v>
      </x:c>
      <x:c r="I44" s="512" t="n">
        <x:v>3415</x:v>
      </x:c>
      <x:c r="J44" s="512" t="n">
        <x:v>3407</x:v>
      </x:c>
      <x:c r="K44" s="512" t="n">
        <x:v>69</x:v>
      </x:c>
      <x:c r="L44" s="512" t="n">
        <x:v>70</x:v>
      </x:c>
      <x:c r="M44" s="512" t="n">
        <x:v>69</x:v>
      </x:c>
      <x:c r="N44" s="512" t="n">
        <x:v>70</x:v>
      </x:c>
      <x:c r="O44" s="512" t="n">
        <x:f>E44+G44</x:f>
        <x:v>2400.862</x:v>
      </x:c>
      <x:c r="P44" s="512" t="n">
        <x:f>H44-F44</x:f>
        <x:v>-419.5680000000002</x:v>
      </x:c>
      <x:c r="Q44" s="512" t="n">
        <x:f>$E$9-E44</x:f>
        <x:v>1103.7086</x:v>
      </x:c>
      <x:c r="R44" s="512" t="n">
        <x:f>F44+$F$9</x:f>
        <x:v>2447.369</x:v>
      </x:c>
      <x:c r="S44" s="512" t="n">
        <x:f>SQRT((G44-Q44)^2+(H44-R44)^2)</x:f>
        <x:v>0.2671437066451098</x:v>
      </x:c>
      <x:c r="T44" s="509" t="n">
        <x:f>IF(I44=J44,1,0)</x:f>
        <x:v>0</x:v>
      </x:c>
      <x:c r="U44" s="509" t="n">
        <x:f>IF(AND(K44=M44,L44=N44),1,0)</x:f>
        <x:v>1</x:v>
      </x:c>
      <x:c r="V44" s="509" t="n">
        <x:f>ABS(J44-I44)</x:f>
        <x:v>8</x:v>
      </x:c>
    </x:row>
    <x:row r="45" ht="18" customHeight="1">
      <x:c r="A45" s="509" t="str">
        <x:v>24-&gt;73</x:v>
      </x:c>
      <x:c r="B45" s="509" t="n">
        <x:v>60</x:v>
      </x:c>
      <x:c r="C45" s="509" t="n">
        <x:v>1</x:v>
      </x:c>
      <x:c r="D45" s="509" t="n">
        <x:v>4</x:v>
      </x:c>
      <x:c r="E45" s="512" t="n">
        <x:v>796.941</x:v>
      </x:c>
      <x:c r="F45" s="512" t="n">
        <x:v>3105.773</x:v>
      </x:c>
      <x:c r="G45" s="512" t="n">
        <x:v>1603.926</x:v>
      </x:c>
      <x:c r="H45" s="512" t="n">
        <x:v>2686.5</x:v>
      </x:c>
      <x:c r="I45" s="512" t="n">
        <x:v>3542</x:v>
      </x:c>
      <x:c r="J45" s="512" t="n">
        <x:v>3532</x:v>
      </x:c>
      <x:c r="K45" s="512" t="n">
        <x:v>69</x:v>
      </x:c>
      <x:c r="L45" s="512" t="n">
        <x:v>70</x:v>
      </x:c>
      <x:c r="M45" s="512" t="n">
        <x:v>69</x:v>
      </x:c>
      <x:c r="N45" s="512" t="n">
        <x:v>70</x:v>
      </x:c>
      <x:c r="O45" s="512" t="n">
        <x:f>E45+G45</x:f>
        <x:v>2400.867</x:v>
      </x:c>
      <x:c r="P45" s="512" t="n">
        <x:f>H45-F45</x:f>
        <x:v>-419.27300000000014</x:v>
      </x:c>
      <x:c r="Q45" s="512" t="n">
        <x:f>$E$10-E45</x:f>
        <x:v>1603.6858000000004</x:v>
      </x:c>
      <x:c r="R45" s="512" t="n">
        <x:f>F45+$F$10</x:f>
        <x:v>2686.4154000000003</x:v>
      </x:c>
      <x:c r="S45" s="512" t="n">
        <x:f>SQRT((G45-Q45)^2+(H45-R45)^2)</x:f>
        <x:v>0.25466291445695033</x:v>
      </x:c>
      <x:c r="T45" s="509" t="n">
        <x:f>IF(I45=J45,1,0)</x:f>
        <x:v>0</x:v>
      </x:c>
      <x:c r="U45" s="509" t="n">
        <x:f>IF(AND(K45=M45,L45=N45),1,0)</x:f>
        <x:v>1</x:v>
      </x:c>
      <x:c r="V45" s="509" t="n">
        <x:f>ABS(J45-I45)</x:f>
        <x:v>10</x:v>
      </x:c>
    </x:row>
    <x:row r="46" ht="18" customHeight="1">
      <x:c r="A46" s="509" t="str">
        <x:v>24-&gt;73</x:v>
      </x:c>
      <x:c r="B46" s="509" t="n">
        <x:v>60</x:v>
      </x:c>
      <x:c r="C46" s="509" t="n">
        <x:v>2</x:v>
      </x:c>
      <x:c r="D46" s="509" t="n">
        <x:v>5</x:v>
      </x:c>
      <x:c r="E46" s="512" t="n">
        <x:v>992.5</x:v>
      </x:c>
      <x:c r="F46" s="512" t="n">
        <x:v>3166.637</x:v>
      </x:c>
      <x:c r="G46" s="512" t="n">
        <x:v>1408.066</x:v>
      </x:c>
      <x:c r="H46" s="512" t="n">
        <x:v>2747.282</x:v>
      </x:c>
      <x:c r="I46" s="512" t="n">
        <x:v>3560</x:v>
      </x:c>
      <x:c r="J46" s="512" t="n">
        <x:v>3551</x:v>
      </x:c>
      <x:c r="K46" s="512" t="n">
        <x:v>70</x:v>
      </x:c>
      <x:c r="L46" s="512" t="n">
        <x:v>70</x:v>
      </x:c>
      <x:c r="M46" s="512" t="n">
        <x:v>69</x:v>
      </x:c>
      <x:c r="N46" s="512" t="n">
        <x:v>70</x:v>
      </x:c>
      <x:c r="O46" s="512" t="n">
        <x:f>E46+G46</x:f>
        <x:v>2400.566</x:v>
      </x:c>
      <x:c r="P46" s="512" t="n">
        <x:f>H46-F46</x:f>
        <x:v>-419.355</x:v>
      </x:c>
      <x:c r="Q46" s="512" t="n">
        <x:f>$E$10-E46</x:f>
        <x:v>1408.1268000000005</x:v>
      </x:c>
      <x:c r="R46" s="512" t="n">
        <x:f>F46+$F$10</x:f>
        <x:v>2747.2794000000004</x:v>
      </x:c>
      <x:c r="S46" s="512" t="n">
        <x:f>SQRT((G46-Q46)^2+(H46-R46)^2)</x:f>
        <x:v>0.06085556671374331</x:v>
      </x:c>
      <x:c r="T46" s="509" t="n">
        <x:f>IF(I46=J46,1,0)</x:f>
        <x:v>0</x:v>
      </x:c>
      <x:c r="U46" s="509" t="n">
        <x:f>IF(AND(K46=M46,L46=N46),1,0)</x:f>
        <x:v>0</x:v>
      </x:c>
      <x:c r="V46" s="509" t="n">
        <x:f>ABS(J46-I46)</x:f>
        <x:v>9</x:v>
      </x:c>
    </x:row>
    <x:row r="47" ht="18" customHeight="1">
      <x:c r="A47" s="509" t="str">
        <x:v>24-&gt;73</x:v>
      </x:c>
      <x:c r="B47" s="509" t="n">
        <x:v>60</x:v>
      </x:c>
      <x:c r="C47" s="509" t="n">
        <x:v>3</x:v>
      </x:c>
      <x:c r="D47" s="509" t="n">
        <x:v>3</x:v>
      </x:c>
      <x:c r="E47" s="512" t="n">
        <x:v>1479.265</x:v>
      </x:c>
      <x:c r="F47" s="512" t="n">
        <x:v>3127.5</x:v>
      </x:c>
      <x:c r="G47" s="512" t="n">
        <x:v>921.154</x:v>
      </x:c>
      <x:c r="H47" s="512" t="n">
        <x:v>2708.061</x:v>
      </x:c>
      <x:c r="I47" s="512" t="n">
        <x:v>3370</x:v>
      </x:c>
      <x:c r="J47" s="512" t="n">
        <x:v>3406</x:v>
      </x:c>
      <x:c r="K47" s="512" t="n">
        <x:v>70</x:v>
      </x:c>
      <x:c r="L47" s="512" t="n">
        <x:v>70</x:v>
      </x:c>
      <x:c r="M47" s="512" t="n">
        <x:v>70</x:v>
      </x:c>
      <x:c r="N47" s="512" t="n">
        <x:v>69</x:v>
      </x:c>
      <x:c r="O47" s="512" t="n">
        <x:f>E47+G47</x:f>
        <x:v>2400.419</x:v>
      </x:c>
      <x:c r="P47" s="512" t="n">
        <x:f>H47-F47</x:f>
        <x:v>-419.43899999999985</x:v>
      </x:c>
      <x:c r="Q47" s="512" t="n">
        <x:f>$E$10-E47</x:f>
        <x:v>921.3618000000004</x:v>
      </x:c>
      <x:c r="R47" s="512" t="n">
        <x:f>F47+$F$10</x:f>
        <x:v>2708.1424</x:v>
      </x:c>
      <x:c r="S47" s="512" t="n">
        <x:f>SQRT((G47-Q47)^2+(H47-R47)^2)</x:f>
        <x:v>0.22317437128880885</x:v>
      </x:c>
      <x:c r="T47" s="509" t="n">
        <x:f>IF(I47=J47,1,0)</x:f>
        <x:v>0</x:v>
      </x:c>
      <x:c r="U47" s="509" t="n">
        <x:f>IF(AND(K47=M47,L47=N47),1,0)</x:f>
        <x:v>0</x:v>
      </x:c>
      <x:c r="V47" s="509" t="n">
        <x:f>ABS(J47-I47)</x:f>
        <x:v>36</x:v>
      </x:c>
    </x:row>
    <x:row r="48" ht="18" customHeight="1">
      <x:c r="A48" s="509" t="str">
        <x:v>24-&gt;73</x:v>
      </x:c>
      <x:c r="B48" s="509" t="n">
        <x:v>60</x:v>
      </x:c>
      <x:c r="C48" s="509" t="n">
        <x:v>4</x:v>
      </x:c>
      <x:c r="D48" s="509" t="n">
        <x:v>2</x:v>
      </x:c>
      <x:c r="E48" s="512" t="n">
        <x:v>1527.153</x:v>
      </x:c>
      <x:c r="F48" s="512" t="n">
        <x:v>2936.153</x:v>
      </x:c>
      <x:c r="G48" s="512" t="n">
        <x:v>873.267</x:v>
      </x:c>
      <x:c r="H48" s="512" t="n">
        <x:v>2517</x:v>
      </x:c>
      <x:c r="I48" s="512" t="n">
        <x:v>3415</x:v>
      </x:c>
      <x:c r="J48" s="512" t="n">
        <x:v>3408</x:v>
      </x:c>
      <x:c r="K48" s="512" t="n">
        <x:v>70</x:v>
      </x:c>
      <x:c r="L48" s="512" t="n">
        <x:v>70</x:v>
      </x:c>
      <x:c r="M48" s="512" t="n">
        <x:v>70</x:v>
      </x:c>
      <x:c r="N48" s="512" t="n">
        <x:v>69</x:v>
      </x:c>
      <x:c r="O48" s="512" t="n">
        <x:f>E48+G48</x:f>
        <x:v>2400.42</x:v>
      </x:c>
      <x:c r="P48" s="512" t="n">
        <x:f>H48-F48</x:f>
        <x:v>-419.1529999999998</x:v>
      </x:c>
      <x:c r="Q48" s="512" t="n">
        <x:f>$E$10-E48</x:f>
        <x:v>873.4738000000004</x:v>
      </x:c>
      <x:c r="R48" s="512" t="n">
        <x:f>F48+$F$10</x:f>
        <x:v>2516.7954</x:v>
      </x:c>
      <x:c r="S48" s="512" t="n">
        <x:f>SQRT((G48-Q48)^2+(H48-R48)^2)</x:f>
        <x:v>0.2909078892023565</x:v>
      </x:c>
      <x:c r="T48" s="509" t="n">
        <x:f>IF(I48=J48,1,0)</x:f>
        <x:v>0</x:v>
      </x:c>
      <x:c r="U48" s="509" t="n">
        <x:f>IF(AND(K48=M48,L48=N48),1,0)</x:f>
        <x:v>0</x:v>
      </x:c>
      <x:c r="V48" s="509" t="n">
        <x:f>ABS(J48-I48)</x:f>
        <x:v>7</x:v>
      </x:c>
    </x:row>
    <x:row r="49" ht="18" customHeight="1">
      <x:c r="A49" s="509" t="str">
        <x:v>24-&gt;73</x:v>
      </x:c>
      <x:c r="B49" s="509" t="n">
        <x:v>60</x:v>
      </x:c>
      <x:c r="C49" s="509" t="n">
        <x:v>5</x:v>
      </x:c>
      <x:c r="D49" s="509" t="n">
        <x:v>1</x:v>
      </x:c>
      <x:c r="E49" s="512" t="n">
        <x:v>1296.931</x:v>
      </x:c>
      <x:c r="F49" s="512" t="n">
        <x:v>2866.789</x:v>
      </x:c>
      <x:c r="G49" s="512" t="n">
        <x:v>1103.931</x:v>
      </x:c>
      <x:c r="H49" s="512" t="n">
        <x:v>2447.221</x:v>
      </x:c>
      <x:c r="I49" s="512" t="n">
        <x:v>3415</x:v>
      </x:c>
      <x:c r="J49" s="512" t="n">
        <x:v>3407</x:v>
      </x:c>
      <x:c r="K49" s="512" t="n">
        <x:v>69</x:v>
      </x:c>
      <x:c r="L49" s="512" t="n">
        <x:v>70</x:v>
      </x:c>
      <x:c r="M49" s="512" t="n">
        <x:v>69</x:v>
      </x:c>
      <x:c r="N49" s="512" t="n">
        <x:v>70</x:v>
      </x:c>
      <x:c r="O49" s="512" t="n">
        <x:f>E49+G49</x:f>
        <x:v>2400.862</x:v>
      </x:c>
      <x:c r="P49" s="512" t="n">
        <x:f>H49-F49</x:f>
        <x:v>-419.5680000000002</x:v>
      </x:c>
      <x:c r="Q49" s="512" t="n">
        <x:f>$E$10-E49</x:f>
        <x:v>1103.6958000000004</x:v>
      </x:c>
      <x:c r="R49" s="512" t="n">
        <x:f>F49+$F$10</x:f>
        <x:v>2447.4314000000004</x:v>
      </x:c>
      <x:c r="S49" s="512" t="n">
        <x:f>SQRT((G49-Q49)^2+(H49-R49)^2)</x:f>
        <x:v>0.3155743969335706</x:v>
      </x:c>
      <x:c r="T49" s="509" t="n">
        <x:f>IF(I49=J49,1,0)</x:f>
        <x:v>0</x:v>
      </x:c>
      <x:c r="U49" s="509" t="n">
        <x:f>IF(AND(K49=M49,L49=N49),1,0)</x:f>
        <x:v>1</x:v>
      </x:c>
      <x:c r="V49" s="509" t="n">
        <x:f>ABS(J49-I49)</x:f>
        <x:v>8</x:v>
      </x:c>
    </x:row>
    <x:row r="50" ht="18" customHeight="1">
      <x:c r="A50" s="509" t="str">
        <x:v>24-&gt;73</x:v>
      </x:c>
      <x:c r="B50" s="509" t="n">
        <x:v>80</x:v>
      </x:c>
      <x:c r="C50" s="509" t="n">
        <x:v>1</x:v>
      </x:c>
      <x:c r="D50" s="509" t="n">
        <x:v>4</x:v>
      </x:c>
      <x:c r="E50" s="512" t="n">
        <x:v>796.941</x:v>
      </x:c>
      <x:c r="F50" s="512" t="n">
        <x:v>3105.773</x:v>
      </x:c>
      <x:c r="G50" s="512" t="n">
        <x:v>1603.926</x:v>
      </x:c>
      <x:c r="H50" s="512" t="n">
        <x:v>2686.5</x:v>
      </x:c>
      <x:c r="I50" s="512" t="n">
        <x:v>3542</x:v>
      </x:c>
      <x:c r="J50" s="512" t="n">
        <x:v>3532</x:v>
      </x:c>
      <x:c r="K50" s="512" t="n">
        <x:v>69</x:v>
      </x:c>
      <x:c r="L50" s="512" t="n">
        <x:v>70</x:v>
      </x:c>
      <x:c r="M50" s="512" t="n">
        <x:v>69</x:v>
      </x:c>
      <x:c r="N50" s="512" t="n">
        <x:v>70</x:v>
      </x:c>
      <x:c r="O50" s="512" t="n">
        <x:f>E50+G50</x:f>
        <x:v>2400.867</x:v>
      </x:c>
      <x:c r="P50" s="512" t="n">
        <x:f>H50-F50</x:f>
        <x:v>-419.27300000000014</x:v>
      </x:c>
      <x:c r="Q50" s="512" t="n">
        <x:f>$E$11-E50</x:f>
        <x:v>1603.6858000000004</x:v>
      </x:c>
      <x:c r="R50" s="512" t="n">
        <x:f>F50+$F$11</x:f>
        <x:v>2686.4154000000003</x:v>
      </x:c>
      <x:c r="S50" s="512" t="n">
        <x:f>SQRT((G50-Q50)^2+(H50-R50)^2)</x:f>
        <x:v>0.25466291445695033</x:v>
      </x:c>
      <x:c r="T50" s="509" t="n">
        <x:f>IF(I50=J50,1,0)</x:f>
        <x:v>0</x:v>
      </x:c>
      <x:c r="U50" s="509" t="n">
        <x:f>IF(AND(K50=M50,L50=N50),1,0)</x:f>
        <x:v>1</x:v>
      </x:c>
      <x:c r="V50" s="509" t="n">
        <x:f>ABS(J50-I50)</x:f>
        <x:v>10</x:v>
      </x:c>
    </x:row>
    <x:row r="51" ht="18" customHeight="1">
      <x:c r="A51" s="509" t="str">
        <x:v>24-&gt;73</x:v>
      </x:c>
      <x:c r="B51" s="509" t="n">
        <x:v>80</x:v>
      </x:c>
      <x:c r="C51" s="509" t="n">
        <x:v>2</x:v>
      </x:c>
      <x:c r="D51" s="509" t="n">
        <x:v>5</x:v>
      </x:c>
      <x:c r="E51" s="512" t="n">
        <x:v>992.5</x:v>
      </x:c>
      <x:c r="F51" s="512" t="n">
        <x:v>3166.637</x:v>
      </x:c>
      <x:c r="G51" s="512" t="n">
        <x:v>1408.066</x:v>
      </x:c>
      <x:c r="H51" s="512" t="n">
        <x:v>2747.282</x:v>
      </x:c>
      <x:c r="I51" s="512" t="n">
        <x:v>3560</x:v>
      </x:c>
      <x:c r="J51" s="512" t="n">
        <x:v>3551</x:v>
      </x:c>
      <x:c r="K51" s="512" t="n">
        <x:v>70</x:v>
      </x:c>
      <x:c r="L51" s="512" t="n">
        <x:v>70</x:v>
      </x:c>
      <x:c r="M51" s="512" t="n">
        <x:v>69</x:v>
      </x:c>
      <x:c r="N51" s="512" t="n">
        <x:v>70</x:v>
      </x:c>
      <x:c r="O51" s="512" t="n">
        <x:f>E51+G51</x:f>
        <x:v>2400.566</x:v>
      </x:c>
      <x:c r="P51" s="512" t="n">
        <x:f>H51-F51</x:f>
        <x:v>-419.355</x:v>
      </x:c>
      <x:c r="Q51" s="512" t="n">
        <x:f>$E$11-E51</x:f>
        <x:v>1408.1268000000005</x:v>
      </x:c>
      <x:c r="R51" s="512" t="n">
        <x:f>F51+$F$11</x:f>
        <x:v>2747.2794000000004</x:v>
      </x:c>
      <x:c r="S51" s="512" t="n">
        <x:f>SQRT((G51-Q51)^2+(H51-R51)^2)</x:f>
        <x:v>0.06085556671374331</x:v>
      </x:c>
      <x:c r="T51" s="509" t="n">
        <x:f>IF(I51=J51,1,0)</x:f>
        <x:v>0</x:v>
      </x:c>
      <x:c r="U51" s="509" t="n">
        <x:f>IF(AND(K51=M51,L51=N51),1,0)</x:f>
        <x:v>0</x:v>
      </x:c>
      <x:c r="V51" s="509" t="n">
        <x:f>ABS(J51-I51)</x:f>
        <x:v>9</x:v>
      </x:c>
    </x:row>
    <x:row r="52" ht="18" customHeight="1">
      <x:c r="A52" s="509" t="str">
        <x:v>24-&gt;73</x:v>
      </x:c>
      <x:c r="B52" s="509" t="n">
        <x:v>80</x:v>
      </x:c>
      <x:c r="C52" s="509" t="n">
        <x:v>3</x:v>
      </x:c>
      <x:c r="D52" s="509" t="n">
        <x:v>3</x:v>
      </x:c>
      <x:c r="E52" s="512" t="n">
        <x:v>1479.265</x:v>
      </x:c>
      <x:c r="F52" s="512" t="n">
        <x:v>3127.5</x:v>
      </x:c>
      <x:c r="G52" s="512" t="n">
        <x:v>921.154</x:v>
      </x:c>
      <x:c r="H52" s="512" t="n">
        <x:v>2708.061</x:v>
      </x:c>
      <x:c r="I52" s="512" t="n">
        <x:v>3370</x:v>
      </x:c>
      <x:c r="J52" s="512" t="n">
        <x:v>3406</x:v>
      </x:c>
      <x:c r="K52" s="512" t="n">
        <x:v>70</x:v>
      </x:c>
      <x:c r="L52" s="512" t="n">
        <x:v>70</x:v>
      </x:c>
      <x:c r="M52" s="512" t="n">
        <x:v>70</x:v>
      </x:c>
      <x:c r="N52" s="512" t="n">
        <x:v>69</x:v>
      </x:c>
      <x:c r="O52" s="512" t="n">
        <x:f>E52+G52</x:f>
        <x:v>2400.419</x:v>
      </x:c>
      <x:c r="P52" s="512" t="n">
        <x:f>H52-F52</x:f>
        <x:v>-419.43899999999985</x:v>
      </x:c>
      <x:c r="Q52" s="512" t="n">
        <x:f>$E$11-E52</x:f>
        <x:v>921.3618000000004</x:v>
      </x:c>
      <x:c r="R52" s="512" t="n">
        <x:f>F52+$F$11</x:f>
        <x:v>2708.1424</x:v>
      </x:c>
      <x:c r="S52" s="512" t="n">
        <x:f>SQRT((G52-Q52)^2+(H52-R52)^2)</x:f>
        <x:v>0.22317437128880885</x:v>
      </x:c>
      <x:c r="T52" s="509" t="n">
        <x:f>IF(I52=J52,1,0)</x:f>
        <x:v>0</x:v>
      </x:c>
      <x:c r="U52" s="509" t="n">
        <x:f>IF(AND(K52=M52,L52=N52),1,0)</x:f>
        <x:v>0</x:v>
      </x:c>
      <x:c r="V52" s="509" t="n">
        <x:f>ABS(J52-I52)</x:f>
        <x:v>36</x:v>
      </x:c>
    </x:row>
    <x:row r="53" ht="18" customHeight="1">
      <x:c r="A53" s="509" t="str">
        <x:v>24-&gt;73</x:v>
      </x:c>
      <x:c r="B53" s="509" t="n">
        <x:v>80</x:v>
      </x:c>
      <x:c r="C53" s="509" t="n">
        <x:v>4</x:v>
      </x:c>
      <x:c r="D53" s="509" t="n">
        <x:v>2</x:v>
      </x:c>
      <x:c r="E53" s="512" t="n">
        <x:v>1527.153</x:v>
      </x:c>
      <x:c r="F53" s="512" t="n">
        <x:v>2936.153</x:v>
      </x:c>
      <x:c r="G53" s="512" t="n">
        <x:v>873.267</x:v>
      </x:c>
      <x:c r="H53" s="512" t="n">
        <x:v>2517</x:v>
      </x:c>
      <x:c r="I53" s="512" t="n">
        <x:v>3415</x:v>
      </x:c>
      <x:c r="J53" s="512" t="n">
        <x:v>3408</x:v>
      </x:c>
      <x:c r="K53" s="512" t="n">
        <x:v>70</x:v>
      </x:c>
      <x:c r="L53" s="512" t="n">
        <x:v>70</x:v>
      </x:c>
      <x:c r="M53" s="512" t="n">
        <x:v>70</x:v>
      </x:c>
      <x:c r="N53" s="512" t="n">
        <x:v>69</x:v>
      </x:c>
      <x:c r="O53" s="512" t="n">
        <x:f>E53+G53</x:f>
        <x:v>2400.42</x:v>
      </x:c>
      <x:c r="P53" s="512" t="n">
        <x:f>H53-F53</x:f>
        <x:v>-419.1529999999998</x:v>
      </x:c>
      <x:c r="Q53" s="512" t="n">
        <x:f>$E$11-E53</x:f>
        <x:v>873.4738000000004</x:v>
      </x:c>
      <x:c r="R53" s="512" t="n">
        <x:f>F53+$F$11</x:f>
        <x:v>2516.7954</x:v>
      </x:c>
      <x:c r="S53" s="512" t="n">
        <x:f>SQRT((G53-Q53)^2+(H53-R53)^2)</x:f>
        <x:v>0.2909078892023565</x:v>
      </x:c>
      <x:c r="T53" s="509" t="n">
        <x:f>IF(I53=J53,1,0)</x:f>
        <x:v>0</x:v>
      </x:c>
      <x:c r="U53" s="509" t="n">
        <x:f>IF(AND(K53=M53,L53=N53),1,0)</x:f>
        <x:v>0</x:v>
      </x:c>
      <x:c r="V53" s="509" t="n">
        <x:f>ABS(J53-I53)</x:f>
        <x:v>7</x:v>
      </x:c>
    </x:row>
    <x:row r="54" ht="18" customHeight="1">
      <x:c r="A54" s="509" t="str">
        <x:v>24-&gt;73</x:v>
      </x:c>
      <x:c r="B54" s="509" t="n">
        <x:v>80</x:v>
      </x:c>
      <x:c r="C54" s="509" t="n">
        <x:v>5</x:v>
      </x:c>
      <x:c r="D54" s="509" t="n">
        <x:v>1</x:v>
      </x:c>
      <x:c r="E54" s="512" t="n">
        <x:v>1296.931</x:v>
      </x:c>
      <x:c r="F54" s="512" t="n">
        <x:v>2866.789</x:v>
      </x:c>
      <x:c r="G54" s="512" t="n">
        <x:v>1103.931</x:v>
      </x:c>
      <x:c r="H54" s="512" t="n">
        <x:v>2447.221</x:v>
      </x:c>
      <x:c r="I54" s="512" t="n">
        <x:v>3415</x:v>
      </x:c>
      <x:c r="J54" s="512" t="n">
        <x:v>3407</x:v>
      </x:c>
      <x:c r="K54" s="512" t="n">
        <x:v>69</x:v>
      </x:c>
      <x:c r="L54" s="512" t="n">
        <x:v>70</x:v>
      </x:c>
      <x:c r="M54" s="512" t="n">
        <x:v>69</x:v>
      </x:c>
      <x:c r="N54" s="512" t="n">
        <x:v>70</x:v>
      </x:c>
      <x:c r="O54" s="512" t="n">
        <x:f>E54+G54</x:f>
        <x:v>2400.862</x:v>
      </x:c>
      <x:c r="P54" s="512" t="n">
        <x:f>H54-F54</x:f>
        <x:v>-419.5680000000002</x:v>
      </x:c>
      <x:c r="Q54" s="512" t="n">
        <x:f>$E$11-E54</x:f>
        <x:v>1103.6958000000004</x:v>
      </x:c>
      <x:c r="R54" s="512" t="n">
        <x:f>F54+$F$11</x:f>
        <x:v>2447.4314000000004</x:v>
      </x:c>
      <x:c r="S54" s="512" t="n">
        <x:f>SQRT((G54-Q54)^2+(H54-R54)^2)</x:f>
        <x:v>0.3155743969335706</x:v>
      </x:c>
      <x:c r="T54" s="509" t="n">
        <x:f>IF(I54=J54,1,0)</x:f>
        <x:v>0</x:v>
      </x:c>
      <x:c r="U54" s="509" t="n">
        <x:f>IF(AND(K54=M54,L54=N54),1,0)</x:f>
        <x:v>1</x:v>
      </x:c>
      <x:c r="V54" s="509" t="n">
        <x:f>ABS(J54-I54)</x:f>
        <x:v>8</x:v>
      </x:c>
    </x:row>
    <x:row r="55" ht="18" customHeight="1">
      <x:c r="A55" s="509" t="str">
        <x:v>24-&gt;73</x:v>
      </x:c>
      <x:c r="B55" s="509" t="n">
        <x:v>100</x:v>
      </x:c>
      <x:c r="C55" s="509" t="n">
        <x:v>1</x:v>
      </x:c>
      <x:c r="D55" s="509" t="n">
        <x:v>4</x:v>
      </x:c>
      <x:c r="E55" s="512" t="n">
        <x:v>796.935</x:v>
      </x:c>
      <x:c r="F55" s="512" t="n">
        <x:v>3105.782</x:v>
      </x:c>
      <x:c r="G55" s="512" t="n">
        <x:v>1603.926</x:v>
      </x:c>
      <x:c r="H55" s="512" t="n">
        <x:v>2686.512</x:v>
      </x:c>
      <x:c r="I55" s="512" t="n">
        <x:v>3547</x:v>
      </x:c>
      <x:c r="J55" s="512" t="n">
        <x:v>3540</x:v>
      </x:c>
      <x:c r="K55" s="512" t="n">
        <x:v>69</x:v>
      </x:c>
      <x:c r="L55" s="512" t="n">
        <x:v>70</x:v>
      </x:c>
      <x:c r="M55" s="512" t="n">
        <x:v>69</x:v>
      </x:c>
      <x:c r="N55" s="512" t="n">
        <x:v>70</x:v>
      </x:c>
      <x:c r="O55" s="512" t="n">
        <x:f>E55+G55</x:f>
        <x:v>2400.861</x:v>
      </x:c>
      <x:c r="P55" s="512" t="n">
        <x:f>H55-F55</x:f>
        <x:v>-419.27</x:v>
      </x:c>
      <x:c r="Q55" s="512" t="n">
        <x:f>$E$12-E55</x:f>
        <x:v>1603.7057999999997</x:v>
      </x:c>
      <x:c r="R55" s="512" t="n">
        <x:f>F55+$F$12</x:f>
        <x:v>2686.4514000000004</x:v>
      </x:c>
      <x:c r="S55" s="512" t="n">
        <x:f>SQRT((G55-Q55)^2+(H55-R55)^2)</x:f>
        <x:v>0.22838651448819208</x:v>
      </x:c>
      <x:c r="T55" s="509" t="n">
        <x:f>IF(I55=J55,1,0)</x:f>
        <x:v>0</x:v>
      </x:c>
      <x:c r="U55" s="509" t="n">
        <x:f>IF(AND(K55=M55,L55=N55),1,0)</x:f>
        <x:v>1</x:v>
      </x:c>
      <x:c r="V55" s="509" t="n">
        <x:f>ABS(J55-I55)</x:f>
        <x:v>7</x:v>
      </x:c>
    </x:row>
    <x:row r="56" ht="18" customHeight="1">
      <x:c r="A56" s="509" t="str">
        <x:v>24-&gt;73</x:v>
      </x:c>
      <x:c r="B56" s="509" t="n">
        <x:v>100</x:v>
      </x:c>
      <x:c r="C56" s="509" t="n">
        <x:v>2</x:v>
      </x:c>
      <x:c r="D56" s="509" t="n">
        <x:v>5</x:v>
      </x:c>
      <x:c r="E56" s="512" t="n">
        <x:v>992.521</x:v>
      </x:c>
      <x:c r="F56" s="512" t="n">
        <x:v>3166.63</x:v>
      </x:c>
      <x:c r="G56" s="512" t="n">
        <x:v>1408.092</x:v>
      </x:c>
      <x:c r="H56" s="512" t="n">
        <x:v>2747.282</x:v>
      </x:c>
      <x:c r="I56" s="512" t="n">
        <x:v>3565</x:v>
      </x:c>
      <x:c r="J56" s="512" t="n">
        <x:v>3559</x:v>
      </x:c>
      <x:c r="K56" s="512" t="n">
        <x:v>70</x:v>
      </x:c>
      <x:c r="L56" s="512" t="n">
        <x:v>70</x:v>
      </x:c>
      <x:c r="M56" s="512" t="n">
        <x:v>69</x:v>
      </x:c>
      <x:c r="N56" s="512" t="n">
        <x:v>70</x:v>
      </x:c>
      <x:c r="O56" s="512" t="n">
        <x:f>E56+G56</x:f>
        <x:v>2400.6130000000003</x:v>
      </x:c>
      <x:c r="P56" s="512" t="n">
        <x:f>H56-F56</x:f>
        <x:v>-419.34799999999996</x:v>
      </x:c>
      <x:c r="Q56" s="512" t="n">
        <x:f>$E$12-E56</x:f>
        <x:v>1408.1197999999997</x:v>
      </x:c>
      <x:c r="R56" s="512" t="n">
        <x:f>F56+$F$12</x:f>
        <x:v>2747.2994000000003</x:v>
      </x:c>
      <x:c r="S56" s="512" t="n">
        <x:f>SQRT((G56-Q56)^2+(H56-R56)^2)</x:f>
        <x:v>0.03279634125912331</x:v>
      </x:c>
      <x:c r="T56" s="509" t="n">
        <x:f>IF(I56=J56,1,0)</x:f>
        <x:v>0</x:v>
      </x:c>
      <x:c r="U56" s="509" t="n">
        <x:f>IF(AND(K56=M56,L56=N56),1,0)</x:f>
        <x:v>0</x:v>
      </x:c>
      <x:c r="V56" s="509" t="n">
        <x:f>ABS(J56-I56)</x:f>
        <x:v>6</x:v>
      </x:c>
    </x:row>
    <x:row r="57" ht="18" customHeight="1">
      <x:c r="A57" s="509" t="str">
        <x:v>24-&gt;73</x:v>
      </x:c>
      <x:c r="B57" s="509" t="n">
        <x:v>100</x:v>
      </x:c>
      <x:c r="C57" s="509" t="n">
        <x:v>3</x:v>
      </x:c>
      <x:c r="D57" s="509" t="n">
        <x:v>3</x:v>
      </x:c>
      <x:c r="E57" s="512" t="n">
        <x:v>1479.321</x:v>
      </x:c>
      <x:c r="F57" s="512" t="n">
        <x:v>3127.5</x:v>
      </x:c>
      <x:c r="G57" s="512" t="n">
        <x:v>921.155</x:v>
      </x:c>
      <x:c r="H57" s="512" t="n">
        <x:v>2708.109</x:v>
      </x:c>
      <x:c r="I57" s="512" t="n">
        <x:v>3412</x:v>
      </x:c>
      <x:c r="J57" s="512" t="n">
        <x:v>3417</x:v>
      </x:c>
      <x:c r="K57" s="512" t="n">
        <x:v>70</x:v>
      </x:c>
      <x:c r="L57" s="512" t="n">
        <x:v>70</x:v>
      </x:c>
      <x:c r="M57" s="512" t="n">
        <x:v>70</x:v>
      </x:c>
      <x:c r="N57" s="512" t="n">
        <x:v>69</x:v>
      </x:c>
      <x:c r="O57" s="512" t="n">
        <x:f>E57+G57</x:f>
        <x:v>2400.4759999999997</x:v>
      </x:c>
      <x:c r="P57" s="512" t="n">
        <x:f>H57-F57</x:f>
        <x:v>-419.3910000000001</x:v>
      </x:c>
      <x:c r="Q57" s="512" t="n">
        <x:f>$E$12-E57</x:f>
        <x:v>921.3197999999998</x:v>
      </x:c>
      <x:c r="R57" s="512" t="n">
        <x:f>F57+$F$12</x:f>
        <x:v>2708.1694</x:v>
      </x:c>
      <x:c r="S57" s="512" t="n">
        <x:f>SQRT((G57-Q57)^2+(H57-R57)^2)</x:f>
        <x:v>0.17551979945284185</x:v>
      </x:c>
      <x:c r="T57" s="509" t="n">
        <x:f>IF(I57=J57,1,0)</x:f>
        <x:v>0</x:v>
      </x:c>
      <x:c r="U57" s="509" t="n">
        <x:f>IF(AND(K57=M57,L57=N57),1,0)</x:f>
        <x:v>0</x:v>
      </x:c>
      <x:c r="V57" s="509" t="n">
        <x:f>ABS(J57-I57)</x:f>
        <x:v>5</x:v>
      </x:c>
    </x:row>
    <x:row r="58" ht="18" customHeight="1">
      <x:c r="A58" s="509" t="str">
        <x:v>24-&gt;73</x:v>
      </x:c>
      <x:c r="B58" s="509" t="n">
        <x:v>100</x:v>
      </x:c>
      <x:c r="C58" s="509" t="n">
        <x:v>4</x:v>
      </x:c>
      <x:c r="D58" s="509" t="n">
        <x:v>2</x:v>
      </x:c>
      <x:c r="E58" s="512" t="n">
        <x:v>1527.174</x:v>
      </x:c>
      <x:c r="F58" s="512" t="n">
        <x:v>2936.127</x:v>
      </x:c>
      <x:c r="G58" s="512" t="n">
        <x:v>873.245</x:v>
      </x:c>
      <x:c r="H58" s="512" t="n">
        <x:v>2517.003</x:v>
      </x:c>
      <x:c r="I58" s="512" t="n">
        <x:v>3442</x:v>
      </x:c>
      <x:c r="J58" s="512" t="n">
        <x:v>3426</x:v>
      </x:c>
      <x:c r="K58" s="512" t="n">
        <x:v>70</x:v>
      </x:c>
      <x:c r="L58" s="512" t="n">
        <x:v>70</x:v>
      </x:c>
      <x:c r="M58" s="512" t="n">
        <x:v>70</x:v>
      </x:c>
      <x:c r="N58" s="512" t="n">
        <x:v>69</x:v>
      </x:c>
      <x:c r="O58" s="512" t="n">
        <x:f>E58+G58</x:f>
        <x:v>2400.419</x:v>
      </x:c>
      <x:c r="P58" s="512" t="n">
        <x:f>H58-F58</x:f>
        <x:v>-419.1239999999998</x:v>
      </x:c>
      <x:c r="Q58" s="512" t="n">
        <x:f>$E$12-E58</x:f>
        <x:v>873.4667999999997</x:v>
      </x:c>
      <x:c r="R58" s="512" t="n">
        <x:f>F58+$F$12</x:f>
        <x:v>2516.7964</x:v>
      </x:c>
      <x:c r="S58" s="512" t="n">
        <x:f>SQRT((G58-Q58)^2+(H58-R58)^2)</x:f>
        <x:v>0.3031151596338494</x:v>
      </x:c>
      <x:c r="T58" s="509" t="n">
        <x:f>IF(I58=J58,1,0)</x:f>
        <x:v>0</x:v>
      </x:c>
      <x:c r="U58" s="509" t="n">
        <x:f>IF(AND(K58=M58,L58=N58),1,0)</x:f>
        <x:v>0</x:v>
      </x:c>
      <x:c r="V58" s="509" t="n">
        <x:f>ABS(J58-I58)</x:f>
        <x:v>16</x:v>
      </x:c>
    </x:row>
    <x:row r="59" ht="18" customHeight="1">
      <x:c r="A59" s="509" t="str">
        <x:v>24-&gt;73</x:v>
      </x:c>
      <x:c r="B59" s="509" t="n">
        <x:v>100</x:v>
      </x:c>
      <x:c r="C59" s="509" t="n">
        <x:v>5</x:v>
      </x:c>
      <x:c r="D59" s="509" t="n">
        <x:v>1</x:v>
      </x:c>
      <x:c r="E59" s="512" t="n">
        <x:v>1296.977</x:v>
      </x:c>
      <x:c r="F59" s="512" t="n">
        <x:v>2866.771</x:v>
      </x:c>
      <x:c r="G59" s="512" t="n">
        <x:v>1103.858</x:v>
      </x:c>
      <x:c r="H59" s="512" t="n">
        <x:v>2447.251</x:v>
      </x:c>
      <x:c r="I59" s="512" t="n">
        <x:v>3428</x:v>
      </x:c>
      <x:c r="J59" s="512" t="n">
        <x:v>3450</x:v>
      </x:c>
      <x:c r="K59" s="512" t="n">
        <x:v>69</x:v>
      </x:c>
      <x:c r="L59" s="512" t="n">
        <x:v>70</x:v>
      </x:c>
      <x:c r="M59" s="512" t="n">
        <x:v>69</x:v>
      </x:c>
      <x:c r="N59" s="512" t="n">
        <x:v>70</x:v>
      </x:c>
      <x:c r="O59" s="512" t="n">
        <x:f>E59+G59</x:f>
        <x:v>2400.835</x:v>
      </x:c>
      <x:c r="P59" s="512" t="n">
        <x:f>H59-F59</x:f>
        <x:v>-419.52</x:v>
      </x:c>
      <x:c r="Q59" s="512" t="n">
        <x:f>$E$12-E59</x:f>
        <x:v>1103.6637999999996</x:v>
      </x:c>
      <x:c r="R59" s="512" t="n">
        <x:f>F59+$F$12</x:f>
        <x:v>2447.4404000000004</x:v>
      </x:c>
      <x:c r="S59" s="512" t="n">
        <x:f>SQRT((G59-Q59)^2+(H59-R59)^2)</x:f>
        <x:v>0.2712673957559576</x:v>
      </x:c>
      <x:c r="T59" s="509" t="n">
        <x:f>IF(I59=J59,1,0)</x:f>
        <x:v>0</x:v>
      </x:c>
      <x:c r="U59" s="509" t="n">
        <x:f>IF(AND(K59=M59,L59=N59),1,0)</x:f>
        <x:v>1</x:v>
      </x:c>
      <x:c r="V59" s="509" t="n">
        <x:f>ABS(J59-I59)</x:f>
        <x:v>22</x:v>
      </x:c>
    </x:row>
    <x:row r="60" ht="18" customHeight="1">
      <x:c r="A60" s="509" t="str">
        <x:v>40-&gt;73</x:v>
      </x:c>
      <x:c r="B60" s="509" t="n">
        <x:v>40</x:v>
      </x:c>
      <x:c r="C60" s="509" t="n">
        <x:v>1</x:v>
      </x:c>
      <x:c r="D60" s="509" t="n">
        <x:v>4</x:v>
      </x:c>
      <x:c r="E60" s="512" t="n">
        <x:v>796.919</x:v>
      </x:c>
      <x:c r="F60" s="512" t="n">
        <x:v>568.181</x:v>
      </x:c>
      <x:c r="G60" s="512" t="n">
        <x:v>1603.905</x:v>
      </x:c>
      <x:c r="H60" s="512" t="n">
        <x:v>2686.477</x:v>
      </x:c>
      <x:c r="I60" s="512" t="n">
        <x:v>3433</x:v>
      </x:c>
      <x:c r="J60" s="512" t="n">
        <x:v>3390</x:v>
      </x:c>
      <x:c r="K60" s="512" t="n">
        <x:v>69</x:v>
      </x:c>
      <x:c r="L60" s="512" t="n">
        <x:v>70</x:v>
      </x:c>
      <x:c r="M60" s="512" t="n">
        <x:v>69</x:v>
      </x:c>
      <x:c r="N60" s="512" t="n">
        <x:v>70</x:v>
      </x:c>
      <x:c r="O60" s="512" t="n">
        <x:f>E60+G60</x:f>
        <x:v>2400.824</x:v>
      </x:c>
      <x:c r="P60" s="512" t="n">
        <x:f>F60+H60</x:f>
        <x:v>3254.658</x:v>
      </x:c>
      <x:c r="Q60" s="512" t="n">
        <x:f>$E$13-E60</x:f>
        <x:v>1603.7222000000002</x:v>
      </x:c>
      <x:c r="R60" s="512" t="n">
        <x:f>$F$13-F60</x:f>
        <x:v>2686.4135999999994</x:v>
      </x:c>
      <x:c r="S60" s="512" t="n">
        <x:f>SQRT((G60-Q60)^2+(H60-R60)^2)</x:f>
        <x:v>0.1934822989319447</x:v>
      </x:c>
      <x:c r="T60" s="509" t="n">
        <x:f>IF(I60=J60,1,0)</x:f>
        <x:v>0</x:v>
      </x:c>
      <x:c r="U60" s="509" t="n">
        <x:f>IF(AND(K60=M60,L60=N60),1,0)</x:f>
        <x:v>1</x:v>
      </x:c>
      <x:c r="V60" s="509" t="n">
        <x:f>ABS(J60-I60)</x:f>
        <x:v>43</x:v>
      </x:c>
    </x:row>
    <x:row r="61" ht="18" customHeight="1">
      <x:c r="A61" s="509" t="str">
        <x:v>40-&gt;73</x:v>
      </x:c>
      <x:c r="B61" s="509" t="n">
        <x:v>40</x:v>
      </x:c>
      <x:c r="C61" s="509" t="n">
        <x:v>2</x:v>
      </x:c>
      <x:c r="D61" s="509" t="n">
        <x:v>5</x:v>
      </x:c>
      <x:c r="E61" s="512" t="n">
        <x:v>992.53</x:v>
      </x:c>
      <x:c r="F61" s="512" t="n">
        <x:v>507.192</x:v>
      </x:c>
      <x:c r="G61" s="512" t="n">
        <x:v>1408.15</x:v>
      </x:c>
      <x:c r="H61" s="512" t="n">
        <x:v>2747.191</x:v>
      </x:c>
      <x:c r="I61" s="512" t="n">
        <x:v>3422</x:v>
      </x:c>
      <x:c r="J61" s="512" t="n">
        <x:v>3447</x:v>
      </x:c>
      <x:c r="K61" s="512" t="n">
        <x:v>70</x:v>
      </x:c>
      <x:c r="L61" s="512" t="n">
        <x:v>70</x:v>
      </x:c>
      <x:c r="M61" s="512" t="n">
        <x:v>69</x:v>
      </x:c>
      <x:c r="N61" s="512" t="n">
        <x:v>70</x:v>
      </x:c>
      <x:c r="O61" s="512" t="n">
        <x:f>E61+G61</x:f>
        <x:v>2400.6800000000003</x:v>
      </x:c>
      <x:c r="P61" s="512" t="n">
        <x:f>F61+H61</x:f>
        <x:v>3254.383</x:v>
      </x:c>
      <x:c r="Q61" s="512" t="n">
        <x:f>$E$13-E61</x:f>
        <x:v>1408.1112</x:v>
      </x:c>
      <x:c r="R61" s="512" t="n">
        <x:f>$F$13-F61</x:f>
        <x:v>2747.4025999999994</x:v>
      </x:c>
      <x:c r="S61" s="512" t="n">
        <x:f>SQRT((G61-Q61)^2+(H61-R61)^2)</x:f>
        <x:v>0.21512786895204522</x:v>
      </x:c>
      <x:c r="T61" s="509" t="n">
        <x:f>IF(I61=J61,1,0)</x:f>
        <x:v>0</x:v>
      </x:c>
      <x:c r="U61" s="509" t="n">
        <x:f>IF(AND(K61=M61,L61=N61),1,0)</x:f>
        <x:v>0</x:v>
      </x:c>
      <x:c r="V61" s="509" t="n">
        <x:f>ABS(J61-I61)</x:f>
        <x:v>25</x:v>
      </x:c>
    </x:row>
    <x:row r="62" ht="18" customHeight="1">
      <x:c r="A62" s="509" t="str">
        <x:v>40-&gt;73</x:v>
      </x:c>
      <x:c r="B62" s="509" t="n">
        <x:v>40</x:v>
      </x:c>
      <x:c r="C62" s="509" t="n">
        <x:v>3</x:v>
      </x:c>
      <x:c r="D62" s="509" t="n">
        <x:v>1</x:v>
      </x:c>
      <x:c r="E62" s="512" t="n">
        <x:v>1296.931</x:v>
      </x:c>
      <x:c r="F62" s="512" t="n">
        <x:v>807.211</x:v>
      </x:c>
      <x:c r="G62" s="512" t="n">
        <x:v>1103.931</x:v>
      </x:c>
      <x:c r="H62" s="512" t="n">
        <x:v>2447.221</x:v>
      </x:c>
      <x:c r="I62" s="512" t="n">
        <x:v>3415</x:v>
      </x:c>
      <x:c r="J62" s="512" t="n">
        <x:v>3407</x:v>
      </x:c>
      <x:c r="K62" s="512" t="n">
        <x:v>69</x:v>
      </x:c>
      <x:c r="L62" s="512" t="n">
        <x:v>70</x:v>
      </x:c>
      <x:c r="M62" s="512" t="n">
        <x:v>69</x:v>
      </x:c>
      <x:c r="N62" s="512" t="n">
        <x:v>70</x:v>
      </x:c>
      <x:c r="O62" s="512" t="n">
        <x:f>E62+G62</x:f>
        <x:v>2400.862</x:v>
      </x:c>
      <x:c r="P62" s="512" t="n">
        <x:f>F62+H62</x:f>
        <x:v>3254.432</x:v>
      </x:c>
      <x:c r="Q62" s="512" t="n">
        <x:f>$E$13-E62</x:f>
        <x:v>1103.7102</x:v>
      </x:c>
      <x:c r="R62" s="512" t="n">
        <x:f>$F$13-F62</x:f>
        <x:v>2447.383599999999</x:v>
      </x:c>
      <x:c r="S62" s="512" t="n">
        <x:f>SQRT((G62-Q62)^2+(H62-R62)^2)</x:f>
        <x:v>0.2742105030806884</x:v>
      </x:c>
      <x:c r="T62" s="509" t="n">
        <x:f>IF(I62=J62,1,0)</x:f>
        <x:v>0</x:v>
      </x:c>
      <x:c r="U62" s="509" t="n">
        <x:f>IF(AND(K62=M62,L62=N62),1,0)</x:f>
        <x:v>1</x:v>
      </x:c>
      <x:c r="V62" s="509" t="n">
        <x:f>ABS(J62-I62)</x:f>
        <x:v>8</x:v>
      </x:c>
    </x:row>
    <x:row r="63" ht="18" customHeight="1">
      <x:c r="A63" s="509" t="str">
        <x:v>40-&gt;73</x:v>
      </x:c>
      <x:c r="B63" s="509" t="n">
        <x:v>40</x:v>
      </x:c>
      <x:c r="C63" s="509" t="n">
        <x:v>4</x:v>
      </x:c>
      <x:c r="D63" s="509" t="n">
        <x:v>2</x:v>
      </x:c>
      <x:c r="E63" s="512" t="n">
        <x:v>1527.154</x:v>
      </x:c>
      <x:c r="F63" s="512" t="n">
        <x:v>737.939</x:v>
      </x:c>
      <x:c r="G63" s="512" t="n">
        <x:v>873.267</x:v>
      </x:c>
      <x:c r="H63" s="512" t="n">
        <x:v>2517</x:v>
      </x:c>
      <x:c r="I63" s="512" t="n">
        <x:v>3406</x:v>
      </x:c>
      <x:c r="J63" s="512" t="n">
        <x:v>3408</x:v>
      </x:c>
      <x:c r="K63" s="512" t="n">
        <x:v>70</x:v>
      </x:c>
      <x:c r="L63" s="512" t="n">
        <x:v>69</x:v>
      </x:c>
      <x:c r="M63" s="512" t="n">
        <x:v>70</x:v>
      </x:c>
      <x:c r="N63" s="512" t="n">
        <x:v>69</x:v>
      </x:c>
      <x:c r="O63" s="512" t="n">
        <x:f>E63+G63</x:f>
        <x:v>2400.4210000000003</x:v>
      </x:c>
      <x:c r="P63" s="512" t="n">
        <x:f>F63+H63</x:f>
        <x:v>3254.939</x:v>
      </x:c>
      <x:c r="Q63" s="512" t="n">
        <x:f>$E$13-E63</x:f>
        <x:v>873.4872</x:v>
      </x:c>
      <x:c r="R63" s="512" t="n">
        <x:f>$F$13-F63</x:f>
        <x:v>2516.6555999999996</x:v>
      </x:c>
      <x:c r="S63" s="512" t="n">
        <x:f>SQRT((G63-Q63)^2+(H63-R63)^2)</x:f>
        <x:v>0.4087779348255836</x:v>
      </x:c>
      <x:c r="T63" s="509" t="n">
        <x:f>IF(I63=J63,1,0)</x:f>
        <x:v>0</x:v>
      </x:c>
      <x:c r="U63" s="509" t="n">
        <x:f>IF(AND(K63=M63,L63=N63),1,0)</x:f>
        <x:v>1</x:v>
      </x:c>
      <x:c r="V63" s="509" t="n">
        <x:f>ABS(J63-I63)</x:f>
        <x:v>2</x:v>
      </x:c>
    </x:row>
    <x:row r="64" ht="18" customHeight="1">
      <x:c r="A64" s="509" t="str">
        <x:v>40-&gt;73</x:v>
      </x:c>
      <x:c r="B64" s="509" t="n">
        <x:v>40</x:v>
      </x:c>
      <x:c r="C64" s="509" t="n">
        <x:v>5</x:v>
      </x:c>
      <x:c r="D64" s="509" t="n">
        <x:v>3</x:v>
      </x:c>
      <x:c r="E64" s="512" t="n">
        <x:v>1479.265</x:v>
      </x:c>
      <x:c r="F64" s="512" t="n">
        <x:v>546.5</x:v>
      </x:c>
      <x:c r="G64" s="512" t="n">
        <x:v>921.154</x:v>
      </x:c>
      <x:c r="H64" s="512" t="n">
        <x:v>2708.061</x:v>
      </x:c>
      <x:c r="I64" s="512" t="n">
        <x:v>3370</x:v>
      </x:c>
      <x:c r="J64" s="512" t="n">
        <x:v>3406</x:v>
      </x:c>
      <x:c r="K64" s="512" t="n">
        <x:v>70</x:v>
      </x:c>
      <x:c r="L64" s="512" t="n">
        <x:v>70</x:v>
      </x:c>
      <x:c r="M64" s="512" t="n">
        <x:v>70</x:v>
      </x:c>
      <x:c r="N64" s="512" t="n">
        <x:v>69</x:v>
      </x:c>
      <x:c r="O64" s="512" t="n">
        <x:f>E64+G64</x:f>
        <x:v>2400.419</x:v>
      </x:c>
      <x:c r="P64" s="512" t="n">
        <x:f>F64+H64</x:f>
        <x:v>3254.561</x:v>
      </x:c>
      <x:c r="Q64" s="512" t="n">
        <x:f>$E$13-E64</x:f>
        <x:v>921.3761999999999</x:v>
      </x:c>
      <x:c r="R64" s="512" t="n">
        <x:f>$F$13-F64</x:f>
        <x:v>2708.0945999999994</x:v>
      </x:c>
      <x:c r="S64" s="512" t="n">
        <x:f>SQRT((G64-Q64)^2+(H64-R64)^2)</x:f>
        <x:v>0.22472605545401608</x:v>
      </x:c>
      <x:c r="T64" s="509" t="n">
        <x:f>IF(I64=J64,1,0)</x:f>
        <x:v>0</x:v>
      </x:c>
      <x:c r="U64" s="509" t="n">
        <x:f>IF(AND(K64=M64,L64=N64),1,0)</x:f>
        <x:v>0</x:v>
      </x:c>
      <x:c r="V64" s="509" t="n">
        <x:f>ABS(J64-I64)</x:f>
        <x:v>36</x:v>
      </x:c>
    </x:row>
    <x:row r="65" ht="18" customHeight="1">
      <x:c r="A65" s="509" t="str">
        <x:v>40-&gt;73</x:v>
      </x:c>
      <x:c r="B65" s="509" t="n">
        <x:v>60</x:v>
      </x:c>
      <x:c r="C65" s="509" t="n">
        <x:v>1</x:v>
      </x:c>
      <x:c r="D65" s="509" t="n">
        <x:v>4</x:v>
      </x:c>
      <x:c r="E65" s="512" t="n">
        <x:v>796.941</x:v>
      </x:c>
      <x:c r="F65" s="512" t="n">
        <x:v>568.227</x:v>
      </x:c>
      <x:c r="G65" s="512" t="n">
        <x:v>1603.926</x:v>
      </x:c>
      <x:c r="H65" s="512" t="n">
        <x:v>2686.5</x:v>
      </x:c>
      <x:c r="I65" s="512" t="n">
        <x:v>3542</x:v>
      </x:c>
      <x:c r="J65" s="512" t="n">
        <x:v>3532</x:v>
      </x:c>
      <x:c r="K65" s="512" t="n">
        <x:v>69</x:v>
      </x:c>
      <x:c r="L65" s="512" t="n">
        <x:v>70</x:v>
      </x:c>
      <x:c r="M65" s="512" t="n">
        <x:v>69</x:v>
      </x:c>
      <x:c r="N65" s="512" t="n">
        <x:v>70</x:v>
      </x:c>
      <x:c r="O65" s="512" t="n">
        <x:f>E65+G65</x:f>
        <x:v>2400.867</x:v>
      </x:c>
      <x:c r="P65" s="512" t="n">
        <x:f>F65+H65</x:f>
        <x:v>3254.727</x:v>
      </x:c>
      <x:c r="Q65" s="512" t="n">
        <x:f>$E$14-E65</x:f>
        <x:v>1603.686</x:v>
      </x:c>
      <x:c r="R65" s="512" t="n">
        <x:f>$F$14-F65</x:f>
        <x:v>2686.4338000000002</x:v>
      </x:c>
      <x:c r="S65" s="512" t="n">
        <x:f>SQRT((G65-Q65)^2+(H65-R65)^2)</x:f>
        <x:v>0.2489627281340958</x:v>
      </x:c>
      <x:c r="T65" s="509" t="n">
        <x:f>IF(I65=J65,1,0)</x:f>
        <x:v>0</x:v>
      </x:c>
      <x:c r="U65" s="509" t="n">
        <x:f>IF(AND(K65=M65,L65=N65),1,0)</x:f>
        <x:v>1</x:v>
      </x:c>
      <x:c r="V65" s="509" t="n">
        <x:f>ABS(J65-I65)</x:f>
        <x:v>10</x:v>
      </x:c>
    </x:row>
    <x:row r="66" ht="18" customHeight="1">
      <x:c r="A66" s="509" t="str">
        <x:v>40-&gt;73</x:v>
      </x:c>
      <x:c r="B66" s="509" t="n">
        <x:v>60</x:v>
      </x:c>
      <x:c r="C66" s="509" t="n">
        <x:v>2</x:v>
      </x:c>
      <x:c r="D66" s="509" t="n">
        <x:v>5</x:v>
      </x:c>
      <x:c r="E66" s="512" t="n">
        <x:v>992.5</x:v>
      </x:c>
      <x:c r="F66" s="512" t="n">
        <x:v>507.363</x:v>
      </x:c>
      <x:c r="G66" s="512" t="n">
        <x:v>1408.066</x:v>
      </x:c>
      <x:c r="H66" s="512" t="n">
        <x:v>2747.282</x:v>
      </x:c>
      <x:c r="I66" s="512" t="n">
        <x:v>3560</x:v>
      </x:c>
      <x:c r="J66" s="512" t="n">
        <x:v>3551</x:v>
      </x:c>
      <x:c r="K66" s="512" t="n">
        <x:v>70</x:v>
      </x:c>
      <x:c r="L66" s="512" t="n">
        <x:v>70</x:v>
      </x:c>
      <x:c r="M66" s="512" t="n">
        <x:v>69</x:v>
      </x:c>
      <x:c r="N66" s="512" t="n">
        <x:v>70</x:v>
      </x:c>
      <x:c r="O66" s="512" t="n">
        <x:f>E66+G66</x:f>
        <x:v>2400.566</x:v>
      </x:c>
      <x:c r="P66" s="512" t="n">
        <x:f>F66+H66</x:f>
        <x:v>3254.645</x:v>
      </x:c>
      <x:c r="Q66" s="512" t="n">
        <x:f>$E$14-E66</x:f>
        <x:v>1408.127</x:v>
      </x:c>
      <x:c r="R66" s="512" t="n">
        <x:f>$F$14-F66</x:f>
        <x:v>2747.2978000000003</x:v>
      </x:c>
      <x:c r="S66" s="512" t="n">
        <x:f>SQRT((G66-Q66)^2+(H66-R66)^2)</x:f>
        <x:v>0.0630130145287024</x:v>
      </x:c>
      <x:c r="T66" s="509" t="n">
        <x:f>IF(I66=J66,1,0)</x:f>
        <x:v>0</x:v>
      </x:c>
      <x:c r="U66" s="509" t="n">
        <x:f>IF(AND(K66=M66,L66=N66),1,0)</x:f>
        <x:v>0</x:v>
      </x:c>
      <x:c r="V66" s="509" t="n">
        <x:f>ABS(J66-I66)</x:f>
        <x:v>9</x:v>
      </x:c>
    </x:row>
    <x:row r="67" ht="18" customHeight="1">
      <x:c r="A67" s="509" t="str">
        <x:v>40-&gt;73</x:v>
      </x:c>
      <x:c r="B67" s="509" t="n">
        <x:v>60</x:v>
      </x:c>
      <x:c r="C67" s="509" t="n">
        <x:v>3</x:v>
      </x:c>
      <x:c r="D67" s="509" t="n">
        <x:v>1</x:v>
      </x:c>
      <x:c r="E67" s="512" t="n">
        <x:v>1296.931</x:v>
      </x:c>
      <x:c r="F67" s="512" t="n">
        <x:v>807.211</x:v>
      </x:c>
      <x:c r="G67" s="512" t="n">
        <x:v>1103.931</x:v>
      </x:c>
      <x:c r="H67" s="512" t="n">
        <x:v>2447.221</x:v>
      </x:c>
      <x:c r="I67" s="512" t="n">
        <x:v>3415</x:v>
      </x:c>
      <x:c r="J67" s="512" t="n">
        <x:v>3407</x:v>
      </x:c>
      <x:c r="K67" s="512" t="n">
        <x:v>69</x:v>
      </x:c>
      <x:c r="L67" s="512" t="n">
        <x:v>70</x:v>
      </x:c>
      <x:c r="M67" s="512" t="n">
        <x:v>69</x:v>
      </x:c>
      <x:c r="N67" s="512" t="n">
        <x:v>70</x:v>
      </x:c>
      <x:c r="O67" s="512" t="n">
        <x:f>E67+G67</x:f>
        <x:v>2400.862</x:v>
      </x:c>
      <x:c r="P67" s="512" t="n">
        <x:f>F67+H67</x:f>
        <x:v>3254.432</x:v>
      </x:c>
      <x:c r="Q67" s="512" t="n">
        <x:f>$E$14-E67</x:f>
        <x:v>1103.696</x:v>
      </x:c>
      <x:c r="R67" s="512" t="n">
        <x:f>$F$14-F67</x:f>
        <x:v>2447.4498000000003</x:v>
      </x:c>
      <x:c r="S67" s="512" t="n">
        <x:f>SQRT((G67-Q67)^2+(H67-R67)^2)</x:f>
        <x:v>0.3279854265058221</x:v>
      </x:c>
      <x:c r="T67" s="509" t="n">
        <x:f>IF(I67=J67,1,0)</x:f>
        <x:v>0</x:v>
      </x:c>
      <x:c r="U67" s="509" t="n">
        <x:f>IF(AND(K67=M67,L67=N67),1,0)</x:f>
        <x:v>1</x:v>
      </x:c>
      <x:c r="V67" s="509" t="n">
        <x:f>ABS(J67-I67)</x:f>
        <x:v>8</x:v>
      </x:c>
    </x:row>
    <x:row r="68" ht="18" customHeight="1">
      <x:c r="A68" s="509" t="str">
        <x:v>40-&gt;73</x:v>
      </x:c>
      <x:c r="B68" s="509" t="n">
        <x:v>60</x:v>
      </x:c>
      <x:c r="C68" s="509" t="n">
        <x:v>4</x:v>
      </x:c>
      <x:c r="D68" s="509" t="n">
        <x:v>2</x:v>
      </x:c>
      <x:c r="E68" s="512" t="n">
        <x:v>1527.154</x:v>
      </x:c>
      <x:c r="F68" s="512" t="n">
        <x:v>737.939</x:v>
      </x:c>
      <x:c r="G68" s="512" t="n">
        <x:v>873.267</x:v>
      </x:c>
      <x:c r="H68" s="512" t="n">
        <x:v>2517</x:v>
      </x:c>
      <x:c r="I68" s="512" t="n">
        <x:v>3406</x:v>
      </x:c>
      <x:c r="J68" s="512" t="n">
        <x:v>3408</x:v>
      </x:c>
      <x:c r="K68" s="512" t="n">
        <x:v>70</x:v>
      </x:c>
      <x:c r="L68" s="512" t="n">
        <x:v>69</x:v>
      </x:c>
      <x:c r="M68" s="512" t="n">
        <x:v>70</x:v>
      </x:c>
      <x:c r="N68" s="512" t="n">
        <x:v>69</x:v>
      </x:c>
      <x:c r="O68" s="512" t="n">
        <x:f>E68+G68</x:f>
        <x:v>2400.4210000000003</x:v>
      </x:c>
      <x:c r="P68" s="512" t="n">
        <x:f>F68+H68</x:f>
        <x:v>3254.939</x:v>
      </x:c>
      <x:c r="Q68" s="512" t="n">
        <x:f>$E$14-E68</x:f>
        <x:v>873.473</x:v>
      </x:c>
      <x:c r="R68" s="512" t="n">
        <x:f>$F$14-F68</x:f>
        <x:v>2516.7218000000003</x:v>
      </x:c>
      <x:c r="S68" s="512" t="n">
        <x:f>SQRT((G68-Q68)^2+(H68-R68)^2)</x:f>
        <x:v>0.34616649173456543</x:v>
      </x:c>
      <x:c r="T68" s="509" t="n">
        <x:f>IF(I68=J68,1,0)</x:f>
        <x:v>0</x:v>
      </x:c>
      <x:c r="U68" s="509" t="n">
        <x:f>IF(AND(K68=M68,L68=N68),1,0)</x:f>
        <x:v>1</x:v>
      </x:c>
      <x:c r="V68" s="509" t="n">
        <x:f>ABS(J68-I68)</x:f>
        <x:v>2</x:v>
      </x:c>
    </x:row>
    <x:row r="69" ht="18" customHeight="1">
      <x:c r="A69" s="509" t="str">
        <x:v>40-&gt;73</x:v>
      </x:c>
      <x:c r="B69" s="509" t="n">
        <x:v>60</x:v>
      </x:c>
      <x:c r="C69" s="509" t="n">
        <x:v>5</x:v>
      </x:c>
      <x:c r="D69" s="509" t="n">
        <x:v>3</x:v>
      </x:c>
      <x:c r="E69" s="512" t="n">
        <x:v>1479.265</x:v>
      </x:c>
      <x:c r="F69" s="512" t="n">
        <x:v>546.5</x:v>
      </x:c>
      <x:c r="G69" s="512" t="n">
        <x:v>921.154</x:v>
      </x:c>
      <x:c r="H69" s="512" t="n">
        <x:v>2708.061</x:v>
      </x:c>
      <x:c r="I69" s="512" t="n">
        <x:v>3370</x:v>
      </x:c>
      <x:c r="J69" s="512" t="n">
        <x:v>3406</x:v>
      </x:c>
      <x:c r="K69" s="512" t="n">
        <x:v>70</x:v>
      </x:c>
      <x:c r="L69" s="512" t="n">
        <x:v>70</x:v>
      </x:c>
      <x:c r="M69" s="512" t="n">
        <x:v>70</x:v>
      </x:c>
      <x:c r="N69" s="512" t="n">
        <x:v>69</x:v>
      </x:c>
      <x:c r="O69" s="512" t="n">
        <x:f>E69+G69</x:f>
        <x:v>2400.419</x:v>
      </x:c>
      <x:c r="P69" s="512" t="n">
        <x:f>F69+H69</x:f>
        <x:v>3254.561</x:v>
      </x:c>
      <x:c r="Q69" s="512" t="n">
        <x:f>$E$14-E69</x:f>
        <x:v>921.3619999999999</x:v>
      </x:c>
      <x:c r="R69" s="512" t="n">
        <x:f>$F$14-F69</x:f>
        <x:v>2708.1608</x:v>
      </x:c>
      <x:c r="S69" s="512" t="n">
        <x:f>SQRT((G69-Q69)^2+(H69-R69)^2)</x:f>
        <x:v>0.2307033593165303</x:v>
      </x:c>
      <x:c r="T69" s="509" t="n">
        <x:f>IF(I69=J69,1,0)</x:f>
        <x:v>0</x:v>
      </x:c>
      <x:c r="U69" s="509" t="n">
        <x:f>IF(AND(K69=M69,L69=N69),1,0)</x:f>
        <x:v>0</x:v>
      </x:c>
      <x:c r="V69" s="509" t="n">
        <x:f>ABS(J69-I69)</x:f>
        <x:v>36</x:v>
      </x:c>
    </x:row>
    <x:row r="70" ht="18" customHeight="1">
      <x:c r="A70" s="509" t="str">
        <x:v>40-&gt;73</x:v>
      </x:c>
      <x:c r="B70" s="509" t="n">
        <x:v>80</x:v>
      </x:c>
      <x:c r="C70" s="509" t="n">
        <x:v>1</x:v>
      </x:c>
      <x:c r="D70" s="509" t="n">
        <x:v>4</x:v>
      </x:c>
      <x:c r="E70" s="512" t="n">
        <x:v>796.941</x:v>
      </x:c>
      <x:c r="F70" s="512" t="n">
        <x:v>568.227</x:v>
      </x:c>
      <x:c r="G70" s="512" t="n">
        <x:v>1603.926</x:v>
      </x:c>
      <x:c r="H70" s="512" t="n">
        <x:v>2686.5</x:v>
      </x:c>
      <x:c r="I70" s="512" t="n">
        <x:v>3542</x:v>
      </x:c>
      <x:c r="J70" s="512" t="n">
        <x:v>3532</x:v>
      </x:c>
      <x:c r="K70" s="512" t="n">
        <x:v>69</x:v>
      </x:c>
      <x:c r="L70" s="512" t="n">
        <x:v>70</x:v>
      </x:c>
      <x:c r="M70" s="512" t="n">
        <x:v>69</x:v>
      </x:c>
      <x:c r="N70" s="512" t="n">
        <x:v>70</x:v>
      </x:c>
      <x:c r="O70" s="512" t="n">
        <x:f>E70+G70</x:f>
        <x:v>2400.867</x:v>
      </x:c>
      <x:c r="P70" s="512" t="n">
        <x:f>F70+H70</x:f>
        <x:v>3254.727</x:v>
      </x:c>
      <x:c r="Q70" s="512" t="n">
        <x:f>$E$15-E70</x:f>
        <x:v>1603.686</x:v>
      </x:c>
      <x:c r="R70" s="512" t="n">
        <x:f>$F$15-F70</x:f>
        <x:v>2686.4338000000002</x:v>
      </x:c>
      <x:c r="S70" s="512" t="n">
        <x:f>SQRT((G70-Q70)^2+(H70-R70)^2)</x:f>
        <x:v>0.2489627281340958</x:v>
      </x:c>
      <x:c r="T70" s="509" t="n">
        <x:f>IF(I70=J70,1,0)</x:f>
        <x:v>0</x:v>
      </x:c>
      <x:c r="U70" s="509" t="n">
        <x:f>IF(AND(K70=M70,L70=N70),1,0)</x:f>
        <x:v>1</x:v>
      </x:c>
      <x:c r="V70" s="509" t="n">
        <x:f>ABS(J70-I70)</x:f>
        <x:v>10</x:v>
      </x:c>
    </x:row>
    <x:row r="71" ht="18" customHeight="1">
      <x:c r="A71" s="509" t="str">
        <x:v>40-&gt;73</x:v>
      </x:c>
      <x:c r="B71" s="509" t="n">
        <x:v>80</x:v>
      </x:c>
      <x:c r="C71" s="509" t="n">
        <x:v>2</x:v>
      </x:c>
      <x:c r="D71" s="509" t="n">
        <x:v>5</x:v>
      </x:c>
      <x:c r="E71" s="512" t="n">
        <x:v>992.5</x:v>
      </x:c>
      <x:c r="F71" s="512" t="n">
        <x:v>507.363</x:v>
      </x:c>
      <x:c r="G71" s="512" t="n">
        <x:v>1408.066</x:v>
      </x:c>
      <x:c r="H71" s="512" t="n">
        <x:v>2747.282</x:v>
      </x:c>
      <x:c r="I71" s="512" t="n">
        <x:v>3560</x:v>
      </x:c>
      <x:c r="J71" s="512" t="n">
        <x:v>3551</x:v>
      </x:c>
      <x:c r="K71" s="512" t="n">
        <x:v>70</x:v>
      </x:c>
      <x:c r="L71" s="512" t="n">
        <x:v>70</x:v>
      </x:c>
      <x:c r="M71" s="512" t="n">
        <x:v>69</x:v>
      </x:c>
      <x:c r="N71" s="512" t="n">
        <x:v>70</x:v>
      </x:c>
      <x:c r="O71" s="512" t="n">
        <x:f>E71+G71</x:f>
        <x:v>2400.566</x:v>
      </x:c>
      <x:c r="P71" s="512" t="n">
        <x:f>F71+H71</x:f>
        <x:v>3254.645</x:v>
      </x:c>
      <x:c r="Q71" s="512" t="n">
        <x:f>$E$15-E71</x:f>
        <x:v>1408.127</x:v>
      </x:c>
      <x:c r="R71" s="512" t="n">
        <x:f>$F$15-F71</x:f>
        <x:v>2747.2978000000003</x:v>
      </x:c>
      <x:c r="S71" s="512" t="n">
        <x:f>SQRT((G71-Q71)^2+(H71-R71)^2)</x:f>
        <x:v>0.0630130145287024</x:v>
      </x:c>
      <x:c r="T71" s="509" t="n">
        <x:f>IF(I71=J71,1,0)</x:f>
        <x:v>0</x:v>
      </x:c>
      <x:c r="U71" s="509" t="n">
        <x:f>IF(AND(K71=M71,L71=N71),1,0)</x:f>
        <x:v>0</x:v>
      </x:c>
      <x:c r="V71" s="509" t="n">
        <x:f>ABS(J71-I71)</x:f>
        <x:v>9</x:v>
      </x:c>
    </x:row>
    <x:row r="72" ht="18" customHeight="1">
      <x:c r="A72" s="509" t="str">
        <x:v>40-&gt;73</x:v>
      </x:c>
      <x:c r="B72" s="509" t="n">
        <x:v>80</x:v>
      </x:c>
      <x:c r="C72" s="509" t="n">
        <x:v>3</x:v>
      </x:c>
      <x:c r="D72" s="509" t="n">
        <x:v>1</x:v>
      </x:c>
      <x:c r="E72" s="512" t="n">
        <x:v>1296.931</x:v>
      </x:c>
      <x:c r="F72" s="512" t="n">
        <x:v>807.211</x:v>
      </x:c>
      <x:c r="G72" s="512" t="n">
        <x:v>1103.931</x:v>
      </x:c>
      <x:c r="H72" s="512" t="n">
        <x:v>2447.221</x:v>
      </x:c>
      <x:c r="I72" s="512" t="n">
        <x:v>3415</x:v>
      </x:c>
      <x:c r="J72" s="512" t="n">
        <x:v>3407</x:v>
      </x:c>
      <x:c r="K72" s="512" t="n">
        <x:v>69</x:v>
      </x:c>
      <x:c r="L72" s="512" t="n">
        <x:v>70</x:v>
      </x:c>
      <x:c r="M72" s="512" t="n">
        <x:v>69</x:v>
      </x:c>
      <x:c r="N72" s="512" t="n">
        <x:v>70</x:v>
      </x:c>
      <x:c r="O72" s="512" t="n">
        <x:f>E72+G72</x:f>
        <x:v>2400.862</x:v>
      </x:c>
      <x:c r="P72" s="512" t="n">
        <x:f>F72+H72</x:f>
        <x:v>3254.432</x:v>
      </x:c>
      <x:c r="Q72" s="512" t="n">
        <x:f>$E$15-E72</x:f>
        <x:v>1103.696</x:v>
      </x:c>
      <x:c r="R72" s="512" t="n">
        <x:f>$F$15-F72</x:f>
        <x:v>2447.4498000000003</x:v>
      </x:c>
      <x:c r="S72" s="512" t="n">
        <x:f>SQRT((G72-Q72)^2+(H72-R72)^2)</x:f>
        <x:v>0.3279854265058221</x:v>
      </x:c>
      <x:c r="T72" s="509" t="n">
        <x:f>IF(I72=J72,1,0)</x:f>
        <x:v>0</x:v>
      </x:c>
      <x:c r="U72" s="509" t="n">
        <x:f>IF(AND(K72=M72,L72=N72),1,0)</x:f>
        <x:v>1</x:v>
      </x:c>
      <x:c r="V72" s="509" t="n">
        <x:f>ABS(J72-I72)</x:f>
        <x:v>8</x:v>
      </x:c>
    </x:row>
    <x:row r="73" ht="18" customHeight="1">
      <x:c r="A73" s="509" t="str">
        <x:v>40-&gt;73</x:v>
      </x:c>
      <x:c r="B73" s="509" t="n">
        <x:v>80</x:v>
      </x:c>
      <x:c r="C73" s="509" t="n">
        <x:v>4</x:v>
      </x:c>
      <x:c r="D73" s="509" t="n">
        <x:v>2</x:v>
      </x:c>
      <x:c r="E73" s="512" t="n">
        <x:v>1527.154</x:v>
      </x:c>
      <x:c r="F73" s="512" t="n">
        <x:v>737.939</x:v>
      </x:c>
      <x:c r="G73" s="512" t="n">
        <x:v>873.267</x:v>
      </x:c>
      <x:c r="H73" s="512" t="n">
        <x:v>2517</x:v>
      </x:c>
      <x:c r="I73" s="512" t="n">
        <x:v>3406</x:v>
      </x:c>
      <x:c r="J73" s="512" t="n">
        <x:v>3408</x:v>
      </x:c>
      <x:c r="K73" s="512" t="n">
        <x:v>70</x:v>
      </x:c>
      <x:c r="L73" s="512" t="n">
        <x:v>69</x:v>
      </x:c>
      <x:c r="M73" s="512" t="n">
        <x:v>70</x:v>
      </x:c>
      <x:c r="N73" s="512" t="n">
        <x:v>69</x:v>
      </x:c>
      <x:c r="O73" s="512" t="n">
        <x:f>E73+G73</x:f>
        <x:v>2400.4210000000003</x:v>
      </x:c>
      <x:c r="P73" s="512" t="n">
        <x:f>F73+H73</x:f>
        <x:v>3254.939</x:v>
      </x:c>
      <x:c r="Q73" s="512" t="n">
        <x:f>$E$15-E73</x:f>
        <x:v>873.473</x:v>
      </x:c>
      <x:c r="R73" s="512" t="n">
        <x:f>$F$15-F73</x:f>
        <x:v>2516.7218000000003</x:v>
      </x:c>
      <x:c r="S73" s="512" t="n">
        <x:f>SQRT((G73-Q73)^2+(H73-R73)^2)</x:f>
        <x:v>0.34616649173456543</x:v>
      </x:c>
      <x:c r="T73" s="509" t="n">
        <x:f>IF(I73=J73,1,0)</x:f>
        <x:v>0</x:v>
      </x:c>
      <x:c r="U73" s="509" t="n">
        <x:f>IF(AND(K73=M73,L73=N73),1,0)</x:f>
        <x:v>1</x:v>
      </x:c>
      <x:c r="V73" s="509" t="n">
        <x:f>ABS(J73-I73)</x:f>
        <x:v>2</x:v>
      </x:c>
    </x:row>
    <x:row r="74" ht="18" customHeight="1">
      <x:c r="A74" s="509" t="str">
        <x:v>40-&gt;73</x:v>
      </x:c>
      <x:c r="B74" s="509" t="n">
        <x:v>80</x:v>
      </x:c>
      <x:c r="C74" s="509" t="n">
        <x:v>5</x:v>
      </x:c>
      <x:c r="D74" s="509" t="n">
        <x:v>3</x:v>
      </x:c>
      <x:c r="E74" s="512" t="n">
        <x:v>1479.265</x:v>
      </x:c>
      <x:c r="F74" s="512" t="n">
        <x:v>546.5</x:v>
      </x:c>
      <x:c r="G74" s="512" t="n">
        <x:v>921.154</x:v>
      </x:c>
      <x:c r="H74" s="512" t="n">
        <x:v>2708.061</x:v>
      </x:c>
      <x:c r="I74" s="512" t="n">
        <x:v>3370</x:v>
      </x:c>
      <x:c r="J74" s="512" t="n">
        <x:v>3406</x:v>
      </x:c>
      <x:c r="K74" s="512" t="n">
        <x:v>70</x:v>
      </x:c>
      <x:c r="L74" s="512" t="n">
        <x:v>70</x:v>
      </x:c>
      <x:c r="M74" s="512" t="n">
        <x:v>70</x:v>
      </x:c>
      <x:c r="N74" s="512" t="n">
        <x:v>69</x:v>
      </x:c>
      <x:c r="O74" s="512" t="n">
        <x:f>E74+G74</x:f>
        <x:v>2400.419</x:v>
      </x:c>
      <x:c r="P74" s="512" t="n">
        <x:f>F74+H74</x:f>
        <x:v>3254.561</x:v>
      </x:c>
      <x:c r="Q74" s="512" t="n">
        <x:f>$E$15-E74</x:f>
        <x:v>921.3619999999999</x:v>
      </x:c>
      <x:c r="R74" s="512" t="n">
        <x:f>$F$15-F74</x:f>
        <x:v>2708.1608</x:v>
      </x:c>
      <x:c r="S74" s="512" t="n">
        <x:f>SQRT((G74-Q74)^2+(H74-R74)^2)</x:f>
        <x:v>0.2307033593165303</x:v>
      </x:c>
      <x:c r="T74" s="509" t="n">
        <x:f>IF(I74=J74,1,0)</x:f>
        <x:v>0</x:v>
      </x:c>
      <x:c r="U74" s="509" t="n">
        <x:f>IF(AND(K74=M74,L74=N74),1,0)</x:f>
        <x:v>0</x:v>
      </x:c>
      <x:c r="V74" s="509" t="n">
        <x:f>ABS(J74-I74)</x:f>
        <x:v>36</x:v>
      </x:c>
    </x:row>
    <x:row r="75" ht="18" customHeight="1">
      <x:c r="A75" s="509" t="str">
        <x:v>40-&gt;73</x:v>
      </x:c>
      <x:c r="B75" s="509" t="n">
        <x:v>100</x:v>
      </x:c>
      <x:c r="C75" s="509" t="n">
        <x:v>1</x:v>
      </x:c>
      <x:c r="D75" s="509" t="n">
        <x:v>4</x:v>
      </x:c>
      <x:c r="E75" s="512" t="n">
        <x:v>796.941</x:v>
      </x:c>
      <x:c r="F75" s="512" t="n">
        <x:v>568.255</x:v>
      </x:c>
      <x:c r="G75" s="512" t="n">
        <x:v>1603.926</x:v>
      </x:c>
      <x:c r="H75" s="512" t="n">
        <x:v>2686.512</x:v>
      </x:c>
      <x:c r="I75" s="512" t="n">
        <x:v>3552</x:v>
      </x:c>
      <x:c r="J75" s="512" t="n">
        <x:v>3540</x:v>
      </x:c>
      <x:c r="K75" s="512" t="n">
        <x:v>69</x:v>
      </x:c>
      <x:c r="L75" s="512" t="n">
        <x:v>70</x:v>
      </x:c>
      <x:c r="M75" s="512" t="n">
        <x:v>69</x:v>
      </x:c>
      <x:c r="N75" s="512" t="n">
        <x:v>70</x:v>
      </x:c>
      <x:c r="O75" s="512" t="n">
        <x:f>E75+G75</x:f>
        <x:v>2400.867</x:v>
      </x:c>
      <x:c r="P75" s="512" t="n">
        <x:f>F75+H75</x:f>
        <x:v>3254.7670000000003</x:v>
      </x:c>
      <x:c r="Q75" s="512" t="n">
        <x:f>$E$16-E75</x:f>
        <x:v>1603.6606000000004</x:v>
      </x:c>
      <x:c r="R75" s="512" t="n">
        <x:f>$F$16-F75</x:f>
        <x:v>2686.4246000000003</x:v>
      </x:c>
      <x:c r="S75" s="512" t="n">
        <x:f>SQRT((G75-Q75)^2+(H75-R75)^2)</x:f>
        <x:v>0.27942068642056367</x:v>
      </x:c>
      <x:c r="T75" s="509" t="n">
        <x:f>IF(I75=J75,1,0)</x:f>
        <x:v>0</x:v>
      </x:c>
      <x:c r="U75" s="509" t="n">
        <x:f>IF(AND(K75=M75,L75=N75),1,0)</x:f>
        <x:v>1</x:v>
      </x:c>
      <x:c r="V75" s="509" t="n">
        <x:f>ABS(J75-I75)</x:f>
        <x:v>12</x:v>
      </x:c>
    </x:row>
    <x:row r="76" ht="18" customHeight="1">
      <x:c r="A76" s="509" t="str">
        <x:v>40-&gt;73</x:v>
      </x:c>
      <x:c r="B76" s="509" t="n">
        <x:v>100</x:v>
      </x:c>
      <x:c r="C76" s="509" t="n">
        <x:v>2</x:v>
      </x:c>
      <x:c r="D76" s="509" t="n">
        <x:v>5</x:v>
      </x:c>
      <x:c r="E76" s="512" t="n">
        <x:v>992.499</x:v>
      </x:c>
      <x:c r="F76" s="512" t="n">
        <x:v>507.363</x:v>
      </x:c>
      <x:c r="G76" s="512" t="n">
        <x:v>1408.092</x:v>
      </x:c>
      <x:c r="H76" s="512" t="n">
        <x:v>2747.282</x:v>
      </x:c>
      <x:c r="I76" s="512" t="n">
        <x:v>3568</x:v>
      </x:c>
      <x:c r="J76" s="512" t="n">
        <x:v>3559</x:v>
      </x:c>
      <x:c r="K76" s="512" t="n">
        <x:v>70</x:v>
      </x:c>
      <x:c r="L76" s="512" t="n">
        <x:v>70</x:v>
      </x:c>
      <x:c r="M76" s="512" t="n">
        <x:v>69</x:v>
      </x:c>
      <x:c r="N76" s="512" t="n">
        <x:v>70</x:v>
      </x:c>
      <x:c r="O76" s="512" t="n">
        <x:f>E76+G76</x:f>
        <x:v>2400.5910000000003</x:v>
      </x:c>
      <x:c r="P76" s="512" t="n">
        <x:f>F76+H76</x:f>
        <x:v>3254.645</x:v>
      </x:c>
      <x:c r="Q76" s="512" t="n">
        <x:f>$E$16-E76</x:f>
        <x:v>1408.1026000000004</x:v>
      </x:c>
      <x:c r="R76" s="512" t="n">
        <x:f>$F$16-F76</x:f>
        <x:v>2747.3166000000006</x:v>
      </x:c>
      <x:c r="S76" s="512" t="n">
        <x:f>SQRT((G76-Q76)^2+(H76-R76)^2)</x:f>
        <x:v>0.03618729058709151</x:v>
      </x:c>
      <x:c r="T76" s="509" t="n">
        <x:f>IF(I76=J76,1,0)</x:f>
        <x:v>0</x:v>
      </x:c>
      <x:c r="U76" s="509" t="n">
        <x:f>IF(AND(K76=M76,L76=N76),1,0)</x:f>
        <x:v>0</x:v>
      </x:c>
      <x:c r="V76" s="509" t="n">
        <x:f>ABS(J76-I76)</x:f>
        <x:v>9</x:v>
      </x:c>
    </x:row>
    <x:row r="77" ht="18" customHeight="1">
      <x:c r="A77" s="509" t="str">
        <x:v>40-&gt;73</x:v>
      </x:c>
      <x:c r="B77" s="509" t="n">
        <x:v>100</x:v>
      </x:c>
      <x:c r="C77" s="509" t="n">
        <x:v>3</x:v>
      </x:c>
      <x:c r="D77" s="509" t="n">
        <x:v>1</x:v>
      </x:c>
      <x:c r="E77" s="512" t="n">
        <x:v>1296.87</x:v>
      </x:c>
      <x:c r="F77" s="512" t="n">
        <x:v>807.236</x:v>
      </x:c>
      <x:c r="G77" s="512" t="n">
        <x:v>1103.858</x:v>
      </x:c>
      <x:c r="H77" s="512" t="n">
        <x:v>2447.251</x:v>
      </x:c>
      <x:c r="I77" s="512" t="n">
        <x:v>3431</x:v>
      </x:c>
      <x:c r="J77" s="512" t="n">
        <x:v>3450</x:v>
      </x:c>
      <x:c r="K77" s="512" t="n">
        <x:v>69</x:v>
      </x:c>
      <x:c r="L77" s="512" t="n">
        <x:v>70</x:v>
      </x:c>
      <x:c r="M77" s="512" t="n">
        <x:v>69</x:v>
      </x:c>
      <x:c r="N77" s="512" t="n">
        <x:v>70</x:v>
      </x:c>
      <x:c r="O77" s="512" t="n">
        <x:f>E77+G77</x:f>
        <x:v>2400.728</x:v>
      </x:c>
      <x:c r="P77" s="512" t="n">
        <x:f>F77+H77</x:f>
        <x:v>3254.487</x:v>
      </x:c>
      <x:c r="Q77" s="512" t="n">
        <x:f>$E$16-E77</x:f>
        <x:v>1103.7316000000005</x:v>
      </x:c>
      <x:c r="R77" s="512" t="n">
        <x:f>$F$16-F77</x:f>
        <x:v>2447.4436000000005</x:v>
      </x:c>
      <x:c r="S77" s="512" t="n">
        <x:f>SQRT((G77-Q77)^2+(H77-R77)^2)</x:f>
        <x:v>0.23037300189035528</x:v>
      </x:c>
      <x:c r="T77" s="509" t="n">
        <x:f>IF(I77=J77,1,0)</x:f>
        <x:v>0</x:v>
      </x:c>
      <x:c r="U77" s="509" t="n">
        <x:f>IF(AND(K77=M77,L77=N77),1,0)</x:f>
        <x:v>1</x:v>
      </x:c>
      <x:c r="V77" s="509" t="n">
        <x:f>ABS(J77-I77)</x:f>
        <x:v>19</x:v>
      </x:c>
    </x:row>
    <x:row r="78" ht="18" customHeight="1">
      <x:c r="A78" s="509" t="str">
        <x:v>40-&gt;73</x:v>
      </x:c>
      <x:c r="B78" s="509" t="n">
        <x:v>100</x:v>
      </x:c>
      <x:c r="C78" s="509" t="n">
        <x:v>4</x:v>
      </x:c>
      <x:c r="D78" s="509" t="n">
        <x:v>2</x:v>
      </x:c>
      <x:c r="E78" s="512" t="n">
        <x:v>1527.166</x:v>
      </x:c>
      <x:c r="F78" s="512" t="n">
        <x:v>737.907</x:v>
      </x:c>
      <x:c r="G78" s="512" t="n">
        <x:v>873.245</x:v>
      </x:c>
      <x:c r="H78" s="512" t="n">
        <x:v>2517.003</x:v>
      </x:c>
      <x:c r="I78" s="512" t="n">
        <x:v>3421</x:v>
      </x:c>
      <x:c r="J78" s="512" t="n">
        <x:v>3426</x:v>
      </x:c>
      <x:c r="K78" s="512" t="n">
        <x:v>70</x:v>
      </x:c>
      <x:c r="L78" s="512" t="n">
        <x:v>69</x:v>
      </x:c>
      <x:c r="M78" s="512" t="n">
        <x:v>70</x:v>
      </x:c>
      <x:c r="N78" s="512" t="n">
        <x:v>69</x:v>
      </x:c>
      <x:c r="O78" s="512" t="n">
        <x:f>E78+G78</x:f>
        <x:v>2400.411</x:v>
      </x:c>
      <x:c r="P78" s="512" t="n">
        <x:f>F78+H78</x:f>
        <x:v>3254.9100000000003</x:v>
      </x:c>
      <x:c r="Q78" s="512" t="n">
        <x:f>$E$16-E78</x:f>
        <x:v>873.4356000000005</x:v>
      </x:c>
      <x:c r="R78" s="512" t="n">
        <x:f>$F$16-F78</x:f>
        <x:v>2516.7726000000002</x:v>
      </x:c>
      <x:c r="S78" s="512" t="n">
        <x:f>SQRT((G78-Q78)^2+(H78-R78)^2)</x:f>
        <x:v>0.29901926359373937</x:v>
      </x:c>
      <x:c r="T78" s="509" t="n">
        <x:f>IF(I78=J78,1,0)</x:f>
        <x:v>0</x:v>
      </x:c>
      <x:c r="U78" s="509" t="n">
        <x:f>IF(AND(K78=M78,L78=N78),1,0)</x:f>
        <x:v>1</x:v>
      </x:c>
      <x:c r="V78" s="509" t="n">
        <x:f>ABS(J78-I78)</x:f>
        <x:v>5</x:v>
      </x:c>
    </x:row>
    <x:row r="79" ht="18" customHeight="1">
      <x:c r="A79" s="509" t="str">
        <x:v>40-&gt;73</x:v>
      </x:c>
      <x:c r="B79" s="509" t="n">
        <x:v>100</x:v>
      </x:c>
      <x:c r="C79" s="509" t="n">
        <x:v>5</x:v>
      </x:c>
      <x:c r="D79" s="509" t="n">
        <x:v>3</x:v>
      </x:c>
      <x:c r="E79" s="512" t="n">
        <x:v>1479.256</x:v>
      </x:c>
      <x:c r="F79" s="512" t="n">
        <x:v>546.48</x:v>
      </x:c>
      <x:c r="G79" s="512" t="n">
        <x:v>921.155</x:v>
      </x:c>
      <x:c r="H79" s="512" t="n">
        <x:v>2708.109</x:v>
      </x:c>
      <x:c r="I79" s="512" t="n">
        <x:v>3395</x:v>
      </x:c>
      <x:c r="J79" s="512" t="n">
        <x:v>3417</x:v>
      </x:c>
      <x:c r="K79" s="512" t="n">
        <x:v>70</x:v>
      </x:c>
      <x:c r="L79" s="512" t="n">
        <x:v>70</x:v>
      </x:c>
      <x:c r="M79" s="512" t="n">
        <x:v>70</x:v>
      </x:c>
      <x:c r="N79" s="512" t="n">
        <x:v>69</x:v>
      </x:c>
      <x:c r="O79" s="512" t="n">
        <x:f>E79+G79</x:f>
        <x:v>2400.411</x:v>
      </x:c>
      <x:c r="P79" s="512" t="n">
        <x:f>F79+H79</x:f>
        <x:v>3254.589</x:v>
      </x:c>
      <x:c r="Q79" s="512" t="n">
        <x:f>$E$16-E79</x:f>
        <x:v>921.3456000000003</x:v>
      </x:c>
      <x:c r="R79" s="512" t="n">
        <x:f>$F$16-F79</x:f>
        <x:v>2708.1996000000004</x:v>
      </x:c>
      <x:c r="S79" s="512" t="n">
        <x:f>SQRT((G79-Q79)^2+(H79-R79)^2)</x:f>
        <x:v>0.21103724789765957</x:v>
      </x:c>
      <x:c r="T79" s="509" t="n">
        <x:f>IF(I79=J79,1,0)</x:f>
        <x:v>0</x:v>
      </x:c>
      <x:c r="U79" s="509" t="n">
        <x:f>IF(AND(K79=M79,L79=N79),1,0)</x:f>
        <x:v>0</x:v>
      </x:c>
      <x:c r="V79" s="509" t="n">
        <x:f>ABS(J79-I79)</x:f>
        <x:v>22</x:v>
      </x:c>
    </x:row>
  </x:sheetData>
  <x:mergeCells>
    <x:mergeCell ref="A1:L1"/>
    <x:mergeCell ref="A2:L2"/>
    <x:mergeCell ref="A18:V18"/>
  </x:mergeCells>
  <x:pageMargins left="0.7" right="0.7" top="0.75" bottom="0.75" header="0.3" footer="0.3"/>
</x:worksheet>
</file>

<file path=xl/worksheets/sheet36.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25" hidden="0" customWidth="1"/>
    <x:col min="2" max="2" width="52" hidden="0" customWidth="1"/>
    <x:col min="3" max="3" width="54" hidden="0" customWidth="1"/>
    <x:col min="4" max="4" width="46" hidden="0" customWidth="1"/>
    <x:col min="5" max="5" width="22" hidden="0" customWidth="1"/>
    <x:col min="6" max="6" width="22" hidden="0" customWidth="1"/>
    <x:col min="7" max="7" width="20" hidden="0" customWidth="1"/>
    <x:col min="8" max="8" width="20" hidden="0" customWidth="1"/>
    <x:col min="9" max="9" width="32" hidden="0" customWidth="1"/>
    <x:col min="10" max="10" width="27" hidden="0" customWidth="1"/>
    <x:col min="11" max="11" width="48" hidden="0" customWidth="1"/>
    <x:col min="12" max="12" width="42" hidden="0" customWidth="1"/>
  </x:cols>
  <x:sheetData>
    <x:row r="1" ht="30" customHeight="1">
      <x:c r="A1" s="520" t="str">
        <x:v>Liber Primus — Shape Controls v1.8</x:v>
      </x:c>
      <x:c r="B1" s="520"/>
      <x:c r="C1" s="520"/>
      <x:c r="D1" s="520"/>
      <x:c r="E1" s="520"/>
      <x:c r="F1" s="520"/>
      <x:c r="G1" s="520"/>
      <x:c r="H1" s="520"/>
      <x:c r="I1" s="520"/>
      <x:c r="J1" s="520"/>
      <x:c r="K1" s="520"/>
      <x:c r="L1" s="520"/>
    </x:row>
    <x:row r="2" ht="38" customHeight="1">
      <x:c r="A2" s="524" t="str">
        <x:v>Harmonized comparison of inherited threshold-60 coordinates; the raw source scans were also viewed in browser-rendered form for qualitative context. No local source-JPEG pixel processing occurred in this version.</x:v>
      </x:c>
      <x:c r="B2" s="524"/>
      <x:c r="C2" s="524"/>
      <x:c r="D2" s="524"/>
      <x:c r="E2" s="524"/>
      <x:c r="F2" s="524"/>
      <x:c r="G2" s="524"/>
      <x:c r="H2" s="524"/>
      <x:c r="I2" s="524"/>
      <x:c r="J2" s="524"/>
      <x:c r="K2" s="524"/>
      <x:c r="L2" s="524"/>
    </x:row>
    <x:row r="4" ht="24" customHeight="1">
      <x:c r="A4" s="527" t="str">
        <x:v>1. Order-independent five-point signature comparisons (two normalizations applied consistently)</x:v>
      </x:c>
      <x:c r="B4" s="527"/>
      <x:c r="C4" s="527"/>
      <x:c r="D4" s="527"/>
      <x:c r="E4" s="527"/>
      <x:c r="F4" s="527"/>
      <x:c r="G4" s="527"/>
      <x:c r="H4" s="527"/>
      <x:c r="I4" s="527"/>
      <x:c r="J4" s="527"/>
      <x:c r="K4" s="527"/>
      <x:c r="L4" s="527"/>
    </x:row>
    <x:row r="5" ht="42" customHeight="1">
      <x:c r="A5" s="532" t="str">
        <x:v>Comparison</x:v>
      </x:c>
      <x:c r="B5" s="532" t="str">
        <x:v>Group A</x:v>
      </x:c>
      <x:c r="C5" s="532" t="str">
        <x:v>Group B</x:v>
      </x:c>
      <x:c r="D5" s="532" t="str">
        <x:v>Points/group</x:v>
      </x:c>
      <x:c r="E5" s="532" t="str">
        <x:v>RMS-normalized signature diff</x:v>
      </x:c>
      <x:c r="F5" s="532" t="str">
        <x:v>Max-normalized signature diff</x:v>
      </x:c>
      <x:c r="G5" s="532" t="str">
        <x:v>× largest target mismatch (RMS norm)</x:v>
      </x:c>
      <x:c r="H5" s="532" t="str">
        <x:v>× largest target mismatch (max norm)</x:v>
      </x:c>
      <x:c r="I5" s="532" t="str">
        <x:v>Selection / method note</x:v>
      </x:c>
      <x:c r="J5" s="532" t="str">
        <x:v>Group class</x:v>
      </x:c>
      <x:c r="K5" s="532" t="str">
        <x:v>Interpretation</x:v>
      </x:c>
      <x:c r="L5" s="532" t="str">
        <x:v>Provenance / status</x:v>
      </x:c>
    </x:row>
    <x:row r="6" ht="46" customHeight="1">
      <x:c r="A6" s="345" t="str">
        <x:v>24-40</x:v>
      </x:c>
      <x:c r="B6" s="345" t="str">
        <x:v>24</x:v>
      </x:c>
      <x:c r="C6" s="345" t="str">
        <x:v>40</x:v>
      </x:c>
      <x:c r="D6" s="345" t="n">
        <x:v>5</x:v>
      </x:c>
      <x:c r="E6" s="374" t="n">
        <x:v>0.00006364689830710075</x:v>
      </x:c>
      <x:c r="F6" s="374" t="n">
        <x:v>0.000041311443573804184</x:v>
      </x:c>
      <x:c r="G6" s="534" t="n">
        <x:v>0.11995256453320174</x:v>
      </x:c>
      <x:c r="H6" s="534" t="n">
        <x:v>0.11844570477581048</x:v>
      </x:c>
      <x:c r="I6" s="345" t="str">
        <x:v>Sorted pair distances; same metrics used for all main and control groups.</x:v>
      </x:c>
      <x:c r="J6" s="345" t="str">
        <x:v>main isolated five-dot candidate group</x:v>
      </x:c>
      <x:c r="K6" s="345" t="str">
        <x:v>Very close order-independent shape signature among the three target groups; descriptive only.</x:v>
      </x:c>
      <x:c r="L6" s="345" t="str">
        <x:v>Inherited T=60 centroids; previously selected target groups.</x:v>
      </x:c>
    </x:row>
    <x:row r="7" ht="46" customHeight="1">
      <x:c r="A7" s="345" t="str">
        <x:v>24-73</x:v>
      </x:c>
      <x:c r="B7" s="345" t="str">
        <x:v>24</x:v>
      </x:c>
      <x:c r="C7" s="345" t="str">
        <x:v>73</x:v>
      </x:c>
      <x:c r="D7" s="345" t="n">
        <x:v>5</x:v>
      </x:c>
      <x:c r="E7" s="374" t="n">
        <x:v>0.0004850238333033624</x:v>
      </x:c>
      <x:c r="F7" s="374" t="n">
        <x:v>0.0003210977046920422</x:v>
      </x:c>
      <x:c r="G7" s="534" t="n">
        <x:v>0.9141035024792661</x:v>
      </x:c>
      <x:c r="H7" s="534" t="n">
        <x:v>0.920632169781177</x:v>
      </x:c>
      <x:c r="I7" s="345" t="str">
        <x:v>Sorted pair distances; same metrics used for all main and control groups.</x:v>
      </x:c>
      <x:c r="J7" s="345" t="str">
        <x:v>main isolated five-dot candidate group</x:v>
      </x:c>
      <x:c r="K7" s="345" t="str">
        <x:v>Very close order-independent shape signature among the three target groups; descriptive only.</x:v>
      </x:c>
      <x:c r="L7" s="345" t="str">
        <x:v>Inherited T=60 centroids; previously selected target groups.</x:v>
      </x:c>
    </x:row>
    <x:row r="8" ht="46" customHeight="1">
      <x:c r="A8" s="345" t="str">
        <x:v>40-73</x:v>
      </x:c>
      <x:c r="B8" s="345" t="str">
        <x:v>40</x:v>
      </x:c>
      <x:c r="C8" s="345" t="str">
        <x:v>73</x:v>
      </x:c>
      <x:c r="D8" s="345" t="n">
        <x:v>5</x:v>
      </x:c>
      <x:c r="E8" s="374" t="n">
        <x:v>0.0005306005632708577</x:v>
      </x:c>
      <x:c r="F8" s="374" t="n">
        <x:v>0.0003487795834555327</x:v>
      </x:c>
      <x:c r="G8" s="534" t="n">
        <x:v>1</x:v>
      </x:c>
      <x:c r="H8" s="534" t="n">
        <x:v>1</x:v>
      </x:c>
      <x:c r="I8" s="345" t="str">
        <x:v>Sorted pair distances; same metrics used for all main and control groups.</x:v>
      </x:c>
      <x:c r="J8" s="345" t="str">
        <x:v>main isolated five-dot candidate group</x:v>
      </x:c>
      <x:c r="K8" s="345" t="str">
        <x:v>Very close order-independent shape signature among the three target groups; descriptive only.</x:v>
      </x:c>
      <x:c r="L8" s="345" t="str">
        <x:v>Inherited T=60 centroids; previously selected target groups.</x:v>
      </x:c>
    </x:row>
    <x:row r="9" ht="46" customHeight="1">
      <x:c r="A9" s="345" t="str">
        <x:v>24-68</x:v>
      </x:c>
      <x:c r="B9" s="345" t="str">
        <x:v>24</x:v>
      </x:c>
      <x:c r="C9" s="345" t="str">
        <x:v>68 plant-side</x:v>
      </x:c>
      <x:c r="D9" s="345" t="n">
        <x:v>5</x:v>
      </x:c>
      <x:c r="E9" s="374" t="n">
        <x:v>0.18021784186023013</x:v>
      </x:c>
      <x:c r="F9" s="374" t="n">
        <x:v>0.19130676786770293</x:v>
      </x:c>
      <x:c r="G9" s="534" t="n">
        <x:v>339.6487948472713</x:v>
      </x:c>
      <x:c r="H9" s="534" t="n">
        <x:v>548.5033440671374</x:v>
      </x:c>
      <x:c r="I9" s="345" t="str">
        <x:v>One previously selected plant-adjacent control group; not a random sample.</x:v>
      </x:c>
      <x:c r="J9" s="345" t="str">
        <x:v>decorative five-dot control</x:v>
      </x:c>
      <x:c r="K9" s="345" t="str">
        <x:v>Different order-independent signature; small points are embedded in a botanical border.</x:v>
      </x:c>
      <x:c r="L9" s="345" t="str">
        <x:v>Inherited T=60 records; qualitative source-image view; no local pixel validation.</x:v>
      </x:c>
    </x:row>
    <x:row r="10" ht="46" customHeight="1">
      <x:c r="A10" s="345" t="str">
        <x:v>40-68</x:v>
      </x:c>
      <x:c r="B10" s="345" t="str">
        <x:v>40</x:v>
      </x:c>
      <x:c r="C10" s="345" t="str">
        <x:v>68 plant-side</x:v>
      </x:c>
      <x:c r="D10" s="345" t="n">
        <x:v>5</x:v>
      </x:c>
      <x:c r="E10" s="374" t="n">
        <x:v>0.18020230135463527</x:v>
      </x:c>
      <x:c r="F10" s="374" t="n">
        <x:v>0.1913026167878778</x:v>
      </x:c>
      <x:c r="G10" s="534" t="n">
        <x:v>339.61950632654475</x:v>
      </x:c>
      <x:c r="H10" s="534" t="n">
        <x:v>548.4914423388768</x:v>
      </x:c>
      <x:c r="I10" s="345" t="str">
        <x:v>One previously selected plant-adjacent control group; not a random sample.</x:v>
      </x:c>
      <x:c r="J10" s="345" t="str">
        <x:v>decorative five-dot control</x:v>
      </x:c>
      <x:c r="K10" s="345" t="str">
        <x:v>Different order-independent signature; small points are embedded in a botanical border.</x:v>
      </x:c>
      <x:c r="L10" s="345" t="str">
        <x:v>Inherited T=60 records; qualitative source-image view; no local pixel validation.</x:v>
      </x:c>
    </x:row>
    <x:row r="11" ht="46" customHeight="1">
      <x:c r="A11" s="345" t="str">
        <x:v>73-68</x:v>
      </x:c>
      <x:c r="B11" s="345" t="str">
        <x:v>73</x:v>
      </x:c>
      <x:c r="C11" s="345" t="str">
        <x:v>68 plant-side</x:v>
      </x:c>
      <x:c r="D11" s="345" t="n">
        <x:v>5</x:v>
      </x:c>
      <x:c r="E11" s="374" t="n">
        <x:v>0.18019459663198065</x:v>
      </x:c>
      <x:c r="F11" s="374" t="n">
        <x:v>0.1913451316897932</x:v>
      </x:c>
      <x:c r="G11" s="534" t="n">
        <x:v>339.60498556801576</x:v>
      </x:c>
      <x:c r="H11" s="534" t="n">
        <x:v>548.6133385275648</x:v>
      </x:c>
      <x:c r="I11" s="345" t="str">
        <x:v>One previously selected plant-adjacent control group; not a random sample.</x:v>
      </x:c>
      <x:c r="J11" s="345" t="str">
        <x:v>decorative five-dot control</x:v>
      </x:c>
      <x:c r="K11" s="345" t="str">
        <x:v>Different order-independent signature; small points are embedded in a botanical border.</x:v>
      </x:c>
      <x:c r="L11" s="345" t="str">
        <x:v>Inherited T=60 records; qualitative source-image view; no local pixel validation.</x:v>
      </x:c>
    </x:row>
    <x:row r="12" ht="46" customHeight="1">
      <x:c r="A12" s="345" t="str">
        <x:v>24-39 best five of six</x:v>
      </x:c>
      <x:c r="B12" s="345" t="str">
        <x:v>24</x:v>
      </x:c>
      <x:c r="C12" s="345" t="str">
        <x:v>39 six-dot control</x:v>
      </x:c>
      <x:c r="D12" s="345" t="n">
        <x:v>5</x:v>
      </x:c>
      <x:c r="E12" s="374" t="n">
        <x:v>0.1533830711051005</x:v>
      </x:c>
      <x:c r="F12" s="374" t="n">
        <x:v>0.10513336120038401</x:v>
      </x:c>
      <x:c r="G12" s="534" t="n">
        <x:v>289.07445962661455</x:v>
      </x:c>
      <x:c r="H12" s="534" t="n">
        <x:v>301.4320969099611</x:v>
      </x:c>
      <x:c r="I12" s="345" t="str">
        <x:v>Best of the six five-point subsets is selected separately under each normalization.</x:v>
      </x:c>
      <x:c r="J12" s="345" t="str">
        <x:v>six-dot control; six subsets searched</x:v>
      </x:c>
      <x:c r="K12" s="345" t="str">
        <x:v>Still much more different than target-to-target signatures; selection-conditioned descriptive result.</x:v>
      </x:c>
      <x:c r="L12" s="345" t="str">
        <x:v>Inherited T=60 records; control/selected subset, descriptive only.</x:v>
      </x:c>
    </x:row>
    <x:row r="13" ht="46" customHeight="1">
      <x:c r="A13" s="345" t="str">
        <x:v>40-39 best five of six</x:v>
      </x:c>
      <x:c r="B13" s="345" t="str">
        <x:v>40</x:v>
      </x:c>
      <x:c r="C13" s="345" t="str">
        <x:v>39 six-dot control</x:v>
      </x:c>
      <x:c r="D13" s="345" t="n">
        <x:v>5</x:v>
      </x:c>
      <x:c r="E13" s="374" t="n">
        <x:v>0.15340388808100386</x:v>
      </x:c>
      <x:c r="F13" s="374" t="n">
        <x:v>0.10514751666097776</x:v>
      </x:c>
      <x:c r="G13" s="534" t="n">
        <x:v>289.11369248338923</x:v>
      </x:c>
      <x:c r="H13" s="534" t="n">
        <x:v>301.4726826015131</x:v>
      </x:c>
      <x:c r="I13" s="345" t="str">
        <x:v>Best of the six five-point subsets is selected separately under each normalization.</x:v>
      </x:c>
      <x:c r="J13" s="345" t="str">
        <x:v>six-dot control; six subsets searched</x:v>
      </x:c>
      <x:c r="K13" s="345" t="str">
        <x:v>Still much more different than target-to-target signatures; selection-conditioned descriptive result.</x:v>
      </x:c>
      <x:c r="L13" s="345" t="str">
        <x:v>Inherited T=60 records; control/selected subset, descriptive only.</x:v>
      </x:c>
    </x:row>
    <x:row r="14" ht="46" customHeight="1">
      <x:c r="A14" s="345" t="str">
        <x:v>73-39 best five of six</x:v>
      </x:c>
      <x:c r="B14" s="345" t="str">
        <x:v>73</x:v>
      </x:c>
      <x:c r="C14" s="345" t="str">
        <x:v>39 six-dot control</x:v>
      </x:c>
      <x:c r="D14" s="345" t="n">
        <x:v>5</x:v>
      </x:c>
      <x:c r="E14" s="374" t="n">
        <x:v>0.15353500659626243</x:v>
      </x:c>
      <x:c r="F14" s="374" t="n">
        <x:v>0.10524426530512755</x:v>
      </x:c>
      <x:c r="G14" s="534" t="n">
        <x:v>289.36080589474767</x:v>
      </x:c>
      <x:c r="H14" s="534" t="n">
        <x:v>301.7500745382522</x:v>
      </x:c>
      <x:c r="I14" s="345" t="str">
        <x:v>Best of the six five-point subsets is selected separately under each normalization.</x:v>
      </x:c>
      <x:c r="J14" s="345" t="str">
        <x:v>six-dot control; six subsets searched</x:v>
      </x:c>
      <x:c r="K14" s="345" t="str">
        <x:v>Still much more different than target-to-target signatures; selection-conditioned descriptive result.</x:v>
      </x:c>
      <x:c r="L14" s="345" t="str">
        <x:v>Inherited T=60 records; control/selected subset, descriptive only.</x:v>
      </x:c>
    </x:row>
    <x:row r="15" ht="46" customHeight="1">
      <x:c r="A15" s="345" t="str">
        <x:v>57-68 plant ornament</x:v>
      </x:c>
      <x:c r="B15" s="345" t="str">
        <x:v>57 plant-side</x:v>
      </x:c>
      <x:c r="C15" s="345" t="str">
        <x:v>68 plant-side</x:v>
      </x:c>
      <x:c r="D15" s="345" t="n">
        <x:v>5</x:v>
      </x:c>
      <x:c r="E15" s="374" t="n">
        <x:v>0</x:v>
      </x:c>
      <x:c r="F15" s="374" t="n">
        <x:v>0</x:v>
      </x:c>
      <x:c r="G15" s="534" t="n">
        <x:v>0</x:v>
      </x:c>
      <x:c r="H15" s="534" t="n">
        <x:v>0</x:v>
      </x:c>
      <x:c r="I15" s="345" t="str">
        <x:v>Pointwise stored-record equality; no point correspondence search needed.</x:v>
      </x:c>
      <x:c r="J15" s="345" t="str">
        <x:v>repeated-ornament control</x:v>
      </x:c>
      <x:c r="K15" s="345" t="str">
        <x:v>Consistent with reuse of the same decorative asset; no cipher interpretation.</x:v>
      </x:c>
      <x:c r="L15" s="345" t="str">
        <x:v>Inherited T=60 records + qualitative source-image view; no local pixel validation.</x:v>
      </x:c>
    </x:row>
    <x:row r="17" ht="24" customHeight="1">
      <x:c r="A17" s="527" t="str">
        <x:v>2. Three-dot horizontal-row comparison: page 50 versus page 56</x:v>
      </x:c>
      <x:c r="B17" s="527"/>
      <x:c r="C17" s="527"/>
      <x:c r="D17" s="527"/>
      <x:c r="E17" s="527"/>
      <x:c r="F17" s="527"/>
      <x:c r="G17" s="527"/>
      <x:c r="H17" s="527"/>
      <x:c r="I17" s="527"/>
      <x:c r="J17" s="527"/>
      <x:c r="K17" s="527"/>
      <x:c r="L17" s="527"/>
    </x:row>
    <x:row r="18" ht="42" customHeight="1">
      <x:c r="A18" s="532" t="str">
        <x:v>Comparison</x:v>
      </x:c>
      <x:c r="B18" s="532" t="str">
        <x:v>Points/group</x:v>
      </x:c>
      <x:c r="C18" s="532" t="str">
        <x:v>p50 gap 1 (%)</x:v>
      </x:c>
      <x:c r="D18" s="532" t="str">
        <x:v>p56 gap 1 (%)</x:v>
      </x:c>
      <x:c r="E18" s="532" t="str">
        <x:v>p50 gap 2 (%)</x:v>
      </x:c>
      <x:c r="F18" s="532" t="str">
        <x:v>p56 gap 2 (%)</x:v>
      </x:c>
      <x:c r="G18" s="532" t="str">
        <x:v>p50 span (px)</x:v>
      </x:c>
      <x:c r="H18" s="532" t="str">
        <x:v>p56 span (px)</x:v>
      </x:c>
      <x:c r="I18" s="532" t="str">
        <x:v>p50/p56 span ratio</x:v>
      </x:c>
      <x:c r="J18" s="532" t="str">
        <x:v>Scale p50→p56</x:v>
      </x:c>
      <x:c r="K18" s="532" t="str">
        <x:v>RMS-normalized signature diff</x:v>
      </x:c>
      <x:c r="L18" s="532" t="str">
        <x:v>Max-normalized signature diff</x:v>
      </x:c>
    </x:row>
    <x:row r="19">
      <x:c r="A19" s="325" t="str">
        <x:v>50→56 three-dot row</x:v>
      </x:c>
      <x:c r="B19" s="325" t="n">
        <x:v>3</x:v>
      </x:c>
      <x:c r="C19" s="535" t="n">
        <x:v>46.621432295242464</x:v>
      </x:c>
      <x:c r="D19" s="535" t="n">
        <x:v>46.61006872607072</x:v>
      </x:c>
      <x:c r="E19" s="535" t="n">
        <x:v>53.37856770475754</x:v>
      </x:c>
      <x:c r="F19" s="535" t="n">
        <x:v>53.38993127392928</x:v>
      </x:c>
      <x:c r="G19" s="432" t="n">
        <x:v>895.779</x:v>
      </x:c>
      <x:c r="H19" s="432" t="n">
        <x:v>420.51</x:v>
      </x:c>
      <x:c r="I19" s="373" t="n">
        <x:v>2.1302204466005565</x:v>
      </x:c>
      <x:c r="J19" s="373" t="n">
        <x:v>0.46943498340550516</x:v>
      </x:c>
      <x:c r="K19" s="373" t="n">
        <x:v>0.0001310151742286853</x:v>
      </x:c>
      <x:c r="L19" s="373" t="n">
        <x:v>0.00009278318977978708</x:v>
      </x:c>
    </x:row>
    <x:row r="22" ht="24" customHeight="1">
      <x:c r="A22" s="527" t="str">
        <x:v>3. Qualitative browser-rendered source-image cross-check (not pixel measurement)</x:v>
      </x:c>
      <x:c r="B22" s="527"/>
      <x:c r="C22" s="527"/>
      <x:c r="D22" s="527"/>
      <x:c r="E22" s="527"/>
      <x:c r="F22" s="527"/>
    </x:row>
    <x:row r="23" ht="42" customHeight="1">
      <x:c r="A23" s="532" t="str">
        <x:v>Page</x:v>
      </x:c>
      <x:c r="B23" s="532" t="str">
        <x:v>Raw-source URL</x:v>
      </x:c>
      <x:c r="C23" s="532" t="str">
        <x:v>Visible observation</x:v>
      </x:c>
      <x:c r="D23" s="532" t="str">
        <x:v>Related stored record</x:v>
      </x:c>
      <x:c r="E23" s="532" t="str">
        <x:v>Status</x:v>
      </x:c>
      <x:c r="F23" s="532" t="str">
        <x:v>Limit</x:v>
      </x:c>
    </x:row>
    <x:row r="24" ht="62" customHeight="1">
      <x:c r="A24" s="345" t="n">
        <x:v>24</x:v>
      </x:c>
      <x:c r="B24" s="345" t="str">
        <x:v>https://raw.githubusercontent.com/scream314/cicada3301/master/assets/2014/liber-primus-complete/24.jpg</x:v>
      </x:c>
      <x:c r="C24" s="345" t="str">
        <x:v>Five large dark dots below the red-highlighted block.</x:v>
      </x:c>
      <x:c r="D24" s="345" t="str">
        <x:v>Five-point target group in Pixel Centroids v1.1.</x:v>
      </x:c>
      <x:c r="E24" s="345" t="str">
        <x:v>Visual reviewed</x:v>
      </x:c>
      <x:c r="F24" s="345" t="str">
        <x:v>Browser-rendered image is scaled; local source bytes not acquired.</x:v>
      </x:c>
    </x:row>
    <x:row r="25" ht="62" customHeight="1">
      <x:c r="A25" s="345" t="n">
        <x:v>40</x:v>
      </x:c>
      <x:c r="B25" s="345" t="str">
        <x:v>https://raw.githubusercontent.com/scream314/cicada3301/master/assets/2014/liber-primus-complete/40.jpg</x:v>
      </x:c>
      <x:c r="C25" s="345" t="str">
        <x:v>Five large dark dots above the text; shape visually corresponds to page 24 under vertical reversal.</x:v>
      </x:c>
      <x:c r="D25" s="345" t="str">
        <x:v>Five-point target group in Pixel Centroids v1.1.</x:v>
      </x:c>
      <x:c r="E25" s="345" t="str">
        <x:v>Visual reviewed</x:v>
      </x:c>
      <x:c r="F25" s="345" t="str">
        <x:v>Qualitative only; not independent centroid recomputation.</x:v>
      </x:c>
    </x:row>
    <x:row r="26" ht="62" customHeight="1">
      <x:c r="A26" s="345" t="n">
        <x:v>73</x:v>
      </x:c>
      <x:c r="B26" s="345" t="str">
        <x:v>https://raw.githubusercontent.com/scream314/cicada3301/master/assets/2014/liber-primus-complete/73.jpg</x:v>
      </x:c>
      <x:c r="C26" s="345" t="str">
        <x:v>Five large dark dots below lower text; similar but looser stored signature match.</x:v>
      </x:c>
      <x:c r="D26" s="345" t="str">
        <x:v>Five-point target group in Pixel Centroids v1.1.</x:v>
      </x:c>
      <x:c r="E26" s="345" t="str">
        <x:v>Visual reviewed</x:v>
      </x:c>
      <x:c r="F26" s="345" t="str">
        <x:v>Qualitative only; no local source-pixel processing.</x:v>
      </x:c>
    </x:row>
    <x:row r="27" ht="62" customHeight="1">
      <x:c r="A27" s="345" t="n">
        <x:v>57</x:v>
      </x:c>
      <x:c r="B27" s="345" t="str">
        <x:v>https://raw.githubusercontent.com/scream314/cicada3301/master/assets/2014/liber-primus-complete/57.jpg</x:v>
      </x:c>
      <x:c r="C27" s="345" t="str">
        <x:v>Botanical border artwork flanks the text; small dot groups sit beside stems.</x:v>
      </x:c>
      <x:c r="D27" s="345" t="str">
        <x:v>Five-point right-side plant cluster and incomplete three-point left ROI in auxiliary controls.</x:v>
      </x:c>
      <x:c r="E27" s="345" t="str">
        <x:v>Visual reviewed</x:v>
      </x:c>
      <x:c r="F27" s="345" t="str">
        <x:v>Repeated art plausible; pixel-crop identity remains untested.</x:v>
      </x:c>
    </x:row>
    <x:row r="28" ht="62" customHeight="1">
      <x:c r="A28" s="345" t="n">
        <x:v>68</x:v>
      </x:c>
      <x:c r="B28" s="345" t="str">
        <x:v>https://raw.githubusercontent.com/scream314/cicada3301/master/assets/2014/liber-primus-complete/68.jpg</x:v>
      </x:c>
      <x:c r="C28" s="345" t="str">
        <x:v>Same-looking botanical border art and dot placement as page 57 despite a different text block.</x:v>
      </x:c>
      <x:c r="D28" s="345" t="str">
        <x:v>Five-point plant control matches page 57 records at stored precision.</x:v>
      </x:c>
      <x:c r="E28" s="345" t="str">
        <x:v>Visual reviewed</x:v>
      </x:c>
      <x:c r="F28" s="345" t="str">
        <x:v>No direct pixel-wise subtraction / SSIM on local files.</x:v>
      </x:c>
    </x:row>
    <x:row r="29" ht="62" customHeight="1">
      <x:c r="A29" s="345" t="n">
        <x:v>50</x:v>
      </x:c>
      <x:c r="B29" s="345" t="str">
        <x:v>https://raw.githubusercontent.com/scream314/cicada3301/master/assets/2014/liber-primus-complete/50.jpg</x:v>
      </x:c>
      <x:c r="C29" s="345" t="str">
        <x:v>Three large dots in a horizontal row between text sections.</x:v>
      </x:c>
      <x:c r="D29" s="345" t="str">
        <x:v>Three-dot row coordinates in Contextual Controls.</x:v>
      </x:c>
      <x:c r="E29" s="345" t="str">
        <x:v>Visual reviewed</x:v>
      </x:c>
      <x:c r="F29" s="345" t="str">
        <x:v>Spacing calculations use inherited coordinates.</x:v>
      </x:c>
    </x:row>
    <x:row r="30" ht="62" customHeight="1">
      <x:c r="A30" s="345" t="n">
        <x:v>56</x:v>
      </x:c>
      <x:c r="B30" s="345" t="str">
        <x:v>https://raw.githubusercontent.com/scream314/cicada3301/master/assets/2014/liber-primus-complete/56.jpg</x:v>
      </x:c>
      <x:c r="C30" s="345" t="str">
        <x:v>Three smaller dots in a horizontal row near a text-line ending.</x:v>
      </x:c>
      <x:c r="D30" s="345" t="str">
        <x:v>Three-dot row coordinates in Contextual Controls.</x:v>
      </x:c>
      <x:c r="E30" s="345" t="str">
        <x:v>Visual reviewed</x:v>
      </x:c>
      <x:c r="F30" s="345" t="str">
        <x:v>Spacing calculations use inherited coordinates.</x:v>
      </x:c>
    </x:row>
    <x:row r="31" ht="62" customHeight="1">
      <x:c r="A31" s="345" t="n">
        <x:v>39</x:v>
      </x:c>
      <x:c r="B31" s="345" t="str">
        <x:v>https://raw.githubusercontent.com/scream314/cicada3301/master/assets/2014/liber-primus-complete/39.jpg</x:v>
      </x:c>
      <x:c r="C31" s="345" t="str">
        <x:v>Existing dataset labels a six-dot control near a cross-like image; direct raw image render failed during this pass.</x:v>
      </x:c>
      <x:c r="D31" s="345" t="str">
        <x:v>Six-point group in Contextual Controls.</x:v>
      </x:c>
      <x:c r="E31" s="345" t="str">
        <x:v>Visual unavailable</x:v>
      </x:c>
      <x:c r="F31" s="345" t="str">
        <x:v>Keep this group source-derived from the workbook until image access is restored.</x:v>
      </x:c>
    </x:row>
    <x:row r="33" ht="24" customHeight="1">
      <x:c r="A33" s="527" t="str">
        <x:v>4. Interpretation and next gate</x:v>
      </x:c>
      <x:c r="B33" s="527"/>
      <x:c r="C33" s="527"/>
      <x:c r="D33" s="527"/>
      <x:c r="E33" s="527"/>
      <x:c r="F33" s="527"/>
      <x:c r="G33" s="527"/>
      <x:c r="H33" s="527"/>
      <x:c r="I33" s="527"/>
      <x:c r="J33" s="527"/>
      <x:c r="K33" s="527"/>
      <x:c r="L33" s="527"/>
    </x:row>
    <x:row r="34" ht="34" customHeight="1">
      <x:c r="A34" s="533" t="str">
        <x:v>Finding 1</x:v>
      </x:c>
      <x:c r="B34" s="345" t="str">
        <x:v>The target groups on pages 24, 40, and 73 have tightly matching unordered pair-distance signatures under both normalization conventions.</x:v>
      </x:c>
      <x:c r="C34" s="345"/>
      <x:c r="D34" s="345"/>
      <x:c r="E34" s="345"/>
      <x:c r="F34" s="345"/>
      <x:c r="G34" s="345"/>
      <x:c r="H34" s="345"/>
      <x:c r="I34" s="345"/>
      <x:c r="J34" s="345"/>
      <x:c r="K34" s="345"/>
      <x:c r="L34" s="345"/>
    </x:row>
    <x:row r="35" ht="34" customHeight="1">
      <x:c r="A35" s="533" t="str">
        <x:v>Finding 2</x:v>
      </x:c>
      <x:c r="B35" s="345" t="str">
        <x:v>The page 68 plant-adjacent five-dot control differs strongly; the page 39 five-of-six control also differs strongly. Ratios against the largest target-target mismatch are descriptive and not p-values.</x:v>
      </x:c>
      <x:c r="C35" s="345"/>
      <x:c r="D35" s="345"/>
      <x:c r="E35" s="345"/>
      <x:c r="F35" s="345"/>
      <x:c r="G35" s="345"/>
      <x:c r="H35" s="345"/>
      <x:c r="I35" s="345"/>
      <x:c r="J35" s="345"/>
      <x:c r="K35" s="345"/>
      <x:c r="L35" s="345"/>
    </x:row>
    <x:row r="36" ht="34" customHeight="1">
      <x:c r="A36" s="533" t="str">
        <x:v>Finding 3</x:v>
      </x:c>
      <x:c r="B36" s="345" t="str">
        <x:v>The page 57/68 plant-side right groups have equal stored T=60 centroids, areas, and bounding boxes pointwise (5/5). Browser-visible repetition is consistent with reused decorative artwork.</x:v>
      </x:c>
      <x:c r="C36" s="345"/>
      <x:c r="D36" s="345"/>
      <x:c r="E36" s="345"/>
      <x:c r="F36" s="345"/>
      <x:c r="G36" s="345"/>
      <x:c r="H36" s="345"/>
      <x:c r="I36" s="345"/>
      <x:c r="J36" s="345"/>
      <x:c r="K36" s="345"/>
      <x:c r="L36" s="345"/>
    </x:row>
    <x:row r="37" ht="34" customHeight="1">
      <x:c r="A37" s="533" t="str">
        <x:v>Finding 4</x:v>
      </x:c>
      <x:c r="B37" s="345" t="str">
        <x:v>Pages 50 and 56 form a separate three-dot row candidate with end-to-end span ratio about 2.1302 and nearly identical gap fractions.</x:v>
      </x:c>
      <x:c r="C37" s="345"/>
      <x:c r="D37" s="345"/>
      <x:c r="E37" s="345"/>
      <x:c r="F37" s="345"/>
      <x:c r="G37" s="345"/>
      <x:c r="H37" s="345"/>
      <x:c r="I37" s="345"/>
      <x:c r="J37" s="345"/>
      <x:c r="K37" s="345"/>
      <x:c r="L37" s="345"/>
    </x:row>
    <x:row r="38" ht="34" customHeight="1">
      <x:c r="A38" s="533" t="str">
        <x:v>Evidence limitation</x:v>
      </x:c>
      <x:c r="B38" s="345" t="str">
        <x:v>All numbers in this sheet are recalculations of inherited workbook coordinates. Browser-rendered raw images were used only for qualitative inspection; original JPEG byte hashes, dimensions, and local pixels were not independently rechecked.</x:v>
      </x:c>
      <x:c r="C38" s="345"/>
      <x:c r="D38" s="345"/>
      <x:c r="E38" s="345"/>
      <x:c r="F38" s="345"/>
      <x:c r="G38" s="345"/>
      <x:c r="H38" s="345"/>
      <x:c r="I38" s="345"/>
      <x:c r="J38" s="345"/>
      <x:c r="K38" s="345"/>
      <x:c r="L38" s="345"/>
    </x:row>
    <x:row r="39" ht="34" customHeight="1">
      <x:c r="A39" s="533" t="str">
        <x:v>Next gate</x:v>
      </x:c>
      <x:c r="B39" s="345" t="str">
        <x:v>Acquire the original JPEGs locally, verify Git blob SHA-1 + SHA-256, decode with a second independent decoder, compare ROI pixels, then freeze a full-page detector before expanding the control inventory.</x:v>
      </x:c>
      <x:c r="C39" s="345"/>
      <x:c r="D39" s="345"/>
      <x:c r="E39" s="345"/>
      <x:c r="F39" s="345"/>
      <x:c r="G39" s="345"/>
      <x:c r="H39" s="345"/>
      <x:c r="I39" s="345"/>
      <x:c r="J39" s="345"/>
      <x:c r="K39" s="345"/>
      <x:c r="L39" s="345"/>
    </x:row>
  </x:sheetData>
  <x:mergeCells>
    <x:mergeCell ref="A1:L1"/>
    <x:mergeCell ref="A2:L2"/>
    <x:mergeCell ref="A4:L4"/>
    <x:mergeCell ref="A17:L17"/>
    <x:mergeCell ref="A22:F22"/>
    <x:mergeCell ref="A33:L33"/>
    <x:mergeCell ref="B34:L34"/>
    <x:mergeCell ref="B35:L35"/>
    <x:mergeCell ref="B36:L36"/>
    <x:mergeCell ref="B37:L37"/>
    <x:mergeCell ref="B38:L38"/>
    <x:mergeCell ref="B39:L39"/>
  </x:mergeCells>
  <x:pageMargins left="0.7" right="0.7" top="0.75" bottom="0.75" header="0.3" footer="0.3"/>
</x:worksheet>
</file>